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\Desktop\IGKB DCR\Year 2025\nov 2025\"/>
    </mc:Choice>
  </mc:AlternateContent>
  <xr:revisionPtr revIDLastSave="0" documentId="13_ncr:1_{45FCFFC0-4C98-4A83-8C99-E06F24703E06}" xr6:coauthVersionLast="47" xr6:coauthVersionMax="47" xr10:uidLastSave="{00000000-0000-0000-0000-000000000000}"/>
  <bookViews>
    <workbookView xWindow="-120" yWindow="-120" windowWidth="20730" windowHeight="11040" tabRatio="913" firstSheet="5" activeTab="30" xr2:uid="{00000000-000D-0000-FFFF-FFFF00000000}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3" r:id="rId29"/>
    <sheet name="30" sheetId="40" r:id="rId30"/>
    <sheet name="MONTHLY 31" sheetId="39" r:id="rId31"/>
  </sheets>
  <calcPr calcId="191029"/>
</workbook>
</file>

<file path=xl/calcChain.xml><?xml version="1.0" encoding="utf-8"?>
<calcChain xmlns="http://schemas.openxmlformats.org/spreadsheetml/2006/main">
  <c r="F44" i="39" l="1"/>
  <c r="F38" i="32"/>
  <c r="H38" i="29"/>
  <c r="G38" i="29"/>
  <c r="F38" i="29"/>
  <c r="F40" i="29" s="1"/>
  <c r="F38" i="28"/>
  <c r="F39" i="28" s="1"/>
  <c r="F38" i="27"/>
  <c r="F38" i="25"/>
  <c r="F34" i="24"/>
  <c r="F35" i="24"/>
  <c r="F36" i="24"/>
  <c r="F27" i="39" s="1"/>
  <c r="F37" i="24"/>
  <c r="F38" i="24"/>
  <c r="F40" i="24" s="1"/>
  <c r="F38" i="22"/>
  <c r="F39" i="22" s="1"/>
  <c r="F38" i="21"/>
  <c r="F38" i="20"/>
  <c r="H38" i="19"/>
  <c r="G38" i="19"/>
  <c r="H38" i="17"/>
  <c r="G38" i="17"/>
  <c r="G39" i="17" s="1"/>
  <c r="F38" i="12"/>
  <c r="F38" i="11"/>
  <c r="H38" i="10"/>
  <c r="G38" i="10"/>
  <c r="O40" i="40"/>
  <c r="M40" i="40"/>
  <c r="C40" i="40"/>
  <c r="O39" i="40"/>
  <c r="F39" i="40"/>
  <c r="Q38" i="40"/>
  <c r="Q39" i="40" s="1"/>
  <c r="P38" i="40"/>
  <c r="P40" i="40" s="1"/>
  <c r="O38" i="40"/>
  <c r="N38" i="40"/>
  <c r="N40" i="40" s="1"/>
  <c r="M38" i="40"/>
  <c r="M39" i="40" s="1"/>
  <c r="L38" i="40"/>
  <c r="L40" i="40" s="1"/>
  <c r="K38" i="40"/>
  <c r="K40" i="40" s="1"/>
  <c r="J38" i="40"/>
  <c r="J40" i="40" s="1"/>
  <c r="I38" i="40"/>
  <c r="I40" i="40" s="1"/>
  <c r="H38" i="40"/>
  <c r="H40" i="40" s="1"/>
  <c r="G38" i="40"/>
  <c r="G40" i="40" s="1"/>
  <c r="F38" i="40"/>
  <c r="F40" i="40" s="1"/>
  <c r="E38" i="40"/>
  <c r="E40" i="40" s="1"/>
  <c r="D38" i="40"/>
  <c r="D40" i="40" s="1"/>
  <c r="C38" i="40"/>
  <c r="C39" i="40" s="1"/>
  <c r="B38" i="40"/>
  <c r="B40" i="40" s="1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Q38" i="39" s="1"/>
  <c r="P36" i="40"/>
  <c r="P38" i="39" s="1"/>
  <c r="O36" i="40"/>
  <c r="O38" i="39" s="1"/>
  <c r="N36" i="40"/>
  <c r="N38" i="39" s="1"/>
  <c r="M36" i="40"/>
  <c r="M38" i="39" s="1"/>
  <c r="L36" i="40"/>
  <c r="L38" i="39" s="1"/>
  <c r="K36" i="40"/>
  <c r="K38" i="39" s="1"/>
  <c r="J36" i="40"/>
  <c r="J38" i="39" s="1"/>
  <c r="I36" i="40"/>
  <c r="I38" i="39" s="1"/>
  <c r="H36" i="40"/>
  <c r="H38" i="39" s="1"/>
  <c r="G36" i="40"/>
  <c r="G38" i="39" s="1"/>
  <c r="F36" i="40"/>
  <c r="F38" i="39" s="1"/>
  <c r="E36" i="40"/>
  <c r="E38" i="39" s="1"/>
  <c r="D36" i="40"/>
  <c r="D38" i="39" s="1"/>
  <c r="C36" i="40"/>
  <c r="C38" i="39" s="1"/>
  <c r="B36" i="40"/>
  <c r="B38" i="39" s="1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A38" i="39" s="1"/>
  <c r="N39" i="43"/>
  <c r="I39" i="43"/>
  <c r="E39" i="43"/>
  <c r="Q38" i="43"/>
  <c r="Q40" i="43" s="1"/>
  <c r="P38" i="43"/>
  <c r="P40" i="43" s="1"/>
  <c r="O38" i="43"/>
  <c r="O40" i="43" s="1"/>
  <c r="N38" i="43"/>
  <c r="N40" i="43" s="1"/>
  <c r="M38" i="43"/>
  <c r="M40" i="43" s="1"/>
  <c r="L38" i="43"/>
  <c r="L40" i="43" s="1"/>
  <c r="K38" i="43"/>
  <c r="K40" i="43" s="1"/>
  <c r="J38" i="43"/>
  <c r="J40" i="43" s="1"/>
  <c r="I38" i="43"/>
  <c r="I40" i="43" s="1"/>
  <c r="H38" i="43"/>
  <c r="H40" i="43" s="1"/>
  <c r="G38" i="43"/>
  <c r="G40" i="43" s="1"/>
  <c r="F38" i="43"/>
  <c r="F40" i="43" s="1"/>
  <c r="E38" i="43"/>
  <c r="E40" i="43" s="1"/>
  <c r="D38" i="43"/>
  <c r="D39" i="43" s="1"/>
  <c r="C38" i="43"/>
  <c r="C40" i="43" s="1"/>
  <c r="B38" i="43"/>
  <c r="B39" i="43" s="1"/>
  <c r="Q37" i="43"/>
  <c r="P37" i="43"/>
  <c r="O37" i="43"/>
  <c r="N37" i="43"/>
  <c r="M37" i="43"/>
  <c r="L37" i="43"/>
  <c r="K37" i="43"/>
  <c r="J37" i="43"/>
  <c r="I37" i="43"/>
  <c r="H37" i="43"/>
  <c r="G37" i="43"/>
  <c r="F37" i="43"/>
  <c r="E37" i="43"/>
  <c r="D37" i="43"/>
  <c r="C37" i="43"/>
  <c r="B37" i="43"/>
  <c r="Q36" i="43"/>
  <c r="Q37" i="39" s="1"/>
  <c r="P36" i="43"/>
  <c r="P37" i="39" s="1"/>
  <c r="O36" i="43"/>
  <c r="O37" i="39" s="1"/>
  <c r="N36" i="43"/>
  <c r="N37" i="39" s="1"/>
  <c r="M36" i="43"/>
  <c r="M37" i="39" s="1"/>
  <c r="L36" i="43"/>
  <c r="L37" i="39" s="1"/>
  <c r="K36" i="43"/>
  <c r="K37" i="39" s="1"/>
  <c r="J36" i="43"/>
  <c r="J37" i="39" s="1"/>
  <c r="I36" i="43"/>
  <c r="I37" i="39" s="1"/>
  <c r="H36" i="43"/>
  <c r="H37" i="39" s="1"/>
  <c r="G36" i="43"/>
  <c r="G37" i="39" s="1"/>
  <c r="F36" i="43"/>
  <c r="F37" i="39" s="1"/>
  <c r="E36" i="43"/>
  <c r="E37" i="39" s="1"/>
  <c r="D36" i="43"/>
  <c r="D37" i="39" s="1"/>
  <c r="C36" i="43"/>
  <c r="C37" i="39" s="1"/>
  <c r="B36" i="43"/>
  <c r="B37" i="39" s="1"/>
  <c r="Q35" i="43"/>
  <c r="P35" i="43"/>
  <c r="O35" i="43"/>
  <c r="N35" i="43"/>
  <c r="M35" i="43"/>
  <c r="L35" i="43"/>
  <c r="K35" i="43"/>
  <c r="J35" i="43"/>
  <c r="I35" i="43"/>
  <c r="H35" i="43"/>
  <c r="G35" i="43"/>
  <c r="F35" i="43"/>
  <c r="E35" i="43"/>
  <c r="D35" i="43"/>
  <c r="C35" i="43"/>
  <c r="B35" i="43"/>
  <c r="Q34" i="43"/>
  <c r="P34" i="43"/>
  <c r="O34" i="43"/>
  <c r="N34" i="43"/>
  <c r="M34" i="43"/>
  <c r="L34" i="43"/>
  <c r="K34" i="43"/>
  <c r="J34" i="43"/>
  <c r="I34" i="43"/>
  <c r="H34" i="43"/>
  <c r="G34" i="43"/>
  <c r="F34" i="43"/>
  <c r="E34" i="43"/>
  <c r="D34" i="43"/>
  <c r="C34" i="43"/>
  <c r="B34" i="43"/>
  <c r="B2" i="43"/>
  <c r="A37" i="39" s="1"/>
  <c r="Q39" i="33"/>
  <c r="J39" i="33"/>
  <c r="Q38" i="33"/>
  <c r="Q40" i="33" s="1"/>
  <c r="P38" i="33"/>
  <c r="P40" i="33" s="1"/>
  <c r="O38" i="33"/>
  <c r="O40" i="33" s="1"/>
  <c r="N38" i="33"/>
  <c r="N40" i="33" s="1"/>
  <c r="M38" i="33"/>
  <c r="M40" i="33" s="1"/>
  <c r="L38" i="33"/>
  <c r="L40" i="33" s="1"/>
  <c r="K38" i="33"/>
  <c r="K40" i="33" s="1"/>
  <c r="J38" i="33"/>
  <c r="J40" i="33" s="1"/>
  <c r="I38" i="33"/>
  <c r="I39" i="33" s="1"/>
  <c r="H38" i="33"/>
  <c r="H39" i="33" s="1"/>
  <c r="G38" i="33"/>
  <c r="G40" i="33" s="1"/>
  <c r="F38" i="33"/>
  <c r="F39" i="33" s="1"/>
  <c r="E38" i="33"/>
  <c r="E40" i="33" s="1"/>
  <c r="D38" i="33"/>
  <c r="D40" i="33" s="1"/>
  <c r="C38" i="33"/>
  <c r="C39" i="33" s="1"/>
  <c r="B38" i="33"/>
  <c r="B40" i="33" s="1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Q36" i="39" s="1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I36" i="39" s="1"/>
  <c r="H36" i="33"/>
  <c r="H36" i="39" s="1"/>
  <c r="G36" i="33"/>
  <c r="G36" i="39" s="1"/>
  <c r="F36" i="33"/>
  <c r="F36" i="39" s="1"/>
  <c r="E36" i="33"/>
  <c r="E36" i="39" s="1"/>
  <c r="D36" i="33"/>
  <c r="D36" i="39" s="1"/>
  <c r="C36" i="33"/>
  <c r="C36" i="39" s="1"/>
  <c r="B36" i="33"/>
  <c r="B36" i="39" s="1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A36" i="39" s="1"/>
  <c r="D40" i="32"/>
  <c r="J39" i="32"/>
  <c r="Q38" i="32"/>
  <c r="Q40" i="32" s="1"/>
  <c r="P38" i="32"/>
  <c r="P39" i="32" s="1"/>
  <c r="O38" i="32"/>
  <c r="O40" i="32" s="1"/>
  <c r="N38" i="32"/>
  <c r="N40" i="32" s="1"/>
  <c r="M38" i="32"/>
  <c r="M40" i="32" s="1"/>
  <c r="L38" i="32"/>
  <c r="L39" i="32" s="1"/>
  <c r="K38" i="32"/>
  <c r="K39" i="32" s="1"/>
  <c r="J38" i="32"/>
  <c r="J40" i="32" s="1"/>
  <c r="I38" i="32"/>
  <c r="I39" i="32" s="1"/>
  <c r="H38" i="32"/>
  <c r="H39" i="32" s="1"/>
  <c r="G38" i="32"/>
  <c r="G39" i="32" s="1"/>
  <c r="F39" i="32"/>
  <c r="E38" i="32"/>
  <c r="E40" i="32" s="1"/>
  <c r="D38" i="32"/>
  <c r="D39" i="32" s="1"/>
  <c r="C38" i="32"/>
  <c r="C40" i="32" s="1"/>
  <c r="B38" i="32"/>
  <c r="B39" i="32" s="1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Q35" i="39" s="1"/>
  <c r="P36" i="32"/>
  <c r="P35" i="39" s="1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F35" i="39" s="1"/>
  <c r="E36" i="32"/>
  <c r="E35" i="39" s="1"/>
  <c r="D36" i="32"/>
  <c r="D35" i="39" s="1"/>
  <c r="C36" i="32"/>
  <c r="C35" i="39" s="1"/>
  <c r="B36" i="32"/>
  <c r="B35" i="39" s="1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A35" i="39" s="1"/>
  <c r="H39" i="31"/>
  <c r="G39" i="31"/>
  <c r="Q38" i="31"/>
  <c r="Q39" i="31" s="1"/>
  <c r="P38" i="31"/>
  <c r="P40" i="31" s="1"/>
  <c r="O38" i="31"/>
  <c r="O40" i="31" s="1"/>
  <c r="N38" i="31"/>
  <c r="N40" i="31" s="1"/>
  <c r="M38" i="31"/>
  <c r="M39" i="31" s="1"/>
  <c r="L38" i="31"/>
  <c r="L40" i="31" s="1"/>
  <c r="K38" i="31"/>
  <c r="K40" i="31" s="1"/>
  <c r="J38" i="31"/>
  <c r="J40" i="31" s="1"/>
  <c r="I38" i="31"/>
  <c r="I40" i="31" s="1"/>
  <c r="H38" i="31"/>
  <c r="H40" i="31" s="1"/>
  <c r="G38" i="31"/>
  <c r="G40" i="31" s="1"/>
  <c r="F38" i="31"/>
  <c r="F40" i="31" s="1"/>
  <c r="E38" i="31"/>
  <c r="E40" i="31" s="1"/>
  <c r="D38" i="31"/>
  <c r="D40" i="31" s="1"/>
  <c r="C38" i="31"/>
  <c r="C40" i="31" s="1"/>
  <c r="B38" i="31"/>
  <c r="B40" i="31" s="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H34" i="39" s="1"/>
  <c r="G36" i="31"/>
  <c r="G34" i="39" s="1"/>
  <c r="F36" i="31"/>
  <c r="E36" i="31"/>
  <c r="E34" i="39" s="1"/>
  <c r="D36" i="31"/>
  <c r="D34" i="39" s="1"/>
  <c r="C36" i="31"/>
  <c r="C34" i="39" s="1"/>
  <c r="B36" i="31"/>
  <c r="B34" i="39" s="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A34" i="39" s="1"/>
  <c r="D40" i="30"/>
  <c r="B40" i="30"/>
  <c r="Q38" i="30"/>
  <c r="Q40" i="30" s="1"/>
  <c r="P38" i="30"/>
  <c r="P40" i="30" s="1"/>
  <c r="O38" i="30"/>
  <c r="O40" i="30" s="1"/>
  <c r="N38" i="30"/>
  <c r="N40" i="30" s="1"/>
  <c r="M38" i="30"/>
  <c r="M40" i="30" s="1"/>
  <c r="L38" i="30"/>
  <c r="L40" i="30" s="1"/>
  <c r="K38" i="30"/>
  <c r="K40" i="30" s="1"/>
  <c r="J38" i="30"/>
  <c r="J40" i="30" s="1"/>
  <c r="I38" i="30"/>
  <c r="I40" i="30" s="1"/>
  <c r="H38" i="30"/>
  <c r="H39" i="30" s="1"/>
  <c r="G38" i="30"/>
  <c r="G40" i="30" s="1"/>
  <c r="F38" i="30"/>
  <c r="F39" i="30" s="1"/>
  <c r="E38" i="30"/>
  <c r="E40" i="30" s="1"/>
  <c r="D38" i="30"/>
  <c r="D39" i="30" s="1"/>
  <c r="C38" i="30"/>
  <c r="C40" i="30" s="1"/>
  <c r="B38" i="30"/>
  <c r="B39" i="30" s="1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I33" i="39" s="1"/>
  <c r="H36" i="30"/>
  <c r="H33" i="39" s="1"/>
  <c r="G36" i="30"/>
  <c r="G33" i="39" s="1"/>
  <c r="F36" i="30"/>
  <c r="E36" i="30"/>
  <c r="E33" i="39" s="1"/>
  <c r="D36" i="30"/>
  <c r="D33" i="39" s="1"/>
  <c r="C36" i="30"/>
  <c r="C33" i="39" s="1"/>
  <c r="B36" i="30"/>
  <c r="B33" i="39" s="1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A33" i="39" s="1"/>
  <c r="I40" i="29"/>
  <c r="M39" i="29"/>
  <c r="I39" i="29"/>
  <c r="Q38" i="29"/>
  <c r="Q40" i="29" s="1"/>
  <c r="P38" i="29"/>
  <c r="P39" i="29" s="1"/>
  <c r="O38" i="29"/>
  <c r="O39" i="29" s="1"/>
  <c r="N38" i="29"/>
  <c r="N39" i="29" s="1"/>
  <c r="M38" i="29"/>
  <c r="M40" i="29" s="1"/>
  <c r="L38" i="29"/>
  <c r="L39" i="29" s="1"/>
  <c r="K38" i="29"/>
  <c r="K39" i="29" s="1"/>
  <c r="J38" i="29"/>
  <c r="J39" i="29" s="1"/>
  <c r="I38" i="29"/>
  <c r="H40" i="29"/>
  <c r="G39" i="29"/>
  <c r="E38" i="29"/>
  <c r="E39" i="29" s="1"/>
  <c r="D38" i="29"/>
  <c r="D40" i="29" s="1"/>
  <c r="C38" i="29"/>
  <c r="C40" i="29" s="1"/>
  <c r="B38" i="29"/>
  <c r="B40" i="29" s="1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Q32" i="39" s="1"/>
  <c r="P36" i="29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J32" i="39" s="1"/>
  <c r="I36" i="29"/>
  <c r="I32" i="39" s="1"/>
  <c r="H36" i="29"/>
  <c r="H32" i="39" s="1"/>
  <c r="G36" i="29"/>
  <c r="G32" i="39" s="1"/>
  <c r="F36" i="29"/>
  <c r="E36" i="29"/>
  <c r="E32" i="39" s="1"/>
  <c r="D36" i="29"/>
  <c r="D32" i="39" s="1"/>
  <c r="C36" i="29"/>
  <c r="C32" i="39" s="1"/>
  <c r="B36" i="29"/>
  <c r="B32" i="39" s="1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A32" i="39" s="1"/>
  <c r="D40" i="28"/>
  <c r="Q39" i="28"/>
  <c r="Q38" i="28"/>
  <c r="Q40" i="28" s="1"/>
  <c r="P38" i="28"/>
  <c r="P40" i="28" s="1"/>
  <c r="O38" i="28"/>
  <c r="O40" i="28" s="1"/>
  <c r="N38" i="28"/>
  <c r="N40" i="28" s="1"/>
  <c r="M38" i="28"/>
  <c r="M40" i="28" s="1"/>
  <c r="L38" i="28"/>
  <c r="L40" i="28" s="1"/>
  <c r="K38" i="28"/>
  <c r="K39" i="28" s="1"/>
  <c r="J38" i="28"/>
  <c r="J39" i="28" s="1"/>
  <c r="I38" i="28"/>
  <c r="I40" i="28" s="1"/>
  <c r="H38" i="28"/>
  <c r="H39" i="28" s="1"/>
  <c r="G38" i="28"/>
  <c r="G39" i="28" s="1"/>
  <c r="E38" i="28"/>
  <c r="E40" i="28" s="1"/>
  <c r="D38" i="28"/>
  <c r="D39" i="28" s="1"/>
  <c r="C38" i="28"/>
  <c r="C40" i="28" s="1"/>
  <c r="B38" i="28"/>
  <c r="B40" i="28" s="1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Q31" i="39" s="1"/>
  <c r="P36" i="28"/>
  <c r="P31" i="39" s="1"/>
  <c r="O36" i="28"/>
  <c r="O31" i="39" s="1"/>
  <c r="N36" i="28"/>
  <c r="N31" i="39" s="1"/>
  <c r="M36" i="28"/>
  <c r="M31" i="39" s="1"/>
  <c r="L36" i="28"/>
  <c r="L31" i="39" s="1"/>
  <c r="K36" i="28"/>
  <c r="K31" i="39" s="1"/>
  <c r="J36" i="28"/>
  <c r="J31" i="39" s="1"/>
  <c r="I36" i="28"/>
  <c r="I31" i="39" s="1"/>
  <c r="H36" i="28"/>
  <c r="H31" i="39" s="1"/>
  <c r="G36" i="28"/>
  <c r="G31" i="39" s="1"/>
  <c r="F36" i="28"/>
  <c r="E36" i="28"/>
  <c r="E31" i="39" s="1"/>
  <c r="D36" i="28"/>
  <c r="D31" i="39" s="1"/>
  <c r="C36" i="28"/>
  <c r="C31" i="39" s="1"/>
  <c r="B36" i="28"/>
  <c r="B31" i="39" s="1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A31" i="39" s="1"/>
  <c r="O39" i="27"/>
  <c r="N39" i="27"/>
  <c r="Q38" i="27"/>
  <c r="Q39" i="27" s="1"/>
  <c r="P38" i="27"/>
  <c r="P39" i="27" s="1"/>
  <c r="O38" i="27"/>
  <c r="O40" i="27" s="1"/>
  <c r="N38" i="27"/>
  <c r="N40" i="27" s="1"/>
  <c r="M38" i="27"/>
  <c r="M40" i="27" s="1"/>
  <c r="L38" i="27"/>
  <c r="L39" i="27" s="1"/>
  <c r="K38" i="27"/>
  <c r="K40" i="27" s="1"/>
  <c r="J38" i="27"/>
  <c r="J40" i="27" s="1"/>
  <c r="I38" i="27"/>
  <c r="I39" i="27" s="1"/>
  <c r="H38" i="27"/>
  <c r="H39" i="27" s="1"/>
  <c r="G38" i="27"/>
  <c r="G40" i="27" s="1"/>
  <c r="F40" i="27"/>
  <c r="E38" i="27"/>
  <c r="E40" i="27" s="1"/>
  <c r="D38" i="27"/>
  <c r="D40" i="27" s="1"/>
  <c r="C38" i="27"/>
  <c r="C40" i="27" s="1"/>
  <c r="B38" i="27"/>
  <c r="B40" i="27" s="1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Q30" i="39" s="1"/>
  <c r="P36" i="27"/>
  <c r="P30" i="39" s="1"/>
  <c r="O36" i="27"/>
  <c r="O30" i="39" s="1"/>
  <c r="N36" i="27"/>
  <c r="N30" i="39" s="1"/>
  <c r="M36" i="27"/>
  <c r="M30" i="39" s="1"/>
  <c r="L36" i="27"/>
  <c r="L30" i="39" s="1"/>
  <c r="K36" i="27"/>
  <c r="K30" i="39" s="1"/>
  <c r="J36" i="27"/>
  <c r="J30" i="39" s="1"/>
  <c r="I36" i="27"/>
  <c r="I30" i="39" s="1"/>
  <c r="H36" i="27"/>
  <c r="H30" i="39" s="1"/>
  <c r="G36" i="27"/>
  <c r="G30" i="39" s="1"/>
  <c r="F36" i="27"/>
  <c r="E36" i="27"/>
  <c r="E30" i="39" s="1"/>
  <c r="D36" i="27"/>
  <c r="D30" i="39" s="1"/>
  <c r="C36" i="27"/>
  <c r="C30" i="39" s="1"/>
  <c r="B36" i="27"/>
  <c r="B30" i="39" s="1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A30" i="39" s="1"/>
  <c r="L40" i="26"/>
  <c r="H40" i="26"/>
  <c r="O39" i="26"/>
  <c r="Q38" i="26"/>
  <c r="Q40" i="26" s="1"/>
  <c r="P38" i="26"/>
  <c r="P40" i="26" s="1"/>
  <c r="O38" i="26"/>
  <c r="O40" i="26" s="1"/>
  <c r="N38" i="26"/>
  <c r="N40" i="26" s="1"/>
  <c r="M38" i="26"/>
  <c r="M39" i="26" s="1"/>
  <c r="L38" i="26"/>
  <c r="L39" i="26" s="1"/>
  <c r="K38" i="26"/>
  <c r="K40" i="26" s="1"/>
  <c r="J38" i="26"/>
  <c r="J39" i="26" s="1"/>
  <c r="I38" i="26"/>
  <c r="I39" i="26" s="1"/>
  <c r="H38" i="26"/>
  <c r="H39" i="26" s="1"/>
  <c r="G38" i="26"/>
  <c r="G40" i="26" s="1"/>
  <c r="F38" i="26"/>
  <c r="F40" i="26" s="1"/>
  <c r="E38" i="26"/>
  <c r="E40" i="26" s="1"/>
  <c r="D38" i="26"/>
  <c r="D40" i="26" s="1"/>
  <c r="C38" i="26"/>
  <c r="C39" i="26" s="1"/>
  <c r="B38" i="26"/>
  <c r="B39" i="26" s="1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Q29" i="39" s="1"/>
  <c r="P36" i="26"/>
  <c r="P29" i="39" s="1"/>
  <c r="O36" i="26"/>
  <c r="O29" i="39" s="1"/>
  <c r="N36" i="26"/>
  <c r="N29" i="39" s="1"/>
  <c r="M36" i="26"/>
  <c r="M29" i="39" s="1"/>
  <c r="L36" i="26"/>
  <c r="L29" i="39" s="1"/>
  <c r="K36" i="26"/>
  <c r="K29" i="39" s="1"/>
  <c r="J36" i="26"/>
  <c r="J29" i="39" s="1"/>
  <c r="I36" i="26"/>
  <c r="I29" i="39" s="1"/>
  <c r="H36" i="2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A29" i="39" s="1"/>
  <c r="N39" i="25"/>
  <c r="M39" i="25"/>
  <c r="Q38" i="25"/>
  <c r="Q40" i="25" s="1"/>
  <c r="P38" i="25"/>
  <c r="P40" i="25" s="1"/>
  <c r="O38" i="25"/>
  <c r="O40" i="25" s="1"/>
  <c r="N38" i="25"/>
  <c r="N40" i="25" s="1"/>
  <c r="M38" i="25"/>
  <c r="M40" i="25" s="1"/>
  <c r="L38" i="25"/>
  <c r="L40" i="25" s="1"/>
  <c r="K38" i="25"/>
  <c r="K40" i="25" s="1"/>
  <c r="J38" i="25"/>
  <c r="J39" i="25" s="1"/>
  <c r="I38" i="25"/>
  <c r="I40" i="25" s="1"/>
  <c r="H38" i="25"/>
  <c r="H40" i="25" s="1"/>
  <c r="G38" i="25"/>
  <c r="G40" i="25" s="1"/>
  <c r="F40" i="25"/>
  <c r="E38" i="25"/>
  <c r="E40" i="25" s="1"/>
  <c r="D38" i="25"/>
  <c r="D40" i="25" s="1"/>
  <c r="C38" i="25"/>
  <c r="C39" i="25" s="1"/>
  <c r="B38" i="25"/>
  <c r="B39" i="25" s="1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Q28" i="39" s="1"/>
  <c r="P36" i="25"/>
  <c r="P28" i="39" s="1"/>
  <c r="O36" i="25"/>
  <c r="O28" i="39" s="1"/>
  <c r="N36" i="25"/>
  <c r="N28" i="39" s="1"/>
  <c r="M36" i="25"/>
  <c r="M28" i="39" s="1"/>
  <c r="L36" i="25"/>
  <c r="L28" i="39" s="1"/>
  <c r="K36" i="25"/>
  <c r="K28" i="39" s="1"/>
  <c r="J36" i="25"/>
  <c r="J28" i="39" s="1"/>
  <c r="I36" i="25"/>
  <c r="I28" i="39" s="1"/>
  <c r="H36" i="25"/>
  <c r="H28" i="39" s="1"/>
  <c r="G36" i="25"/>
  <c r="G28" i="39" s="1"/>
  <c r="F36" i="25"/>
  <c r="E36" i="25"/>
  <c r="E28" i="39" s="1"/>
  <c r="D36" i="25"/>
  <c r="D28" i="39" s="1"/>
  <c r="C36" i="25"/>
  <c r="C28" i="39" s="1"/>
  <c r="B36" i="25"/>
  <c r="B28" i="39" s="1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A28" i="39" s="1"/>
  <c r="N40" i="24"/>
  <c r="Q38" i="24"/>
  <c r="Q40" i="24" s="1"/>
  <c r="P38" i="24"/>
  <c r="P40" i="24" s="1"/>
  <c r="O38" i="24"/>
  <c r="O39" i="24" s="1"/>
  <c r="N38" i="24"/>
  <c r="N39" i="24" s="1"/>
  <c r="M38" i="24"/>
  <c r="M40" i="24" s="1"/>
  <c r="L38" i="24"/>
  <c r="L39" i="24" s="1"/>
  <c r="K38" i="24"/>
  <c r="K39" i="24" s="1"/>
  <c r="J38" i="24"/>
  <c r="J39" i="24" s="1"/>
  <c r="I38" i="24"/>
  <c r="I40" i="24" s="1"/>
  <c r="H38" i="24"/>
  <c r="H40" i="24" s="1"/>
  <c r="G38" i="24"/>
  <c r="G40" i="24" s="1"/>
  <c r="E38" i="24"/>
  <c r="E39" i="24" s="1"/>
  <c r="D38" i="24"/>
  <c r="D39" i="24" s="1"/>
  <c r="C38" i="24"/>
  <c r="C39" i="24" s="1"/>
  <c r="B38" i="24"/>
  <c r="B39" i="24" s="1"/>
  <c r="Q37" i="24"/>
  <c r="P37" i="24"/>
  <c r="O37" i="24"/>
  <c r="N37" i="24"/>
  <c r="M37" i="24"/>
  <c r="L37" i="24"/>
  <c r="K37" i="24"/>
  <c r="J37" i="24"/>
  <c r="I37" i="24"/>
  <c r="H37" i="24"/>
  <c r="G37" i="24"/>
  <c r="E37" i="24"/>
  <c r="D37" i="24"/>
  <c r="C37" i="24"/>
  <c r="B37" i="24"/>
  <c r="Q36" i="24"/>
  <c r="Q27" i="39" s="1"/>
  <c r="P36" i="24"/>
  <c r="P27" i="39" s="1"/>
  <c r="O36" i="24"/>
  <c r="O27" i="39" s="1"/>
  <c r="N36" i="24"/>
  <c r="N27" i="39" s="1"/>
  <c r="M36" i="24"/>
  <c r="M27" i="39" s="1"/>
  <c r="L36" i="24"/>
  <c r="L27" i="39" s="1"/>
  <c r="K36" i="24"/>
  <c r="K27" i="39" s="1"/>
  <c r="J36" i="24"/>
  <c r="J27" i="39" s="1"/>
  <c r="I36" i="24"/>
  <c r="I27" i="39" s="1"/>
  <c r="H36" i="24"/>
  <c r="H27" i="39" s="1"/>
  <c r="G36" i="24"/>
  <c r="G27" i="39" s="1"/>
  <c r="E36" i="24"/>
  <c r="E27" i="39" s="1"/>
  <c r="D36" i="24"/>
  <c r="D27" i="39" s="1"/>
  <c r="C36" i="24"/>
  <c r="C27" i="39" s="1"/>
  <c r="B36" i="24"/>
  <c r="B27" i="39" s="1"/>
  <c r="Q35" i="24"/>
  <c r="P35" i="24"/>
  <c r="O35" i="24"/>
  <c r="N35" i="24"/>
  <c r="M35" i="24"/>
  <c r="L35" i="24"/>
  <c r="K35" i="24"/>
  <c r="J35" i="24"/>
  <c r="I35" i="24"/>
  <c r="H35" i="24"/>
  <c r="G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E34" i="24"/>
  <c r="D34" i="24"/>
  <c r="C34" i="24"/>
  <c r="B34" i="24"/>
  <c r="B2" i="24"/>
  <c r="A27" i="39" s="1"/>
  <c r="Q40" i="23"/>
  <c r="P40" i="23"/>
  <c r="L40" i="23"/>
  <c r="C40" i="23"/>
  <c r="B40" i="23"/>
  <c r="Q38" i="23"/>
  <c r="Q39" i="23" s="1"/>
  <c r="P38" i="23"/>
  <c r="P39" i="23" s="1"/>
  <c r="O38" i="23"/>
  <c r="O40" i="23" s="1"/>
  <c r="N38" i="23"/>
  <c r="N40" i="23" s="1"/>
  <c r="M38" i="23"/>
  <c r="M39" i="23" s="1"/>
  <c r="L38" i="23"/>
  <c r="L39" i="23" s="1"/>
  <c r="K38" i="23"/>
  <c r="K40" i="23" s="1"/>
  <c r="J38" i="23"/>
  <c r="J40" i="23" s="1"/>
  <c r="I38" i="23"/>
  <c r="I40" i="23" s="1"/>
  <c r="H38" i="23"/>
  <c r="H40" i="23" s="1"/>
  <c r="G38" i="23"/>
  <c r="G40" i="23" s="1"/>
  <c r="F38" i="23"/>
  <c r="F40" i="23" s="1"/>
  <c r="E38" i="23"/>
  <c r="E40" i="23" s="1"/>
  <c r="D38" i="23"/>
  <c r="D39" i="23" s="1"/>
  <c r="C38" i="23"/>
  <c r="C39" i="23" s="1"/>
  <c r="B38" i="23"/>
  <c r="B39" i="23" s="1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Q26" i="39" s="1"/>
  <c r="P36" i="23"/>
  <c r="P26" i="39" s="1"/>
  <c r="O36" i="23"/>
  <c r="O26" i="39" s="1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A26" i="39" s="1"/>
  <c r="G40" i="22"/>
  <c r="C40" i="22"/>
  <c r="N39" i="22"/>
  <c r="Q38" i="22"/>
  <c r="Q39" i="22" s="1"/>
  <c r="P38" i="22"/>
  <c r="P39" i="22" s="1"/>
  <c r="O38" i="22"/>
  <c r="O40" i="22" s="1"/>
  <c r="N38" i="22"/>
  <c r="N40" i="22" s="1"/>
  <c r="M38" i="22"/>
  <c r="M39" i="22" s="1"/>
  <c r="L38" i="22"/>
  <c r="L40" i="22" s="1"/>
  <c r="K38" i="22"/>
  <c r="K40" i="22" s="1"/>
  <c r="J38" i="22"/>
  <c r="J39" i="22" s="1"/>
  <c r="I38" i="22"/>
  <c r="I39" i="22" s="1"/>
  <c r="H38" i="22"/>
  <c r="H40" i="22" s="1"/>
  <c r="G38" i="22"/>
  <c r="G39" i="22" s="1"/>
  <c r="E38" i="22"/>
  <c r="E39" i="22" s="1"/>
  <c r="D38" i="22"/>
  <c r="D39" i="22" s="1"/>
  <c r="C38" i="22"/>
  <c r="C39" i="22" s="1"/>
  <c r="B38" i="22"/>
  <c r="B40" i="22" s="1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Q25" i="39" s="1"/>
  <c r="P36" i="22"/>
  <c r="P25" i="39" s="1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E36" i="22"/>
  <c r="E25" i="39" s="1"/>
  <c r="D36" i="22"/>
  <c r="D25" i="39" s="1"/>
  <c r="C36" i="22"/>
  <c r="C25" i="39" s="1"/>
  <c r="B36" i="22"/>
  <c r="B25" i="39" s="1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A25" i="39" s="1"/>
  <c r="Q40" i="21"/>
  <c r="H40" i="21"/>
  <c r="D40" i="21"/>
  <c r="Q38" i="21"/>
  <c r="Q39" i="21" s="1"/>
  <c r="P38" i="21"/>
  <c r="P40" i="21" s="1"/>
  <c r="O38" i="21"/>
  <c r="O40" i="21" s="1"/>
  <c r="N38" i="21"/>
  <c r="N40" i="21" s="1"/>
  <c r="M38" i="21"/>
  <c r="M39" i="21" s="1"/>
  <c r="L38" i="21"/>
  <c r="L40" i="21" s="1"/>
  <c r="K38" i="21"/>
  <c r="K39" i="21" s="1"/>
  <c r="J38" i="21"/>
  <c r="J39" i="21" s="1"/>
  <c r="I38" i="21"/>
  <c r="I39" i="21" s="1"/>
  <c r="H38" i="21"/>
  <c r="H39" i="21" s="1"/>
  <c r="G38" i="21"/>
  <c r="G39" i="21" s="1"/>
  <c r="F39" i="21"/>
  <c r="E38" i="21"/>
  <c r="E39" i="21" s="1"/>
  <c r="D38" i="21"/>
  <c r="D39" i="21" s="1"/>
  <c r="C38" i="21"/>
  <c r="C39" i="21" s="1"/>
  <c r="B38" i="21"/>
  <c r="B39" i="21" s="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Q24" i="39" s="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E36" i="21"/>
  <c r="E24" i="39" s="1"/>
  <c r="D36" i="21"/>
  <c r="D24" i="39" s="1"/>
  <c r="C36" i="21"/>
  <c r="C24" i="39" s="1"/>
  <c r="B36" i="21"/>
  <c r="B24" i="39" s="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A24" i="39" s="1"/>
  <c r="N40" i="20"/>
  <c r="L40" i="20"/>
  <c r="D40" i="20"/>
  <c r="Q38" i="20"/>
  <c r="Q40" i="20" s="1"/>
  <c r="P38" i="20"/>
  <c r="P39" i="20" s="1"/>
  <c r="O38" i="20"/>
  <c r="O40" i="20" s="1"/>
  <c r="N38" i="20"/>
  <c r="N39" i="20" s="1"/>
  <c r="M38" i="20"/>
  <c r="M40" i="20" s="1"/>
  <c r="L38" i="20"/>
  <c r="L39" i="20" s="1"/>
  <c r="K38" i="20"/>
  <c r="K40" i="20" s="1"/>
  <c r="J38" i="20"/>
  <c r="J40" i="20" s="1"/>
  <c r="I38" i="20"/>
  <c r="I39" i="20" s="1"/>
  <c r="H38" i="20"/>
  <c r="H39" i="20" s="1"/>
  <c r="G38" i="20"/>
  <c r="G39" i="20" s="1"/>
  <c r="F39" i="20"/>
  <c r="E38" i="20"/>
  <c r="E39" i="20" s="1"/>
  <c r="D38" i="20"/>
  <c r="D39" i="20" s="1"/>
  <c r="C38" i="20"/>
  <c r="C39" i="20" s="1"/>
  <c r="B38" i="20"/>
  <c r="B39" i="20" s="1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E36" i="20"/>
  <c r="E23" i="39" s="1"/>
  <c r="D36" i="20"/>
  <c r="D23" i="39" s="1"/>
  <c r="C36" i="20"/>
  <c r="C23" i="39" s="1"/>
  <c r="B36" i="20"/>
  <c r="B23" i="39" s="1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2" i="20"/>
  <c r="A23" i="39" s="1"/>
  <c r="D40" i="19"/>
  <c r="Q39" i="19"/>
  <c r="Q38" i="19"/>
  <c r="Q40" i="19" s="1"/>
  <c r="P38" i="19"/>
  <c r="P40" i="19" s="1"/>
  <c r="O38" i="19"/>
  <c r="O39" i="19" s="1"/>
  <c r="N38" i="19"/>
  <c r="N40" i="19" s="1"/>
  <c r="M38" i="19"/>
  <c r="M39" i="19" s="1"/>
  <c r="L38" i="19"/>
  <c r="L40" i="19" s="1"/>
  <c r="K38" i="19"/>
  <c r="K39" i="19" s="1"/>
  <c r="J38" i="19"/>
  <c r="J39" i="19" s="1"/>
  <c r="I38" i="19"/>
  <c r="I40" i="19" s="1"/>
  <c r="H40" i="19"/>
  <c r="G39" i="19"/>
  <c r="F38" i="19"/>
  <c r="F39" i="19" s="1"/>
  <c r="E38" i="19"/>
  <c r="E39" i="19" s="1"/>
  <c r="D38" i="19"/>
  <c r="D39" i="19" s="1"/>
  <c r="C38" i="19"/>
  <c r="C39" i="19" s="1"/>
  <c r="B38" i="19"/>
  <c r="B40" i="19" s="1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C22" i="39" s="1"/>
  <c r="B36" i="19"/>
  <c r="B22" i="39" s="1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A22" i="39" s="1"/>
  <c r="K40" i="18"/>
  <c r="J40" i="18"/>
  <c r="K39" i="18"/>
  <c r="H39" i="18"/>
  <c r="Q38" i="18"/>
  <c r="Q39" i="18" s="1"/>
  <c r="P38" i="18"/>
  <c r="P39" i="18" s="1"/>
  <c r="O38" i="18"/>
  <c r="O40" i="18" s="1"/>
  <c r="N38" i="18"/>
  <c r="N39" i="18" s="1"/>
  <c r="M38" i="18"/>
  <c r="M39" i="18" s="1"/>
  <c r="L38" i="18"/>
  <c r="L39" i="18" s="1"/>
  <c r="K38" i="18"/>
  <c r="J38" i="18"/>
  <c r="J39" i="18" s="1"/>
  <c r="I38" i="18"/>
  <c r="I40" i="18" s="1"/>
  <c r="H38" i="18"/>
  <c r="H40" i="18" s="1"/>
  <c r="G38" i="18"/>
  <c r="G39" i="18" s="1"/>
  <c r="F38" i="18"/>
  <c r="F40" i="18" s="1"/>
  <c r="E38" i="18"/>
  <c r="E40" i="18" s="1"/>
  <c r="D38" i="18"/>
  <c r="D39" i="18" s="1"/>
  <c r="C38" i="18"/>
  <c r="C40" i="18" s="1"/>
  <c r="B38" i="18"/>
  <c r="B39" i="18" s="1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Q21" i="39" s="1"/>
  <c r="P36" i="18"/>
  <c r="P21" i="39" s="1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F21" i="39" s="1"/>
  <c r="E36" i="18"/>
  <c r="E21" i="39" s="1"/>
  <c r="D36" i="18"/>
  <c r="D21" i="39" s="1"/>
  <c r="C36" i="18"/>
  <c r="C21" i="39" s="1"/>
  <c r="B36" i="18"/>
  <c r="B21" i="39" s="1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A21" i="39" s="1"/>
  <c r="K40" i="17"/>
  <c r="J40" i="17"/>
  <c r="I40" i="17"/>
  <c r="J39" i="17"/>
  <c r="Q38" i="17"/>
  <c r="Q39" i="17" s="1"/>
  <c r="P38" i="17"/>
  <c r="P40" i="17" s="1"/>
  <c r="O38" i="17"/>
  <c r="O40" i="17" s="1"/>
  <c r="N38" i="17"/>
  <c r="N39" i="17" s="1"/>
  <c r="M38" i="17"/>
  <c r="M39" i="17" s="1"/>
  <c r="L38" i="17"/>
  <c r="L39" i="17" s="1"/>
  <c r="K38" i="17"/>
  <c r="K39" i="17" s="1"/>
  <c r="J38" i="17"/>
  <c r="I38" i="17"/>
  <c r="I39" i="17" s="1"/>
  <c r="H39" i="17"/>
  <c r="F38" i="17"/>
  <c r="F40" i="17" s="1"/>
  <c r="E38" i="17"/>
  <c r="E40" i="17" s="1"/>
  <c r="D38" i="17"/>
  <c r="D40" i="17" s="1"/>
  <c r="C38" i="17"/>
  <c r="C39" i="17" s="1"/>
  <c r="B38" i="17"/>
  <c r="B40" i="17" s="1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E20" i="39" s="1"/>
  <c r="D36" i="17"/>
  <c r="D20" i="39" s="1"/>
  <c r="C36" i="17"/>
  <c r="C20" i="39" s="1"/>
  <c r="B36" i="17"/>
  <c r="B20" i="39" s="1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A20" i="39" s="1"/>
  <c r="M40" i="16"/>
  <c r="J40" i="16"/>
  <c r="I40" i="16"/>
  <c r="Q38" i="16"/>
  <c r="Q40" i="16" s="1"/>
  <c r="P38" i="16"/>
  <c r="P40" i="16" s="1"/>
  <c r="O38" i="16"/>
  <c r="O40" i="16" s="1"/>
  <c r="N38" i="16"/>
  <c r="N39" i="16" s="1"/>
  <c r="M38" i="16"/>
  <c r="M39" i="16" s="1"/>
  <c r="L38" i="16"/>
  <c r="L39" i="16" s="1"/>
  <c r="K38" i="16"/>
  <c r="K39" i="16" s="1"/>
  <c r="J38" i="16"/>
  <c r="J39" i="16" s="1"/>
  <c r="I38" i="16"/>
  <c r="I39" i="16" s="1"/>
  <c r="H38" i="16"/>
  <c r="H39" i="16" s="1"/>
  <c r="G38" i="16"/>
  <c r="G39" i="16" s="1"/>
  <c r="F38" i="16"/>
  <c r="F39" i="16" s="1"/>
  <c r="E38" i="16"/>
  <c r="E40" i="16" s="1"/>
  <c r="D38" i="16"/>
  <c r="D39" i="16" s="1"/>
  <c r="C38" i="16"/>
  <c r="C39" i="16" s="1"/>
  <c r="B38" i="16"/>
  <c r="B39" i="16" s="1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F19" i="39" s="1"/>
  <c r="E36" i="16"/>
  <c r="E19" i="39" s="1"/>
  <c r="D36" i="16"/>
  <c r="D19" i="39" s="1"/>
  <c r="C36" i="16"/>
  <c r="C19" i="39" s="1"/>
  <c r="B36" i="16"/>
  <c r="B19" i="39" s="1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A19" i="39" s="1"/>
  <c r="E40" i="15"/>
  <c r="C40" i="15"/>
  <c r="E39" i="15"/>
  <c r="Q38" i="15"/>
  <c r="Q39" i="15" s="1"/>
  <c r="P38" i="15"/>
  <c r="P40" i="15" s="1"/>
  <c r="O38" i="15"/>
  <c r="O40" i="15" s="1"/>
  <c r="N38" i="15"/>
  <c r="N39" i="15" s="1"/>
  <c r="M38" i="15"/>
  <c r="M39" i="15" s="1"/>
  <c r="L38" i="15"/>
  <c r="L39" i="15" s="1"/>
  <c r="K38" i="15"/>
  <c r="K40" i="15" s="1"/>
  <c r="J38" i="15"/>
  <c r="J39" i="15" s="1"/>
  <c r="I38" i="15"/>
  <c r="I39" i="15" s="1"/>
  <c r="H38" i="15"/>
  <c r="H39" i="15" s="1"/>
  <c r="G38" i="15"/>
  <c r="G39" i="15" s="1"/>
  <c r="F38" i="15"/>
  <c r="F39" i="15" s="1"/>
  <c r="E38" i="15"/>
  <c r="D38" i="15"/>
  <c r="D39" i="15" s="1"/>
  <c r="C38" i="15"/>
  <c r="C39" i="15" s="1"/>
  <c r="B38" i="15"/>
  <c r="B40" i="15" s="1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G18" i="39" s="1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A18" i="39" s="1"/>
  <c r="K40" i="14"/>
  <c r="H40" i="14"/>
  <c r="G40" i="14"/>
  <c r="D39" i="14"/>
  <c r="Q38" i="14"/>
  <c r="Q40" i="14" s="1"/>
  <c r="P38" i="14"/>
  <c r="P39" i="14" s="1"/>
  <c r="O38" i="14"/>
  <c r="O39" i="14" s="1"/>
  <c r="N38" i="14"/>
  <c r="N40" i="14" s="1"/>
  <c r="M38" i="14"/>
  <c r="M39" i="14" s="1"/>
  <c r="L38" i="14"/>
  <c r="L39" i="14" s="1"/>
  <c r="K38" i="14"/>
  <c r="K39" i="14" s="1"/>
  <c r="J38" i="14"/>
  <c r="J40" i="14" s="1"/>
  <c r="I38" i="14"/>
  <c r="I39" i="14" s="1"/>
  <c r="H38" i="14"/>
  <c r="H39" i="14" s="1"/>
  <c r="G38" i="14"/>
  <c r="G39" i="14" s="1"/>
  <c r="F38" i="14"/>
  <c r="F40" i="14" s="1"/>
  <c r="E38" i="14"/>
  <c r="E40" i="14" s="1"/>
  <c r="D38" i="14"/>
  <c r="D40" i="14" s="1"/>
  <c r="C38" i="14"/>
  <c r="B38" i="14"/>
  <c r="B39" i="14" s="1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Q17" i="39" s="1"/>
  <c r="P36" i="14"/>
  <c r="P17" i="39" s="1"/>
  <c r="O36" i="14"/>
  <c r="O17" i="39" s="1"/>
  <c r="N36" i="14"/>
  <c r="N17" i="39" s="1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H17" i="39" s="1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A17" i="39" s="1"/>
  <c r="Q38" i="13"/>
  <c r="Q39" i="13" s="1"/>
  <c r="P38" i="13"/>
  <c r="P40" i="13" s="1"/>
  <c r="O38" i="13"/>
  <c r="O39" i="13" s="1"/>
  <c r="N38" i="13"/>
  <c r="N40" i="13" s="1"/>
  <c r="M38" i="13"/>
  <c r="M40" i="13" s="1"/>
  <c r="L38" i="13"/>
  <c r="L40" i="13" s="1"/>
  <c r="K38" i="13"/>
  <c r="K40" i="13" s="1"/>
  <c r="J38" i="13"/>
  <c r="J40" i="13" s="1"/>
  <c r="I38" i="13"/>
  <c r="I40" i="13" s="1"/>
  <c r="H38" i="13"/>
  <c r="H40" i="13" s="1"/>
  <c r="G38" i="13"/>
  <c r="G40" i="13" s="1"/>
  <c r="F38" i="13"/>
  <c r="F40" i="13" s="1"/>
  <c r="E38" i="13"/>
  <c r="E40" i="13" s="1"/>
  <c r="D38" i="13"/>
  <c r="D40" i="13" s="1"/>
  <c r="C38" i="13"/>
  <c r="C40" i="13" s="1"/>
  <c r="B38" i="13"/>
  <c r="B40" i="13" s="1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I16" i="39" s="1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A16" i="39" s="1"/>
  <c r="Q38" i="12"/>
  <c r="Q40" i="12" s="1"/>
  <c r="P38" i="12"/>
  <c r="P40" i="12" s="1"/>
  <c r="O38" i="12"/>
  <c r="O40" i="12" s="1"/>
  <c r="N38" i="12"/>
  <c r="N40" i="12" s="1"/>
  <c r="M38" i="12"/>
  <c r="M40" i="12" s="1"/>
  <c r="L38" i="12"/>
  <c r="L40" i="12" s="1"/>
  <c r="K38" i="12"/>
  <c r="K40" i="12" s="1"/>
  <c r="J38" i="12"/>
  <c r="J40" i="12" s="1"/>
  <c r="I38" i="12"/>
  <c r="I40" i="12" s="1"/>
  <c r="H38" i="12"/>
  <c r="H40" i="12" s="1"/>
  <c r="G38" i="12"/>
  <c r="G40" i="12" s="1"/>
  <c r="F40" i="12"/>
  <c r="E38" i="12"/>
  <c r="E39" i="12" s="1"/>
  <c r="D38" i="12"/>
  <c r="D40" i="12" s="1"/>
  <c r="C38" i="12"/>
  <c r="C40" i="12" s="1"/>
  <c r="B38" i="12"/>
  <c r="B40" i="12" s="1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Q15" i="39" s="1"/>
  <c r="P36" i="12"/>
  <c r="P15" i="39" s="1"/>
  <c r="O36" i="12"/>
  <c r="O15" i="39" s="1"/>
  <c r="N36" i="12"/>
  <c r="N15" i="39" s="1"/>
  <c r="M36" i="12"/>
  <c r="M15" i="39" s="1"/>
  <c r="L36" i="12"/>
  <c r="L15" i="39" s="1"/>
  <c r="K36" i="12"/>
  <c r="K15" i="39" s="1"/>
  <c r="J36" i="12"/>
  <c r="J15" i="39" s="1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A15" i="39" s="1"/>
  <c r="Q38" i="11"/>
  <c r="Q40" i="11" s="1"/>
  <c r="P38" i="11"/>
  <c r="P39" i="11" s="1"/>
  <c r="O38" i="11"/>
  <c r="O40" i="11" s="1"/>
  <c r="N38" i="11"/>
  <c r="N40" i="11" s="1"/>
  <c r="M38" i="11"/>
  <c r="M40" i="11" s="1"/>
  <c r="L38" i="11"/>
  <c r="L40" i="11" s="1"/>
  <c r="K38" i="11"/>
  <c r="K40" i="11" s="1"/>
  <c r="J38" i="11"/>
  <c r="J40" i="11" s="1"/>
  <c r="I38" i="11"/>
  <c r="I40" i="11" s="1"/>
  <c r="H38" i="11"/>
  <c r="H40" i="11" s="1"/>
  <c r="G38" i="11"/>
  <c r="G40" i="11" s="1"/>
  <c r="F40" i="11"/>
  <c r="E38" i="11"/>
  <c r="E40" i="11" s="1"/>
  <c r="D38" i="11"/>
  <c r="D40" i="11" s="1"/>
  <c r="C38" i="11"/>
  <c r="C39" i="11" s="1"/>
  <c r="B38" i="11"/>
  <c r="B40" i="11" s="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K14" i="39" s="1"/>
  <c r="J36" i="11"/>
  <c r="J14" i="39" s="1"/>
  <c r="I36" i="11"/>
  <c r="I14" i="39" s="1"/>
  <c r="H36" i="11"/>
  <c r="H14" i="39" s="1"/>
  <c r="G36" i="11"/>
  <c r="G14" i="39" s="1"/>
  <c r="F36" i="11"/>
  <c r="E36" i="11"/>
  <c r="E14" i="39" s="1"/>
  <c r="D36" i="11"/>
  <c r="D14" i="39" s="1"/>
  <c r="C36" i="11"/>
  <c r="C14" i="39" s="1"/>
  <c r="B36" i="11"/>
  <c r="B14" i="39" s="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A14" i="39" s="1"/>
  <c r="Q38" i="10"/>
  <c r="Q39" i="10" s="1"/>
  <c r="P38" i="10"/>
  <c r="P40" i="10" s="1"/>
  <c r="O38" i="10"/>
  <c r="O40" i="10" s="1"/>
  <c r="N38" i="10"/>
  <c r="N40" i="10" s="1"/>
  <c r="M38" i="10"/>
  <c r="M40" i="10" s="1"/>
  <c r="L38" i="10"/>
  <c r="L40" i="10" s="1"/>
  <c r="K38" i="10"/>
  <c r="K40" i="10" s="1"/>
  <c r="J38" i="10"/>
  <c r="J40" i="10" s="1"/>
  <c r="I38" i="10"/>
  <c r="I40" i="10" s="1"/>
  <c r="H40" i="10"/>
  <c r="G40" i="10"/>
  <c r="F38" i="10"/>
  <c r="F40" i="10" s="1"/>
  <c r="E38" i="10"/>
  <c r="E40" i="10" s="1"/>
  <c r="D38" i="10"/>
  <c r="D40" i="10" s="1"/>
  <c r="C38" i="10"/>
  <c r="C40" i="10" s="1"/>
  <c r="B38" i="10"/>
  <c r="B40" i="10" s="1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Q13" i="39" s="1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A13" i="39" s="1"/>
  <c r="Q38" i="9"/>
  <c r="Q40" i="9" s="1"/>
  <c r="P38" i="9"/>
  <c r="P40" i="9" s="1"/>
  <c r="O38" i="9"/>
  <c r="O40" i="9" s="1"/>
  <c r="N38" i="9"/>
  <c r="N40" i="9" s="1"/>
  <c r="M38" i="9"/>
  <c r="M40" i="9" s="1"/>
  <c r="L38" i="9"/>
  <c r="L40" i="9" s="1"/>
  <c r="K38" i="9"/>
  <c r="K40" i="9" s="1"/>
  <c r="J38" i="9"/>
  <c r="J40" i="9" s="1"/>
  <c r="I38" i="9"/>
  <c r="I40" i="9" s="1"/>
  <c r="H38" i="9"/>
  <c r="H39" i="9" s="1"/>
  <c r="G38" i="9"/>
  <c r="G40" i="9" s="1"/>
  <c r="F38" i="9"/>
  <c r="F40" i="9" s="1"/>
  <c r="E38" i="9"/>
  <c r="E39" i="9" s="1"/>
  <c r="D38" i="9"/>
  <c r="D40" i="9" s="1"/>
  <c r="C38" i="9"/>
  <c r="C39" i="9" s="1"/>
  <c r="B38" i="9"/>
  <c r="B40" i="9" s="1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Q12" i="39" s="1"/>
  <c r="P36" i="9"/>
  <c r="P12" i="39" s="1"/>
  <c r="O36" i="9"/>
  <c r="O12" i="39" s="1"/>
  <c r="N36" i="9"/>
  <c r="N12" i="39" s="1"/>
  <c r="M36" i="9"/>
  <c r="M12" i="39" s="1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A12" i="39" s="1"/>
  <c r="Q38" i="8"/>
  <c r="Q40" i="8" s="1"/>
  <c r="P38" i="8"/>
  <c r="P40" i="8" s="1"/>
  <c r="O38" i="8"/>
  <c r="O40" i="8" s="1"/>
  <c r="N38" i="8"/>
  <c r="N40" i="8" s="1"/>
  <c r="M38" i="8"/>
  <c r="M40" i="8" s="1"/>
  <c r="L38" i="8"/>
  <c r="L40" i="8" s="1"/>
  <c r="K38" i="8"/>
  <c r="K40" i="8" s="1"/>
  <c r="J38" i="8"/>
  <c r="J40" i="8" s="1"/>
  <c r="I38" i="8"/>
  <c r="I39" i="8" s="1"/>
  <c r="H38" i="8"/>
  <c r="H40" i="8" s="1"/>
  <c r="G38" i="8"/>
  <c r="G40" i="8" s="1"/>
  <c r="F38" i="8"/>
  <c r="F39" i="8" s="1"/>
  <c r="E38" i="8"/>
  <c r="E40" i="8" s="1"/>
  <c r="D38" i="8"/>
  <c r="D40" i="8" s="1"/>
  <c r="C38" i="8"/>
  <c r="C39" i="8" s="1"/>
  <c r="B38" i="8"/>
  <c r="B40" i="8" s="1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Q11" i="39" s="1"/>
  <c r="P36" i="8"/>
  <c r="P11" i="39" s="1"/>
  <c r="O36" i="8"/>
  <c r="O11" i="39" s="1"/>
  <c r="N36" i="8"/>
  <c r="N11" i="39" s="1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A11" i="39" s="1"/>
  <c r="Q38" i="3"/>
  <c r="Q40" i="3" s="1"/>
  <c r="P38" i="3"/>
  <c r="P39" i="3" s="1"/>
  <c r="O38" i="3"/>
  <c r="O40" i="3" s="1"/>
  <c r="N38" i="3"/>
  <c r="N40" i="3" s="1"/>
  <c r="M38" i="3"/>
  <c r="M40" i="3" s="1"/>
  <c r="L38" i="3"/>
  <c r="L40" i="3" s="1"/>
  <c r="K38" i="3"/>
  <c r="K39" i="3" s="1"/>
  <c r="J38" i="3"/>
  <c r="J39" i="3" s="1"/>
  <c r="I38" i="3"/>
  <c r="I40" i="3" s="1"/>
  <c r="H38" i="3"/>
  <c r="H40" i="3" s="1"/>
  <c r="G38" i="3"/>
  <c r="G39" i="3" s="1"/>
  <c r="F38" i="3"/>
  <c r="F40" i="3" s="1"/>
  <c r="E38" i="3"/>
  <c r="E39" i="3" s="1"/>
  <c r="D38" i="3"/>
  <c r="D39" i="3" s="1"/>
  <c r="C38" i="3"/>
  <c r="C40" i="3" s="1"/>
  <c r="B38" i="3"/>
  <c r="B40" i="3" s="1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Q10" i="39" s="1"/>
  <c r="P36" i="3"/>
  <c r="P10" i="39" s="1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A10" i="39" s="1"/>
  <c r="Q38" i="2"/>
  <c r="Q39" i="2" s="1"/>
  <c r="P38" i="2"/>
  <c r="P39" i="2" s="1"/>
  <c r="O38" i="2"/>
  <c r="O40" i="2" s="1"/>
  <c r="N38" i="2"/>
  <c r="N40" i="2" s="1"/>
  <c r="M38" i="2"/>
  <c r="M39" i="2" s="1"/>
  <c r="L38" i="2"/>
  <c r="L40" i="2" s="1"/>
  <c r="K38" i="2"/>
  <c r="K40" i="2" s="1"/>
  <c r="J38" i="2"/>
  <c r="J40" i="2" s="1"/>
  <c r="I38" i="2"/>
  <c r="I40" i="2" s="1"/>
  <c r="H38" i="2"/>
  <c r="H39" i="2" s="1"/>
  <c r="G38" i="2"/>
  <c r="G40" i="2" s="1"/>
  <c r="F38" i="2"/>
  <c r="F40" i="2" s="1"/>
  <c r="E38" i="2"/>
  <c r="E40" i="2" s="1"/>
  <c r="D38" i="2"/>
  <c r="D40" i="2" s="1"/>
  <c r="C38" i="2"/>
  <c r="C40" i="2" s="1"/>
  <c r="B38" i="2"/>
  <c r="B40" i="2" s="1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  <c r="A9" i="39" s="1"/>
  <c r="B2" i="39" s="1"/>
  <c r="H39" i="40" l="1"/>
  <c r="I39" i="40"/>
  <c r="P39" i="43"/>
  <c r="B40" i="43"/>
  <c r="E39" i="33"/>
  <c r="K39" i="33"/>
  <c r="C40" i="33"/>
  <c r="F40" i="33"/>
  <c r="I40" i="33"/>
  <c r="G40" i="32"/>
  <c r="H40" i="32"/>
  <c r="F40" i="32"/>
  <c r="I40" i="32"/>
  <c r="K40" i="32"/>
  <c r="B40" i="32"/>
  <c r="C39" i="31"/>
  <c r="I39" i="31"/>
  <c r="J39" i="31"/>
  <c r="K39" i="31"/>
  <c r="L39" i="31"/>
  <c r="M40" i="31"/>
  <c r="I39" i="30"/>
  <c r="J39" i="30"/>
  <c r="L39" i="30"/>
  <c r="M39" i="30"/>
  <c r="N39" i="30"/>
  <c r="F39" i="29"/>
  <c r="G40" i="29"/>
  <c r="E40" i="29"/>
  <c r="J40" i="29"/>
  <c r="K40" i="29"/>
  <c r="L40" i="29"/>
  <c r="C39" i="29"/>
  <c r="N40" i="29"/>
  <c r="P39" i="28"/>
  <c r="F40" i="28"/>
  <c r="G40" i="28"/>
  <c r="L39" i="28"/>
  <c r="M39" i="28"/>
  <c r="O39" i="28"/>
  <c r="M39" i="27"/>
  <c r="H40" i="27"/>
  <c r="I40" i="27"/>
  <c r="L40" i="27"/>
  <c r="P40" i="27"/>
  <c r="G39" i="27"/>
  <c r="K39" i="27"/>
  <c r="F39" i="26"/>
  <c r="N39" i="26"/>
  <c r="Q39" i="26"/>
  <c r="B40" i="26"/>
  <c r="C40" i="26"/>
  <c r="I40" i="26"/>
  <c r="K39" i="25"/>
  <c r="O39" i="25"/>
  <c r="P39" i="25"/>
  <c r="Q39" i="25"/>
  <c r="J40" i="25"/>
  <c r="I39" i="25"/>
  <c r="K40" i="24"/>
  <c r="H39" i="24"/>
  <c r="P39" i="24"/>
  <c r="Q39" i="24"/>
  <c r="C40" i="24"/>
  <c r="D40" i="24"/>
  <c r="E40" i="24"/>
  <c r="J40" i="24"/>
  <c r="M40" i="23"/>
  <c r="K39" i="23"/>
  <c r="O39" i="23"/>
  <c r="L39" i="22"/>
  <c r="D40" i="22"/>
  <c r="F40" i="22"/>
  <c r="I40" i="22"/>
  <c r="J40" i="22"/>
  <c r="M40" i="22"/>
  <c r="N39" i="21"/>
  <c r="O39" i="21"/>
  <c r="B40" i="21"/>
  <c r="E40" i="21"/>
  <c r="F40" i="21"/>
  <c r="G40" i="21"/>
  <c r="K40" i="21"/>
  <c r="I40" i="20"/>
  <c r="P40" i="20"/>
  <c r="O39" i="20"/>
  <c r="B40" i="20"/>
  <c r="C40" i="20"/>
  <c r="E40" i="20"/>
  <c r="H40" i="20"/>
  <c r="P39" i="19"/>
  <c r="F40" i="19"/>
  <c r="J40" i="19"/>
  <c r="K40" i="19"/>
  <c r="M40" i="19"/>
  <c r="O40" i="19"/>
  <c r="H39" i="19"/>
  <c r="I39" i="19"/>
  <c r="L39" i="19"/>
  <c r="L40" i="18"/>
  <c r="M40" i="18"/>
  <c r="N40" i="18"/>
  <c r="P40" i="18"/>
  <c r="E39" i="18"/>
  <c r="F39" i="18"/>
  <c r="I39" i="18"/>
  <c r="B40" i="18"/>
  <c r="G40" i="18"/>
  <c r="G40" i="17"/>
  <c r="H40" i="17"/>
  <c r="L40" i="17"/>
  <c r="E39" i="17"/>
  <c r="N40" i="17"/>
  <c r="F39" i="17"/>
  <c r="O39" i="17"/>
  <c r="C40" i="17"/>
  <c r="H40" i="16"/>
  <c r="N40" i="16"/>
  <c r="C40" i="16"/>
  <c r="D40" i="16"/>
  <c r="F40" i="16"/>
  <c r="G40" i="16"/>
  <c r="P39" i="15"/>
  <c r="F40" i="15"/>
  <c r="G40" i="15"/>
  <c r="M41" i="39"/>
  <c r="H40" i="15"/>
  <c r="I40" i="15"/>
  <c r="L40" i="15"/>
  <c r="M40" i="15"/>
  <c r="Q40" i="15"/>
  <c r="K39" i="15"/>
  <c r="O39" i="15"/>
  <c r="E39" i="14"/>
  <c r="L40" i="14"/>
  <c r="F39" i="14"/>
  <c r="O40" i="14"/>
  <c r="P40" i="14"/>
  <c r="J39" i="14"/>
  <c r="N39" i="14"/>
  <c r="Q39" i="14"/>
  <c r="B40" i="14"/>
  <c r="O40" i="39"/>
  <c r="D39" i="10"/>
  <c r="J44" i="39"/>
  <c r="J43" i="39"/>
  <c r="J42" i="39"/>
  <c r="J41" i="39"/>
  <c r="J40" i="39"/>
  <c r="L44" i="39"/>
  <c r="L43" i="39"/>
  <c r="L42" i="39"/>
  <c r="L41" i="39"/>
  <c r="L40" i="39"/>
  <c r="D40" i="3"/>
  <c r="K39" i="20"/>
  <c r="F39" i="23"/>
  <c r="D39" i="25"/>
  <c r="N39" i="13"/>
  <c r="O39" i="16"/>
  <c r="F39" i="2"/>
  <c r="C40" i="9"/>
  <c r="P39" i="12"/>
  <c r="P39" i="16"/>
  <c r="B39" i="17"/>
  <c r="B39" i="27"/>
  <c r="G39" i="43"/>
  <c r="G44" i="39"/>
  <c r="G43" i="39"/>
  <c r="G42" i="39"/>
  <c r="G41" i="39"/>
  <c r="G40" i="39"/>
  <c r="G39" i="2"/>
  <c r="F39" i="3"/>
  <c r="E39" i="8"/>
  <c r="D39" i="9"/>
  <c r="C39" i="10"/>
  <c r="B39" i="11"/>
  <c r="Q39" i="12"/>
  <c r="P39" i="13"/>
  <c r="B40" i="16"/>
  <c r="B39" i="22"/>
  <c r="E40" i="22"/>
  <c r="I39" i="23"/>
  <c r="B40" i="24"/>
  <c r="G39" i="25"/>
  <c r="P39" i="26"/>
  <c r="E39" i="27"/>
  <c r="N39" i="28"/>
  <c r="K39" i="30"/>
  <c r="E39" i="31"/>
  <c r="O39" i="33"/>
  <c r="H39" i="43"/>
  <c r="D39" i="40"/>
  <c r="Q40" i="40"/>
  <c r="E44" i="39"/>
  <c r="E43" i="39"/>
  <c r="E42" i="39"/>
  <c r="E41" i="39"/>
  <c r="E40" i="39"/>
  <c r="Q40" i="10"/>
  <c r="E39" i="23"/>
  <c r="O40" i="13"/>
  <c r="C40" i="11"/>
  <c r="H39" i="3"/>
  <c r="G39" i="8"/>
  <c r="F39" i="9"/>
  <c r="E39" i="10"/>
  <c r="D39" i="11"/>
  <c r="C39" i="12"/>
  <c r="B39" i="13"/>
  <c r="D40" i="15"/>
  <c r="C40" i="21"/>
  <c r="Q40" i="31"/>
  <c r="J39" i="43"/>
  <c r="G39" i="40"/>
  <c r="O39" i="12"/>
  <c r="J39" i="20"/>
  <c r="I44" i="39"/>
  <c r="I43" i="39"/>
  <c r="I42" i="39"/>
  <c r="I41" i="39"/>
  <c r="I40" i="39"/>
  <c r="I39" i="2"/>
  <c r="J39" i="2"/>
  <c r="I39" i="3"/>
  <c r="H39" i="8"/>
  <c r="G39" i="9"/>
  <c r="F39" i="10"/>
  <c r="E39" i="11"/>
  <c r="D39" i="12"/>
  <c r="C39" i="13"/>
  <c r="C40" i="8"/>
  <c r="F43" i="39"/>
  <c r="F42" i="39"/>
  <c r="F41" i="39"/>
  <c r="F40" i="39"/>
  <c r="E40" i="3"/>
  <c r="D39" i="8"/>
  <c r="B39" i="10"/>
  <c r="H44" i="39"/>
  <c r="H43" i="39"/>
  <c r="H42" i="39"/>
  <c r="H41" i="39"/>
  <c r="H40" i="39"/>
  <c r="F40" i="8"/>
  <c r="B39" i="12"/>
  <c r="J40" i="3"/>
  <c r="I40" i="8"/>
  <c r="E40" i="12"/>
  <c r="D39" i="13"/>
  <c r="L39" i="2"/>
  <c r="I39" i="9"/>
  <c r="H39" i="10"/>
  <c r="G39" i="11"/>
  <c r="F39" i="12"/>
  <c r="E39" i="13"/>
  <c r="H40" i="33"/>
  <c r="H40" i="2"/>
  <c r="E40" i="9"/>
  <c r="Q40" i="13"/>
  <c r="E39" i="16"/>
  <c r="M40" i="2"/>
  <c r="L39" i="3"/>
  <c r="K39" i="8"/>
  <c r="J39" i="9"/>
  <c r="I39" i="10"/>
  <c r="H39" i="11"/>
  <c r="G39" i="12"/>
  <c r="F39" i="13"/>
  <c r="Q40" i="27"/>
  <c r="F40" i="30"/>
  <c r="L40" i="32"/>
  <c r="D40" i="43"/>
  <c r="M40" i="39"/>
  <c r="C40" i="14"/>
  <c r="C39" i="14"/>
  <c r="K40" i="3"/>
  <c r="J39" i="8"/>
  <c r="N44" i="39"/>
  <c r="N43" i="39"/>
  <c r="N42" i="39"/>
  <c r="N41" i="39"/>
  <c r="N40" i="39"/>
  <c r="N39" i="2"/>
  <c r="M39" i="3"/>
  <c r="L39" i="8"/>
  <c r="K39" i="9"/>
  <c r="J39" i="10"/>
  <c r="I39" i="11"/>
  <c r="H39" i="12"/>
  <c r="G39" i="13"/>
  <c r="M40" i="17"/>
  <c r="Q40" i="18"/>
  <c r="C40" i="19"/>
  <c r="L40" i="24"/>
  <c r="J40" i="26"/>
  <c r="H40" i="28"/>
  <c r="O40" i="29"/>
  <c r="H40" i="30"/>
  <c r="P40" i="32"/>
  <c r="P40" i="11"/>
  <c r="O44" i="39"/>
  <c r="O39" i="2"/>
  <c r="N39" i="3"/>
  <c r="M39" i="8"/>
  <c r="L39" i="9"/>
  <c r="K39" i="10"/>
  <c r="J39" i="11"/>
  <c r="I39" i="12"/>
  <c r="H39" i="13"/>
  <c r="I40" i="14"/>
  <c r="J40" i="15"/>
  <c r="K40" i="16"/>
  <c r="F40" i="20"/>
  <c r="I40" i="21"/>
  <c r="P40" i="22"/>
  <c r="J40" i="28"/>
  <c r="P40" i="29"/>
  <c r="E39" i="2"/>
  <c r="K44" i="39"/>
  <c r="K43" i="39"/>
  <c r="K42" i="39"/>
  <c r="K41" i="39"/>
  <c r="K40" i="39"/>
  <c r="P40" i="2"/>
  <c r="O39" i="3"/>
  <c r="N39" i="8"/>
  <c r="M39" i="9"/>
  <c r="L39" i="10"/>
  <c r="K39" i="11"/>
  <c r="J39" i="12"/>
  <c r="I39" i="13"/>
  <c r="L40" i="16"/>
  <c r="E40" i="19"/>
  <c r="G40" i="20"/>
  <c r="J40" i="21"/>
  <c r="Q40" i="22"/>
  <c r="D40" i="23"/>
  <c r="O40" i="24"/>
  <c r="B40" i="25"/>
  <c r="M40" i="26"/>
  <c r="K40" i="28"/>
  <c r="O41" i="39"/>
  <c r="Q39" i="11"/>
  <c r="G40" i="3"/>
  <c r="H40" i="9"/>
  <c r="F39" i="11"/>
  <c r="M44" i="39"/>
  <c r="O39" i="8"/>
  <c r="N39" i="9"/>
  <c r="M39" i="10"/>
  <c r="L39" i="11"/>
  <c r="K39" i="12"/>
  <c r="J39" i="13"/>
  <c r="Q40" i="17"/>
  <c r="C40" i="25"/>
  <c r="M42" i="39"/>
  <c r="B39" i="9"/>
  <c r="G39" i="10"/>
  <c r="Q40" i="2"/>
  <c r="B44" i="39"/>
  <c r="B43" i="39"/>
  <c r="B42" i="39"/>
  <c r="B41" i="39"/>
  <c r="B40" i="39"/>
  <c r="B39" i="2"/>
  <c r="Q39" i="3"/>
  <c r="P39" i="8"/>
  <c r="O39" i="9"/>
  <c r="N39" i="10"/>
  <c r="M39" i="11"/>
  <c r="L39" i="12"/>
  <c r="K39" i="13"/>
  <c r="D40" i="18"/>
  <c r="G40" i="19"/>
  <c r="M40" i="21"/>
  <c r="O42" i="39"/>
  <c r="K39" i="2"/>
  <c r="P40" i="3"/>
  <c r="C44" i="39"/>
  <c r="C43" i="39"/>
  <c r="C42" i="39"/>
  <c r="C41" i="39"/>
  <c r="C40" i="39"/>
  <c r="C39" i="2"/>
  <c r="B39" i="3"/>
  <c r="Q39" i="8"/>
  <c r="P39" i="9"/>
  <c r="O39" i="10"/>
  <c r="N39" i="11"/>
  <c r="M39" i="12"/>
  <c r="L39" i="13"/>
  <c r="M40" i="14"/>
  <c r="N40" i="15"/>
  <c r="M43" i="39"/>
  <c r="P44" i="39"/>
  <c r="P43" i="39"/>
  <c r="P42" i="39"/>
  <c r="P41" i="39"/>
  <c r="P40" i="39"/>
  <c r="Q44" i="39"/>
  <c r="Q43" i="39"/>
  <c r="Q42" i="39"/>
  <c r="Q41" i="39"/>
  <c r="Q40" i="39"/>
  <c r="D44" i="39"/>
  <c r="D43" i="39"/>
  <c r="D42" i="39"/>
  <c r="D41" i="39"/>
  <c r="D40" i="39"/>
  <c r="D39" i="2"/>
  <c r="C39" i="3"/>
  <c r="B39" i="8"/>
  <c r="Q39" i="9"/>
  <c r="P39" i="10"/>
  <c r="O39" i="11"/>
  <c r="N39" i="12"/>
  <c r="M39" i="13"/>
  <c r="O43" i="39"/>
  <c r="D39" i="17"/>
  <c r="C39" i="18"/>
  <c r="B39" i="19"/>
  <c r="Q39" i="20"/>
  <c r="P39" i="21"/>
  <c r="O39" i="22"/>
  <c r="N39" i="23"/>
  <c r="M39" i="24"/>
  <c r="L39" i="25"/>
  <c r="K39" i="26"/>
  <c r="J39" i="27"/>
  <c r="I39" i="28"/>
  <c r="H39" i="29"/>
  <c r="G39" i="30"/>
  <c r="F39" i="31"/>
  <c r="E39" i="32"/>
  <c r="D39" i="33"/>
  <c r="C39" i="43"/>
  <c r="B39" i="40"/>
  <c r="G39" i="33"/>
  <c r="F39" i="43"/>
  <c r="E39" i="40"/>
  <c r="O39" i="30"/>
  <c r="N39" i="31"/>
  <c r="M39" i="32"/>
  <c r="L39" i="33"/>
  <c r="K39" i="43"/>
  <c r="J39" i="40"/>
  <c r="H39" i="22"/>
  <c r="G39" i="23"/>
  <c r="F39" i="24"/>
  <c r="E39" i="25"/>
  <c r="D39" i="26"/>
  <c r="C39" i="27"/>
  <c r="B39" i="28"/>
  <c r="Q39" i="29"/>
  <c r="P39" i="30"/>
  <c r="O39" i="31"/>
  <c r="N39" i="32"/>
  <c r="M39" i="33"/>
  <c r="L39" i="43"/>
  <c r="K39" i="40"/>
  <c r="H39" i="23"/>
  <c r="G39" i="24"/>
  <c r="F39" i="25"/>
  <c r="E39" i="26"/>
  <c r="D39" i="27"/>
  <c r="C39" i="28"/>
  <c r="B39" i="29"/>
  <c r="Q39" i="30"/>
  <c r="P39" i="31"/>
  <c r="O39" i="32"/>
  <c r="N39" i="33"/>
  <c r="M39" i="43"/>
  <c r="L39" i="40"/>
  <c r="B39" i="15"/>
  <c r="Q39" i="16"/>
  <c r="P39" i="17"/>
  <c r="O39" i="18"/>
  <c r="N39" i="19"/>
  <c r="M39" i="20"/>
  <c r="L39" i="21"/>
  <c r="K39" i="22"/>
  <c r="J39" i="23"/>
  <c r="I39" i="24"/>
  <c r="H39" i="25"/>
  <c r="G39" i="26"/>
  <c r="F39" i="27"/>
  <c r="E39" i="28"/>
  <c r="D39" i="29"/>
  <c r="C39" i="30"/>
  <c r="B39" i="31"/>
  <c r="Q39" i="32"/>
  <c r="P39" i="33"/>
  <c r="O39" i="43"/>
  <c r="N39" i="40"/>
  <c r="E39" i="30"/>
  <c r="D39" i="31"/>
  <c r="C39" i="32"/>
  <c r="B39" i="33"/>
  <c r="Q39" i="43"/>
  <c r="P39" i="40"/>
  <c r="B46" i="39" l="1"/>
  <c r="B45" i="39"/>
  <c r="N46" i="39"/>
  <c r="N45" i="39"/>
  <c r="D46" i="39"/>
  <c r="D45" i="39"/>
  <c r="F46" i="39"/>
  <c r="F45" i="39"/>
  <c r="G46" i="39"/>
  <c r="G45" i="39"/>
  <c r="P46" i="39"/>
  <c r="P45" i="39"/>
  <c r="L46" i="39"/>
  <c r="L45" i="39"/>
  <c r="Q46" i="39"/>
  <c r="Q45" i="39"/>
  <c r="E46" i="39"/>
  <c r="E45" i="39"/>
  <c r="C46" i="39"/>
  <c r="C45" i="39"/>
  <c r="K46" i="39"/>
  <c r="K45" i="39"/>
  <c r="H46" i="39"/>
  <c r="H45" i="39"/>
  <c r="M46" i="39"/>
  <c r="M45" i="39"/>
  <c r="I46" i="39"/>
  <c r="I45" i="39"/>
  <c r="O46" i="39"/>
  <c r="O45" i="39"/>
  <c r="J46" i="39"/>
  <c r="J45" i="39"/>
</calcChain>
</file>

<file path=xl/sharedStrings.xml><?xml version="1.0" encoding="utf-8"?>
<sst xmlns="http://schemas.openxmlformats.org/spreadsheetml/2006/main" count="3068" uniqueCount="781">
  <si>
    <t>Station:</t>
  </si>
  <si>
    <t>IGKV ,RAIPUR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</si>
  <si>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</si>
  <si>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</si>
  <si>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</si>
  <si>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</si>
  <si>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</si>
  <si>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</si>
  <si>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</si>
  <si>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</si>
  <si>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</si>
  <si>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</si>
  <si>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</si>
  <si>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</si>
  <si>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</si>
  <si>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</si>
  <si>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</si>
  <si>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01 Hour</t>
  </si>
  <si>
    <t>Zero Referrence</t>
  </si>
  <si>
    <t>Z.Ref</t>
  </si>
  <si>
    <t>Warm Up</t>
  </si>
  <si>
    <t>Wm. Up</t>
  </si>
  <si>
    <t>Date &amp; Time</t>
  </si>
  <si>
    <t>NO</t>
  </si>
  <si>
    <t>NO2</t>
  </si>
  <si>
    <t>NOX</t>
  </si>
  <si>
    <t>SO2</t>
  </si>
  <si>
    <t>O3</t>
  </si>
  <si>
    <t>PM 10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</si>
  <si>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</si>
  <si>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</si>
  <si>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</si>
  <si>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</si>
  <si>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</si>
  <si>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</si>
  <si>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</si>
  <si>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</si>
  <si>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</si>
  <si>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</si>
  <si>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</si>
  <si>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</si>
  <si>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mg/m3</t>
  </si>
  <si>
    <t>m/sec</t>
  </si>
  <si>
    <t>deg</t>
  </si>
  <si>
    <t>degreC</t>
  </si>
  <si>
    <t>%</t>
  </si>
  <si>
    <t>w/m2</t>
  </si>
  <si>
    <t>mm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</si>
  <si>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</si>
  <si>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</si>
  <si>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</si>
  <si>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</si>
  <si>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</si>
  <si>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</si>
  <si>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</si>
  <si>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</si>
  <si>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</si>
  <si>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</si>
  <si>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</si>
  <si>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</si>
  <si>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animesh</t>
  </si>
  <si>
    <t>01/11/2025 01:00</t>
  </si>
  <si>
    <t>01/11/2025 02:00</t>
  </si>
  <si>
    <t>01/11/2025 03:00</t>
  </si>
  <si>
    <t>01/11/2025 04:00</t>
  </si>
  <si>
    <t>01/11/2025 05:00</t>
  </si>
  <si>
    <t>01/11/2025 06:00</t>
  </si>
  <si>
    <t>01/11/2025 07:00</t>
  </si>
  <si>
    <t>01/11/2025 08:00</t>
  </si>
  <si>
    <t>01/11/2025 09:00</t>
  </si>
  <si>
    <t>01/11/2025 10:00</t>
  </si>
  <si>
    <t>01/11/2025 11:00</t>
  </si>
  <si>
    <t>01/11/2025 12:00</t>
  </si>
  <si>
    <t>01/11/2025 13:00</t>
  </si>
  <si>
    <t>01/11/2025 14:00</t>
  </si>
  <si>
    <t>01/11/2025 15:00</t>
  </si>
  <si>
    <t>01/11/2025 16:00</t>
  </si>
  <si>
    <t>01/11/2025 17:00</t>
  </si>
  <si>
    <t>01/11/2025 18:00</t>
  </si>
  <si>
    <t>01/11/2025 19:00</t>
  </si>
  <si>
    <t>01/11/2025 20:00</t>
  </si>
  <si>
    <t>01/11/2025 21:00</t>
  </si>
  <si>
    <t>01/11/2025 22:00</t>
  </si>
  <si>
    <t>01/11/2025 23:00</t>
  </si>
  <si>
    <t>01/11/2025 24:00</t>
  </si>
  <si>
    <t>02/11/2025 01:00</t>
  </si>
  <si>
    <t>02/11/2025 02:00</t>
  </si>
  <si>
    <t>02/11/2025 03:00</t>
  </si>
  <si>
    <t>02/11/2025 04:00</t>
  </si>
  <si>
    <t>02/11/2025 05:00</t>
  </si>
  <si>
    <t>02/11/2025 06:00</t>
  </si>
  <si>
    <t>02/11/2025 07:00</t>
  </si>
  <si>
    <t>02/11/2025 08:00</t>
  </si>
  <si>
    <t>02/11/2025 09:00</t>
  </si>
  <si>
    <t>02/11/2025 10:00</t>
  </si>
  <si>
    <t>02/11/2025 11:00</t>
  </si>
  <si>
    <t>02/11/2025 12:00</t>
  </si>
  <si>
    <t>02/11/2025 13:00</t>
  </si>
  <si>
    <t>02/11/2025 14:00</t>
  </si>
  <si>
    <t>02/11/2025 15:00</t>
  </si>
  <si>
    <t>02/11/2025 16:00</t>
  </si>
  <si>
    <t>02/11/2025 17:00</t>
  </si>
  <si>
    <t>02/11/2025 18:00</t>
  </si>
  <si>
    <t>02/11/2025 19:00</t>
  </si>
  <si>
    <t>02/11/2025 20:00</t>
  </si>
  <si>
    <t>02/11/2025 21:00</t>
  </si>
  <si>
    <t>02/11/2025 22:00</t>
  </si>
  <si>
    <t>02/11/2025 23:00</t>
  </si>
  <si>
    <t>02/11/2025 24:00</t>
  </si>
  <si>
    <t>03/11/2025 01:00</t>
  </si>
  <si>
    <t>03/11/2025 02:00</t>
  </si>
  <si>
    <t>03/11/2025 03:00</t>
  </si>
  <si>
    <t>03/11/2025 04:00</t>
  </si>
  <si>
    <t>03/11/2025 05:00</t>
  </si>
  <si>
    <t>03/11/2025 06:00</t>
  </si>
  <si>
    <t>03/11/2025 07:00</t>
  </si>
  <si>
    <t>03/11/2025 08:00</t>
  </si>
  <si>
    <t>03/11/2025 09:00</t>
  </si>
  <si>
    <t>03/11/2025 10:00</t>
  </si>
  <si>
    <t>03/11/2025 11:00</t>
  </si>
  <si>
    <t>03/11/2025 12:00</t>
  </si>
  <si>
    <t>03/11/2025 13:00</t>
  </si>
  <si>
    <t>03/11/2025 14:00</t>
  </si>
  <si>
    <t>03/11/2025 15:00</t>
  </si>
  <si>
    <t>03/11/2025 16:00</t>
  </si>
  <si>
    <t>03/11/2025 17:00</t>
  </si>
  <si>
    <t>03/11/2025 18:00</t>
  </si>
  <si>
    <t>03/11/2025 19:00</t>
  </si>
  <si>
    <t>03/11/2025 20:00</t>
  </si>
  <si>
    <t>03/11/2025 21:00</t>
  </si>
  <si>
    <t>03/11/2025 22:00</t>
  </si>
  <si>
    <t>03/11/2025 23:00</t>
  </si>
  <si>
    <t>03/11/2025 24:00</t>
  </si>
  <si>
    <t>04/11/2025 01:00</t>
  </si>
  <si>
    <t>04/11/2025 02:00</t>
  </si>
  <si>
    <t>04/11/2025 03:00</t>
  </si>
  <si>
    <t>04/11/2025 04:00</t>
  </si>
  <si>
    <t>04/11/2025 05:00</t>
  </si>
  <si>
    <t>04/11/2025 06:00</t>
  </si>
  <si>
    <t>04/11/2025 07:00</t>
  </si>
  <si>
    <t>04/11/2025 08:00</t>
  </si>
  <si>
    <t>04/11/2025 09:00</t>
  </si>
  <si>
    <t>04/11/2025 10:00</t>
  </si>
  <si>
    <t>04/11/2025 11:00</t>
  </si>
  <si>
    <t>04/11/2025 12:00</t>
  </si>
  <si>
    <t>04/11/2025 13:00</t>
  </si>
  <si>
    <t>04/11/2025 14:00</t>
  </si>
  <si>
    <t>04/11/2025 15:00</t>
  </si>
  <si>
    <t>04/11/2025 16:00</t>
  </si>
  <si>
    <t>04/11/2025 17:00</t>
  </si>
  <si>
    <t>04/11/2025 18:00</t>
  </si>
  <si>
    <t>04/11/2025 19:00</t>
  </si>
  <si>
    <t>04/11/2025 20:00</t>
  </si>
  <si>
    <t>04/11/2025 21:00</t>
  </si>
  <si>
    <t>04/11/2025 22:00</t>
  </si>
  <si>
    <t>04/11/2025 23:00</t>
  </si>
  <si>
    <t>04/11/2025 24:00</t>
  </si>
  <si>
    <t>05/11/2025 01:00</t>
  </si>
  <si>
    <t>05/11/2025 02:00</t>
  </si>
  <si>
    <t>05/11/2025 03:00</t>
  </si>
  <si>
    <t>05/11/2025 04:00</t>
  </si>
  <si>
    <t>05/11/2025 05:00</t>
  </si>
  <si>
    <t>05/11/2025 06:00</t>
  </si>
  <si>
    <t>05/11/2025 07:00</t>
  </si>
  <si>
    <t>05/11/2025 08:00</t>
  </si>
  <si>
    <t>05/11/2025 09:00</t>
  </si>
  <si>
    <t>05/11/2025 10:00</t>
  </si>
  <si>
    <t>05/11/2025 11:00</t>
  </si>
  <si>
    <t>05/11/2025 12:00</t>
  </si>
  <si>
    <t>05/11/2025 13:00</t>
  </si>
  <si>
    <t>05/11/2025 14:00</t>
  </si>
  <si>
    <t>05/11/2025 15:00</t>
  </si>
  <si>
    <t>05/11/2025 16:00</t>
  </si>
  <si>
    <t>05/11/2025 17:00</t>
  </si>
  <si>
    <t>05/11/2025 18:00</t>
  </si>
  <si>
    <t>05/11/2025 19:00</t>
  </si>
  <si>
    <t>05/11/2025 20:00</t>
  </si>
  <si>
    <t>05/11/2025 21:00</t>
  </si>
  <si>
    <t>05/11/2025 22:00</t>
  </si>
  <si>
    <t>05/11/2025 23:00</t>
  </si>
  <si>
    <t>05/11/2025 24:00</t>
  </si>
  <si>
    <t>06/11/2025 01:00</t>
  </si>
  <si>
    <t>06/11/2025 02:00</t>
  </si>
  <si>
    <t>06/11/2025 03:00</t>
  </si>
  <si>
    <t>06/11/2025 04:00</t>
  </si>
  <si>
    <t>06/11/2025 05:00</t>
  </si>
  <si>
    <t>06/11/2025 06:00</t>
  </si>
  <si>
    <t>06/11/2025 07:00</t>
  </si>
  <si>
    <t>06/11/2025 08:00</t>
  </si>
  <si>
    <t>06/11/2025 09:00</t>
  </si>
  <si>
    <t>06/11/2025 10:00</t>
  </si>
  <si>
    <t>06/11/2025 11:00</t>
  </si>
  <si>
    <t>06/11/2025 12:00</t>
  </si>
  <si>
    <t>06/11/2025 13:00</t>
  </si>
  <si>
    <t>06/11/2025 14:00</t>
  </si>
  <si>
    <t>06/11/2025 15:00</t>
  </si>
  <si>
    <t>06/11/2025 16:00</t>
  </si>
  <si>
    <t>06/11/2025 17:00</t>
  </si>
  <si>
    <t>06/11/2025 18:00</t>
  </si>
  <si>
    <t>06/11/2025 19:00</t>
  </si>
  <si>
    <t>06/11/2025 20:00</t>
  </si>
  <si>
    <t>06/11/2025 21:00</t>
  </si>
  <si>
    <t>06/11/2025 22:00</t>
  </si>
  <si>
    <t>06/11/2025 23:00</t>
  </si>
  <si>
    <t>06/11/2025 24:00</t>
  </si>
  <si>
    <t>07/11/2025 01:00</t>
  </si>
  <si>
    <t>07/11/2025 02:00</t>
  </si>
  <si>
    <t>07/11/2025 03:00</t>
  </si>
  <si>
    <t>07/11/2025 04:00</t>
  </si>
  <si>
    <t>07/11/2025 05:00</t>
  </si>
  <si>
    <t>07/11/2025 06:00</t>
  </si>
  <si>
    <t>07/11/2025 07:00</t>
  </si>
  <si>
    <t>07/11/2025 08:00</t>
  </si>
  <si>
    <t>07/11/2025 09:00</t>
  </si>
  <si>
    <t>07/11/2025 10:00</t>
  </si>
  <si>
    <t>07/11/2025 11:00</t>
  </si>
  <si>
    <t>07/11/2025 12:00</t>
  </si>
  <si>
    <t>07/11/2025 13:00</t>
  </si>
  <si>
    <t>07/11/2025 14:00</t>
  </si>
  <si>
    <t>07/11/2025 15:00</t>
  </si>
  <si>
    <t>07/11/2025 16:00</t>
  </si>
  <si>
    <t>07/11/2025 17:00</t>
  </si>
  <si>
    <t>07/11/2025 18:00</t>
  </si>
  <si>
    <t>07/11/2025 19:00</t>
  </si>
  <si>
    <t>07/11/2025 20:00</t>
  </si>
  <si>
    <t>07/11/2025 21:00</t>
  </si>
  <si>
    <t>07/11/2025 22:00</t>
  </si>
  <si>
    <t>07/11/2025 23:00</t>
  </si>
  <si>
    <t>07/11/2025 24:00</t>
  </si>
  <si>
    <t>08/11/2025 01:00</t>
  </si>
  <si>
    <t>08/11/2025 02:00</t>
  </si>
  <si>
    <t>08/11/2025 03:00</t>
  </si>
  <si>
    <t>08/11/2025 04:00</t>
  </si>
  <si>
    <t>08/11/2025 05:00</t>
  </si>
  <si>
    <t>08/11/2025 06:00</t>
  </si>
  <si>
    <t>08/11/2025 07:00</t>
  </si>
  <si>
    <t>08/11/2025 08:00</t>
  </si>
  <si>
    <t>08/11/2025 09:00</t>
  </si>
  <si>
    <t>08/11/2025 10:00</t>
  </si>
  <si>
    <t>08/11/2025 11:00</t>
  </si>
  <si>
    <t>08/11/2025 12:00</t>
  </si>
  <si>
    <t>08/11/2025 13:00</t>
  </si>
  <si>
    <t>08/11/2025 14:00</t>
  </si>
  <si>
    <t>08/11/2025 15:00</t>
  </si>
  <si>
    <t>08/11/2025 16:00</t>
  </si>
  <si>
    <t>08/11/2025 17:00</t>
  </si>
  <si>
    <t>08/11/2025 18:00</t>
  </si>
  <si>
    <t>08/11/2025 19:00</t>
  </si>
  <si>
    <t>08/11/2025 20:00</t>
  </si>
  <si>
    <t>08/11/2025 21:00</t>
  </si>
  <si>
    <t>08/11/2025 22:00</t>
  </si>
  <si>
    <t>08/11/2025 23:00</t>
  </si>
  <si>
    <t>08/11/2025 24:00</t>
  </si>
  <si>
    <t>09/11/2025 01:00</t>
  </si>
  <si>
    <t>09/11/2025 02:00</t>
  </si>
  <si>
    <t>09/11/2025 03:00</t>
  </si>
  <si>
    <t>09/11/2025 04:00</t>
  </si>
  <si>
    <t>09/11/2025 05:00</t>
  </si>
  <si>
    <t>09/11/2025 06:00</t>
  </si>
  <si>
    <t>09/11/2025 07:00</t>
  </si>
  <si>
    <t>09/11/2025 08:00</t>
  </si>
  <si>
    <t>09/11/2025 09:00</t>
  </si>
  <si>
    <t>09/11/2025 10:00</t>
  </si>
  <si>
    <t>09/11/2025 11:00</t>
  </si>
  <si>
    <t>09/11/2025 12:00</t>
  </si>
  <si>
    <t>09/11/2025 13:00</t>
  </si>
  <si>
    <t>09/11/2025 14:00</t>
  </si>
  <si>
    <t>09/11/2025 15:00</t>
  </si>
  <si>
    <t>09/11/2025 16:00</t>
  </si>
  <si>
    <t>09/11/2025 17:00</t>
  </si>
  <si>
    <t>09/11/2025 18:00</t>
  </si>
  <si>
    <t>09/11/2025 19:00</t>
  </si>
  <si>
    <t>09/11/2025 20:00</t>
  </si>
  <si>
    <t>09/11/2025 21:00</t>
  </si>
  <si>
    <t>09/11/2025 22:00</t>
  </si>
  <si>
    <t>09/11/2025 23:00</t>
  </si>
  <si>
    <t>09/11/2025 24:00</t>
  </si>
  <si>
    <t>10/11/2025 01:00</t>
  </si>
  <si>
    <t>10/11/2025 02:00</t>
  </si>
  <si>
    <t>10/11/2025 03:00</t>
  </si>
  <si>
    <t>10/11/2025 04:00</t>
  </si>
  <si>
    <t>10/11/2025 05:00</t>
  </si>
  <si>
    <t>10/11/2025 06:00</t>
  </si>
  <si>
    <t>10/11/2025 07:00</t>
  </si>
  <si>
    <t>10/11/2025 08:00</t>
  </si>
  <si>
    <t>10/11/2025 09:00</t>
  </si>
  <si>
    <t>10/11/2025 10:00</t>
  </si>
  <si>
    <t>10/11/2025 11:00</t>
  </si>
  <si>
    <t>10/11/2025 12:00</t>
  </si>
  <si>
    <t>10/11/2025 13:00</t>
  </si>
  <si>
    <t>10/11/2025 14:00</t>
  </si>
  <si>
    <t>10/11/2025 15:00</t>
  </si>
  <si>
    <t>10/11/2025 16:00</t>
  </si>
  <si>
    <t>10/11/2025 17:00</t>
  </si>
  <si>
    <t>10/11/2025 18:00</t>
  </si>
  <si>
    <t>10/11/2025 19:00</t>
  </si>
  <si>
    <t>10/11/2025 20:00</t>
  </si>
  <si>
    <t>10/11/2025 21:00</t>
  </si>
  <si>
    <t>10/11/2025 22:00</t>
  </si>
  <si>
    <t>10/11/2025 23:00</t>
  </si>
  <si>
    <t>10/11/2025 24:00</t>
  </si>
  <si>
    <t>11/11/2025 01:00</t>
  </si>
  <si>
    <t>11/11/2025 02:00</t>
  </si>
  <si>
    <t>11/11/2025 03:00</t>
  </si>
  <si>
    <t>11/11/2025 04:00</t>
  </si>
  <si>
    <t>11/11/2025 05:00</t>
  </si>
  <si>
    <t>11/11/2025 06:00</t>
  </si>
  <si>
    <t>11/11/2025 07:00</t>
  </si>
  <si>
    <t>11/11/2025 08:00</t>
  </si>
  <si>
    <t>11/11/2025 09:00</t>
  </si>
  <si>
    <t>11/11/2025 10:00</t>
  </si>
  <si>
    <t>11/11/2025 11:00</t>
  </si>
  <si>
    <t>11/11/2025 12:00</t>
  </si>
  <si>
    <t>11/11/2025 13:00</t>
  </si>
  <si>
    <t>11/11/2025 14:00</t>
  </si>
  <si>
    <t>11/11/2025 15:00</t>
  </si>
  <si>
    <t>11/11/2025 16:00</t>
  </si>
  <si>
    <t>11/11/2025 17:00</t>
  </si>
  <si>
    <t>11/11/2025 18:00</t>
  </si>
  <si>
    <t>11/11/2025 19:00</t>
  </si>
  <si>
    <t>11/11/2025 20:00</t>
  </si>
  <si>
    <t>11/11/2025 21:00</t>
  </si>
  <si>
    <t>11/11/2025 22:00</t>
  </si>
  <si>
    <t>11/11/2025 23:00</t>
  </si>
  <si>
    <t>11/11/2025 24:00</t>
  </si>
  <si>
    <t>12/11/2025 01:00</t>
  </si>
  <si>
    <t>12/11/2025 02:00</t>
  </si>
  <si>
    <t>12/11/2025 03:00</t>
  </si>
  <si>
    <t>12/11/2025 04:00</t>
  </si>
  <si>
    <t>12/11/2025 05:00</t>
  </si>
  <si>
    <t>12/11/2025 06:00</t>
  </si>
  <si>
    <t>12/11/2025 07:00</t>
  </si>
  <si>
    <t>12/11/2025 08:00</t>
  </si>
  <si>
    <t>12/11/2025 09:00</t>
  </si>
  <si>
    <t>12/11/2025 10:00</t>
  </si>
  <si>
    <t>12/11/2025 11:00</t>
  </si>
  <si>
    <t>12/11/2025 12:00</t>
  </si>
  <si>
    <t>12/11/2025 13:00</t>
  </si>
  <si>
    <t>12/11/2025 14:00</t>
  </si>
  <si>
    <t>12/11/2025 15:00</t>
  </si>
  <si>
    <t>12/11/2025 16:00</t>
  </si>
  <si>
    <t>12/11/2025 17:00</t>
  </si>
  <si>
    <t>12/11/2025 18:00</t>
  </si>
  <si>
    <t>12/11/2025 19:00</t>
  </si>
  <si>
    <t>12/11/2025 20:00</t>
  </si>
  <si>
    <t>12/11/2025 21:00</t>
  </si>
  <si>
    <t>12/11/2025 22:00</t>
  </si>
  <si>
    <t>12/11/2025 23:00</t>
  </si>
  <si>
    <t>12/11/2025 24:00</t>
  </si>
  <si>
    <t>13/11/2025 01:00</t>
  </si>
  <si>
    <t>13/11/2025 02:00</t>
  </si>
  <si>
    <t>13/11/2025 03:00</t>
  </si>
  <si>
    <t>13/11/2025 04:00</t>
  </si>
  <si>
    <t>13/11/2025 05:00</t>
  </si>
  <si>
    <t>13/11/2025 06:00</t>
  </si>
  <si>
    <t>13/11/2025 07:00</t>
  </si>
  <si>
    <t>13/11/2025 08:00</t>
  </si>
  <si>
    <t>13/11/2025 09:00</t>
  </si>
  <si>
    <t>13/11/2025 10:00</t>
  </si>
  <si>
    <t>13/11/2025 11:00</t>
  </si>
  <si>
    <t>13/11/2025 12:00</t>
  </si>
  <si>
    <t>13/11/2025 13:00</t>
  </si>
  <si>
    <t>13/11/2025 14:00</t>
  </si>
  <si>
    <t>13/11/2025 15:00</t>
  </si>
  <si>
    <t>13/11/2025 16:00</t>
  </si>
  <si>
    <t>13/11/2025 17:00</t>
  </si>
  <si>
    <t>13/11/2025 18:00</t>
  </si>
  <si>
    <t>13/11/2025 19:00</t>
  </si>
  <si>
    <t>13/11/2025 20:00</t>
  </si>
  <si>
    <t>13/11/2025 21:00</t>
  </si>
  <si>
    <t>13/11/2025 22:00</t>
  </si>
  <si>
    <t>13/11/2025 23:00</t>
  </si>
  <si>
    <t>13/11/2025 24:00</t>
  </si>
  <si>
    <t>14/11/2025 01:00</t>
  </si>
  <si>
    <t>14/11/2025 02:00</t>
  </si>
  <si>
    <t>14/11/2025 03:00</t>
  </si>
  <si>
    <t>14/11/2025 04:00</t>
  </si>
  <si>
    <t>14/11/2025 05:00</t>
  </si>
  <si>
    <t>14/11/2025 06:00</t>
  </si>
  <si>
    <t>14/11/2025 07:00</t>
  </si>
  <si>
    <t>14/11/2025 08:00</t>
  </si>
  <si>
    <t>14/11/2025 09:00</t>
  </si>
  <si>
    <t>14/11/2025 10:00</t>
  </si>
  <si>
    <t>14/11/2025 11:00</t>
  </si>
  <si>
    <t>14/11/2025 12:00</t>
  </si>
  <si>
    <t>14/11/2025 13:00</t>
  </si>
  <si>
    <t>14/11/2025 14:00</t>
  </si>
  <si>
    <t>14/11/2025 15:00</t>
  </si>
  <si>
    <t>14/11/2025 16:00</t>
  </si>
  <si>
    <t>14/11/2025 17:00</t>
  </si>
  <si>
    <t>14/11/2025 18:00</t>
  </si>
  <si>
    <t>14/11/2025 19:00</t>
  </si>
  <si>
    <t>14/11/2025 20:00</t>
  </si>
  <si>
    <t>14/11/2025 21:00</t>
  </si>
  <si>
    <t>14/11/2025 22:00</t>
  </si>
  <si>
    <t>14/11/2025 23:00</t>
  </si>
  <si>
    <t>14/11/2025 24:00</t>
  </si>
  <si>
    <t>15/11/2025 01:00</t>
  </si>
  <si>
    <t>15/11/2025 02:00</t>
  </si>
  <si>
    <t>15/11/2025 03:00</t>
  </si>
  <si>
    <t>15/11/2025 04:00</t>
  </si>
  <si>
    <t>15/11/2025 05:00</t>
  </si>
  <si>
    <t>15/11/2025 06:00</t>
  </si>
  <si>
    <t>15/11/2025 07:00</t>
  </si>
  <si>
    <t>15/11/2025 08:00</t>
  </si>
  <si>
    <t>15/11/2025 09:00</t>
  </si>
  <si>
    <t>15/11/2025 10:00</t>
  </si>
  <si>
    <t>15/11/2025 11:00</t>
  </si>
  <si>
    <t>15/11/2025 12:00</t>
  </si>
  <si>
    <t>15/11/2025 13:00</t>
  </si>
  <si>
    <t>15/11/2025 14:00</t>
  </si>
  <si>
    <t>15/11/2025 15:00</t>
  </si>
  <si>
    <t>15/11/2025 16:00</t>
  </si>
  <si>
    <t>15/11/2025 17:00</t>
  </si>
  <si>
    <t>15/11/2025 18:00</t>
  </si>
  <si>
    <t>15/11/2025 19:00</t>
  </si>
  <si>
    <t>15/11/2025 20:00</t>
  </si>
  <si>
    <t>15/11/2025 21:00</t>
  </si>
  <si>
    <t>15/11/2025 22:00</t>
  </si>
  <si>
    <t>15/11/2025 23:00</t>
  </si>
  <si>
    <t>15/11/2025 24:00</t>
  </si>
  <si>
    <t>16/11/2025 01:00</t>
  </si>
  <si>
    <t>16/11/2025 02:00</t>
  </si>
  <si>
    <t>16/11/2025 03:00</t>
  </si>
  <si>
    <t>16/11/2025 04:00</t>
  </si>
  <si>
    <t>16/11/2025 05:00</t>
  </si>
  <si>
    <t>16/11/2025 06:00</t>
  </si>
  <si>
    <t>16/11/2025 07:00</t>
  </si>
  <si>
    <t>16/11/2025 08:00</t>
  </si>
  <si>
    <t>16/11/2025 09:00</t>
  </si>
  <si>
    <t>16/11/2025 10:00</t>
  </si>
  <si>
    <t>16/11/2025 11:00</t>
  </si>
  <si>
    <t>16/11/2025 12:00</t>
  </si>
  <si>
    <t>16/11/2025 13:00</t>
  </si>
  <si>
    <t>16/11/2025 14:00</t>
  </si>
  <si>
    <t>16/11/2025 15:00</t>
  </si>
  <si>
    <t>16/11/2025 16:00</t>
  </si>
  <si>
    <t>16/11/2025 17:00</t>
  </si>
  <si>
    <t>16/11/2025 18:00</t>
  </si>
  <si>
    <t>16/11/2025 19:00</t>
  </si>
  <si>
    <t>16/11/2025 20:00</t>
  </si>
  <si>
    <t>16/11/2025 21:00</t>
  </si>
  <si>
    <t>16/11/2025 22:00</t>
  </si>
  <si>
    <t>16/11/2025 23:00</t>
  </si>
  <si>
    <t>16/11/2025 24:00</t>
  </si>
  <si>
    <t>17/11/2025 01:00</t>
  </si>
  <si>
    <t>17/11/2025 02:00</t>
  </si>
  <si>
    <t>17/11/2025 03:00</t>
  </si>
  <si>
    <t>17/11/2025 04:00</t>
  </si>
  <si>
    <t>17/11/2025 05:00</t>
  </si>
  <si>
    <t>17/11/2025 06:00</t>
  </si>
  <si>
    <t>17/11/2025 07:00</t>
  </si>
  <si>
    <t>17/11/2025 08:00</t>
  </si>
  <si>
    <t>17/11/2025 09:00</t>
  </si>
  <si>
    <t>17/11/2025 10:00</t>
  </si>
  <si>
    <t>17/11/2025 11:00</t>
  </si>
  <si>
    <t>17/11/2025 12:00</t>
  </si>
  <si>
    <t>17/11/2025 13:00</t>
  </si>
  <si>
    <t>17/11/2025 14:00</t>
  </si>
  <si>
    <t>17/11/2025 15:00</t>
  </si>
  <si>
    <t>17/11/2025 16:00</t>
  </si>
  <si>
    <t>17/11/2025 17:00</t>
  </si>
  <si>
    <t>17/11/2025 18:00</t>
  </si>
  <si>
    <t>17/11/2025 19:00</t>
  </si>
  <si>
    <t>17/11/2025 20:00</t>
  </si>
  <si>
    <t>17/11/2025 21:00</t>
  </si>
  <si>
    <t>17/11/2025 22:00</t>
  </si>
  <si>
    <t>17/11/2025 23:00</t>
  </si>
  <si>
    <t>17/11/2025 24:00</t>
  </si>
  <si>
    <t>18/11/2025 01:00</t>
  </si>
  <si>
    <t>18/11/2025 02:00</t>
  </si>
  <si>
    <t>18/11/2025 03:00</t>
  </si>
  <si>
    <t>18/11/2025 04:00</t>
  </si>
  <si>
    <t>18/11/2025 05:00</t>
  </si>
  <si>
    <t>18/11/2025 06:00</t>
  </si>
  <si>
    <t>18/11/2025 07:00</t>
  </si>
  <si>
    <t>18/11/2025 08:00</t>
  </si>
  <si>
    <t>18/11/2025 09:00</t>
  </si>
  <si>
    <t>18/11/2025 10:00</t>
  </si>
  <si>
    <t>18/11/2025 11:00</t>
  </si>
  <si>
    <t>18/11/2025 12:00</t>
  </si>
  <si>
    <t>18/11/2025 13:00</t>
  </si>
  <si>
    <t>18/11/2025 14:00</t>
  </si>
  <si>
    <t>18/11/2025 15:00</t>
  </si>
  <si>
    <t>18/11/2025 16:00</t>
  </si>
  <si>
    <t>18/11/2025 17:00</t>
  </si>
  <si>
    <t>18/11/2025 18:00</t>
  </si>
  <si>
    <t>18/11/2025 19:00</t>
  </si>
  <si>
    <t>18/11/2025 20:00</t>
  </si>
  <si>
    <t>18/11/2025 21:00</t>
  </si>
  <si>
    <t>18/11/2025 22:00</t>
  </si>
  <si>
    <t>18/11/2025 23:00</t>
  </si>
  <si>
    <t>18/11/2025 24:00</t>
  </si>
  <si>
    <t>19/11/2025 01:00</t>
  </si>
  <si>
    <t>19/11/2025 02:00</t>
  </si>
  <si>
    <t>19/11/2025 03:00</t>
  </si>
  <si>
    <t>19/11/2025 04:00</t>
  </si>
  <si>
    <t>19/11/2025 05:00</t>
  </si>
  <si>
    <t>19/11/2025 06:00</t>
  </si>
  <si>
    <t>19/11/2025 07:00</t>
  </si>
  <si>
    <t>19/11/2025 08:00</t>
  </si>
  <si>
    <t>19/11/2025 09:00</t>
  </si>
  <si>
    <t>19/11/2025 10:00</t>
  </si>
  <si>
    <t>19/11/2025 11:00</t>
  </si>
  <si>
    <t>19/11/2025 12:00</t>
  </si>
  <si>
    <t>19/11/2025 13:00</t>
  </si>
  <si>
    <t>19/11/2025 14:00</t>
  </si>
  <si>
    <t>19/11/2025 15:00</t>
  </si>
  <si>
    <t>19/11/2025 16:00</t>
  </si>
  <si>
    <t>19/11/2025 17:00</t>
  </si>
  <si>
    <t>19/11/2025 18:00</t>
  </si>
  <si>
    <t>19/11/2025 19:00</t>
  </si>
  <si>
    <t>19/11/2025 20:00</t>
  </si>
  <si>
    <t>19/11/2025 21:00</t>
  </si>
  <si>
    <t>19/11/2025 22:00</t>
  </si>
  <si>
    <t>19/11/2025 23:00</t>
  </si>
  <si>
    <t>19/11/2025 24:00</t>
  </si>
  <si>
    <t>20/11/2025 01:00</t>
  </si>
  <si>
    <t>20/11/2025 02:00</t>
  </si>
  <si>
    <t>20/11/2025 03:00</t>
  </si>
  <si>
    <t>20/11/2025 04:00</t>
  </si>
  <si>
    <t>20/11/2025 05:00</t>
  </si>
  <si>
    <t>20/11/2025 06:00</t>
  </si>
  <si>
    <t>20/11/2025 07:00</t>
  </si>
  <si>
    <t>20/11/2025 08:00</t>
  </si>
  <si>
    <t>20/11/2025 09:00</t>
  </si>
  <si>
    <t>20/11/2025 10:00</t>
  </si>
  <si>
    <t>20/11/2025 11:00</t>
  </si>
  <si>
    <t>20/11/2025 12:00</t>
  </si>
  <si>
    <t>20/11/2025 13:00</t>
  </si>
  <si>
    <t>20/11/2025 14:00</t>
  </si>
  <si>
    <t>20/11/2025 15:00</t>
  </si>
  <si>
    <t>20/11/2025 16:00</t>
  </si>
  <si>
    <t>20/11/2025 17:00</t>
  </si>
  <si>
    <t>20/11/2025 18:00</t>
  </si>
  <si>
    <t>20/11/2025 19:00</t>
  </si>
  <si>
    <t>20/11/2025 20:00</t>
  </si>
  <si>
    <t>20/11/2025 21:00</t>
  </si>
  <si>
    <t>20/11/2025 22:00</t>
  </si>
  <si>
    <t>20/11/2025 23:00</t>
  </si>
  <si>
    <t>20/11/2025 24:00</t>
  </si>
  <si>
    <t>21/11/2025 01:00</t>
  </si>
  <si>
    <t>21/11/2025 02:00</t>
  </si>
  <si>
    <t>21/11/2025 03:00</t>
  </si>
  <si>
    <t>21/11/2025 04:00</t>
  </si>
  <si>
    <t>21/11/2025 05:00</t>
  </si>
  <si>
    <t>21/11/2025 06:00</t>
  </si>
  <si>
    <t>21/11/2025 07:00</t>
  </si>
  <si>
    <t>21/11/2025 08:00</t>
  </si>
  <si>
    <t>21/11/2025 09:00</t>
  </si>
  <si>
    <t>21/11/2025 10:00</t>
  </si>
  <si>
    <t>21/11/2025 11:00</t>
  </si>
  <si>
    <t>21/11/2025 12:00</t>
  </si>
  <si>
    <t>21/11/2025 13:00</t>
  </si>
  <si>
    <t>21/11/2025 14:00</t>
  </si>
  <si>
    <t>21/11/2025 15:00</t>
  </si>
  <si>
    <t>21/11/2025 16:00</t>
  </si>
  <si>
    <t>21/11/2025 17:00</t>
  </si>
  <si>
    <t>21/11/2025 18:00</t>
  </si>
  <si>
    <t>21/11/2025 19:00</t>
  </si>
  <si>
    <t>21/11/2025 20:00</t>
  </si>
  <si>
    <t>21/11/2025 21:00</t>
  </si>
  <si>
    <t>21/11/2025 22:00</t>
  </si>
  <si>
    <t>21/11/2025 23:00</t>
  </si>
  <si>
    <t>21/11/2025 24:00</t>
  </si>
  <si>
    <t>22/11/2025 01:00</t>
  </si>
  <si>
    <t>22/11/2025 02:00</t>
  </si>
  <si>
    <t>22/11/2025 03:00</t>
  </si>
  <si>
    <t>22/11/2025 04:00</t>
  </si>
  <si>
    <t>22/11/2025 05:00</t>
  </si>
  <si>
    <t>22/11/2025 06:00</t>
  </si>
  <si>
    <t>22/11/2025 07:00</t>
  </si>
  <si>
    <t>22/11/2025 08:00</t>
  </si>
  <si>
    <t>22/11/2025 09:00</t>
  </si>
  <si>
    <t>22/11/2025 10:00</t>
  </si>
  <si>
    <t>22/11/2025 11:00</t>
  </si>
  <si>
    <t>22/11/2025 12:00</t>
  </si>
  <si>
    <t>22/11/2025 13:00</t>
  </si>
  <si>
    <t>22/11/2025 14:00</t>
  </si>
  <si>
    <t>22/11/2025 15:00</t>
  </si>
  <si>
    <t>22/11/2025 16:00</t>
  </si>
  <si>
    <t>22/11/2025 17:00</t>
  </si>
  <si>
    <t>22/11/2025 18:00</t>
  </si>
  <si>
    <t>22/11/2025 19:00</t>
  </si>
  <si>
    <t>22/11/2025 20:00</t>
  </si>
  <si>
    <t>22/11/2025 21:00</t>
  </si>
  <si>
    <t>22/11/2025 22:00</t>
  </si>
  <si>
    <t>22/11/2025 23:00</t>
  </si>
  <si>
    <t>22/11/2025 24:00</t>
  </si>
  <si>
    <t>23/11/2025 01:00</t>
  </si>
  <si>
    <t>23/11/2025 02:00</t>
  </si>
  <si>
    <t>23/11/2025 03:00</t>
  </si>
  <si>
    <t>23/11/2025 04:00</t>
  </si>
  <si>
    <t>23/11/2025 05:00</t>
  </si>
  <si>
    <t>23/11/2025 06:00</t>
  </si>
  <si>
    <t>23/11/2025 07:00</t>
  </si>
  <si>
    <t>23/11/2025 08:00</t>
  </si>
  <si>
    <t>23/11/2025 09:00</t>
  </si>
  <si>
    <t>23/11/2025 10:00</t>
  </si>
  <si>
    <t>23/11/2025 11:00</t>
  </si>
  <si>
    <t>23/11/2025 12:00</t>
  </si>
  <si>
    <t>23/11/2025 13:00</t>
  </si>
  <si>
    <t>23/11/2025 14:00</t>
  </si>
  <si>
    <t>23/11/2025 15:00</t>
  </si>
  <si>
    <t>23/11/2025 16:00</t>
  </si>
  <si>
    <t>23/11/2025 17:00</t>
  </si>
  <si>
    <t>23/11/2025 18:00</t>
  </si>
  <si>
    <t>23/11/2025 19:00</t>
  </si>
  <si>
    <t>23/11/2025 20:00</t>
  </si>
  <si>
    <t>23/11/2025 21:00</t>
  </si>
  <si>
    <t>23/11/2025 22:00</t>
  </si>
  <si>
    <t>23/11/2025 23:00</t>
  </si>
  <si>
    <t>23/11/2025 24:00</t>
  </si>
  <si>
    <t>24/11/2025 01:00</t>
  </si>
  <si>
    <t>24/11/2025 02:00</t>
  </si>
  <si>
    <t>24/11/2025 03:00</t>
  </si>
  <si>
    <t>24/11/2025 04:00</t>
  </si>
  <si>
    <t>24/11/2025 05:00</t>
  </si>
  <si>
    <t>24/11/2025 06:00</t>
  </si>
  <si>
    <t>24/11/2025 07:00</t>
  </si>
  <si>
    <t>24/11/2025 08:00</t>
  </si>
  <si>
    <t>24/11/2025 09:00</t>
  </si>
  <si>
    <t>24/11/2025 10:00</t>
  </si>
  <si>
    <t>24/11/2025 11:00</t>
  </si>
  <si>
    <t>24/11/2025 12:00</t>
  </si>
  <si>
    <t>24/11/2025 13:00</t>
  </si>
  <si>
    <t>24/11/2025 14:00</t>
  </si>
  <si>
    <t>24/11/2025 15:00</t>
  </si>
  <si>
    <t>24/11/2025 16:00</t>
  </si>
  <si>
    <t>24/11/2025 17:00</t>
  </si>
  <si>
    <t>24/11/2025 18:00</t>
  </si>
  <si>
    <t>24/11/2025 19:00</t>
  </si>
  <si>
    <t>24/11/2025 20:00</t>
  </si>
  <si>
    <t>24/11/2025 21:00</t>
  </si>
  <si>
    <t>24/11/2025 22:00</t>
  </si>
  <si>
    <t>24/11/2025 23:00</t>
  </si>
  <si>
    <t>24/11/2025 24:00</t>
  </si>
  <si>
    <t>25/11/2025 01:00</t>
  </si>
  <si>
    <t>25/11/2025 02:00</t>
  </si>
  <si>
    <t>25/11/2025 03:00</t>
  </si>
  <si>
    <t>25/11/2025 04:00</t>
  </si>
  <si>
    <t>25/11/2025 05:00</t>
  </si>
  <si>
    <t>25/11/2025 06:00</t>
  </si>
  <si>
    <t>25/11/2025 07:00</t>
  </si>
  <si>
    <t>25/11/2025 08:00</t>
  </si>
  <si>
    <t>25/11/2025 09:00</t>
  </si>
  <si>
    <t>25/11/2025 10:00</t>
  </si>
  <si>
    <t>25/11/2025 11:00</t>
  </si>
  <si>
    <t>25/11/2025 12:00</t>
  </si>
  <si>
    <t>25/11/2025 13:00</t>
  </si>
  <si>
    <t>25/11/2025 14:00</t>
  </si>
  <si>
    <t>25/11/2025 15:00</t>
  </si>
  <si>
    <t>25/11/2025 16:00</t>
  </si>
  <si>
    <t>25/11/2025 17:00</t>
  </si>
  <si>
    <t>25/11/2025 18:00</t>
  </si>
  <si>
    <t>25/11/2025 19:00</t>
  </si>
  <si>
    <t>25/11/2025 20:00</t>
  </si>
  <si>
    <t>25/11/2025 21:00</t>
  </si>
  <si>
    <t>25/11/2025 22:00</t>
  </si>
  <si>
    <t>25/11/2025 23:00</t>
  </si>
  <si>
    <t>25/11/2025 24:00</t>
  </si>
  <si>
    <t>26/11/2025 01:00</t>
  </si>
  <si>
    <t>26/11/2025 02:00</t>
  </si>
  <si>
    <t>26/11/2025 03:00</t>
  </si>
  <si>
    <t>26/11/2025 04:00</t>
  </si>
  <si>
    <t>26/11/2025 05:00</t>
  </si>
  <si>
    <t>26/11/2025 06:00</t>
  </si>
  <si>
    <t>26/11/2025 07:00</t>
  </si>
  <si>
    <t>26/11/2025 08:00</t>
  </si>
  <si>
    <t>26/11/2025 09:00</t>
  </si>
  <si>
    <t>26/11/2025 10:00</t>
  </si>
  <si>
    <t>26/11/2025 11:00</t>
  </si>
  <si>
    <t>26/11/2025 12:00</t>
  </si>
  <si>
    <t>26/11/2025 13:00</t>
  </si>
  <si>
    <t>26/11/2025 14:00</t>
  </si>
  <si>
    <t>26/11/2025 15:00</t>
  </si>
  <si>
    <t>26/11/2025 16:00</t>
  </si>
  <si>
    <t>26/11/2025 17:00</t>
  </si>
  <si>
    <t>26/11/2025 18:00</t>
  </si>
  <si>
    <t>26/11/2025 19:00</t>
  </si>
  <si>
    <t>26/11/2025 20:00</t>
  </si>
  <si>
    <t>26/11/2025 21:00</t>
  </si>
  <si>
    <t>26/11/2025 22:00</t>
  </si>
  <si>
    <t>26/11/2025 23:00</t>
  </si>
  <si>
    <t>26/11/2025 24:00</t>
  </si>
  <si>
    <t>27/11/2025 01:00</t>
  </si>
  <si>
    <t>27/11/2025 02:00</t>
  </si>
  <si>
    <t>27/11/2025 03:00</t>
  </si>
  <si>
    <t>27/11/2025 04:00</t>
  </si>
  <si>
    <t>27/11/2025 05:00</t>
  </si>
  <si>
    <t>27/11/2025 06:00</t>
  </si>
  <si>
    <t>27/11/2025 07:00</t>
  </si>
  <si>
    <t>27/11/2025 08:00</t>
  </si>
  <si>
    <t>27/11/2025 09:00</t>
  </si>
  <si>
    <t>27/11/2025 10:00</t>
  </si>
  <si>
    <t>27/11/2025 11:00</t>
  </si>
  <si>
    <t>27/11/2025 12:00</t>
  </si>
  <si>
    <t>27/11/2025 13:00</t>
  </si>
  <si>
    <t>27/11/2025 14:00</t>
  </si>
  <si>
    <t>27/11/2025 15:00</t>
  </si>
  <si>
    <t>27/11/2025 16:00</t>
  </si>
  <si>
    <t>27/11/2025 17:00</t>
  </si>
  <si>
    <t>27/11/2025 18:00</t>
  </si>
  <si>
    <t>27/11/2025 19:00</t>
  </si>
  <si>
    <t>27/11/2025 20:00</t>
  </si>
  <si>
    <t>27/11/2025 21:00</t>
  </si>
  <si>
    <t>27/11/2025 22:00</t>
  </si>
  <si>
    <t>27/11/2025 23:00</t>
  </si>
  <si>
    <t>27/11/2025 24:00</t>
  </si>
  <si>
    <t>28/11/2025 01:00</t>
  </si>
  <si>
    <t>28/11/2025 02:00</t>
  </si>
  <si>
    <t>28/11/2025 03:00</t>
  </si>
  <si>
    <t>28/11/2025 04:00</t>
  </si>
  <si>
    <t>28/11/2025 05:00</t>
  </si>
  <si>
    <t>28/11/2025 06:00</t>
  </si>
  <si>
    <t>28/11/2025 07:00</t>
  </si>
  <si>
    <t>28/11/2025 08:00</t>
  </si>
  <si>
    <t>28/11/2025 09:00</t>
  </si>
  <si>
    <t>28/11/2025 10:00</t>
  </si>
  <si>
    <t>28/11/2025 11:00</t>
  </si>
  <si>
    <t>28/11/2025 12:00</t>
  </si>
  <si>
    <t>28/11/2025 13:00</t>
  </si>
  <si>
    <t>28/11/2025 14:00</t>
  </si>
  <si>
    <t>28/11/2025 15:00</t>
  </si>
  <si>
    <t>28/11/2025 16:00</t>
  </si>
  <si>
    <t>28/11/2025 17:00</t>
  </si>
  <si>
    <t>28/11/2025 18:00</t>
  </si>
  <si>
    <t>28/11/2025 19:00</t>
  </si>
  <si>
    <t>28/11/2025 20:00</t>
  </si>
  <si>
    <t>28/11/2025 21:00</t>
  </si>
  <si>
    <t>28/11/2025 22:00</t>
  </si>
  <si>
    <t>28/11/2025 23:00</t>
  </si>
  <si>
    <t>28/11/2025 24:00</t>
  </si>
  <si>
    <t>29/11/2025 01:00</t>
  </si>
  <si>
    <t>29/11/2025 02:00</t>
  </si>
  <si>
    <t>29/11/2025 03:00</t>
  </si>
  <si>
    <t>29/11/2025 04:00</t>
  </si>
  <si>
    <t>29/11/2025 05:00</t>
  </si>
  <si>
    <t>29/11/2025 06:00</t>
  </si>
  <si>
    <t>29/11/2025 07:00</t>
  </si>
  <si>
    <t>29/11/2025 08:00</t>
  </si>
  <si>
    <t>29/11/2025 09:00</t>
  </si>
  <si>
    <t>29/11/2025 10:00</t>
  </si>
  <si>
    <t>29/11/2025 11:00</t>
  </si>
  <si>
    <t>29/11/2025 12:00</t>
  </si>
  <si>
    <t>29/11/2025 13:00</t>
  </si>
  <si>
    <t>29/11/2025 14:00</t>
  </si>
  <si>
    <t>29/11/2025 15:00</t>
  </si>
  <si>
    <t>29/11/2025 16:00</t>
  </si>
  <si>
    <t>29/11/2025 17:00</t>
  </si>
  <si>
    <t>29/11/2025 18:00</t>
  </si>
  <si>
    <t>29/11/2025 19:00</t>
  </si>
  <si>
    <t>29/11/2025 20:00</t>
  </si>
  <si>
    <t>29/11/2025 21:00</t>
  </si>
  <si>
    <t>29/11/2025 22:00</t>
  </si>
  <si>
    <t>29/11/2025 23:00</t>
  </si>
  <si>
    <t>29/11/2025 24:00</t>
  </si>
  <si>
    <t>30/11/2025 01:00</t>
  </si>
  <si>
    <t>30/11/2025 02:00</t>
  </si>
  <si>
    <t>30/11/2025 03:00</t>
  </si>
  <si>
    <t>30/11/2025 04:00</t>
  </si>
  <si>
    <t>30/11/2025 05:00</t>
  </si>
  <si>
    <t>30/11/2025 06:00</t>
  </si>
  <si>
    <t>30/11/2025 07:00</t>
  </si>
  <si>
    <t>30/11/2025 08:00</t>
  </si>
  <si>
    <t>30/11/2025 09:00</t>
  </si>
  <si>
    <t>30/11/2025 10:00</t>
  </si>
  <si>
    <t>30/11/2025 11:00</t>
  </si>
  <si>
    <t>30/11/2025 12:00</t>
  </si>
  <si>
    <t>30/11/2025 13:00</t>
  </si>
  <si>
    <t>30/11/2025 14:00</t>
  </si>
  <si>
    <t>30/11/2025 15:00</t>
  </si>
  <si>
    <t>30/11/2025 16:00</t>
  </si>
  <si>
    <t>30/11/2025 17:00</t>
  </si>
  <si>
    <t>30/11/2025 18:00</t>
  </si>
  <si>
    <t>30/11/2025 19:00</t>
  </si>
  <si>
    <t>30/11/2025 20:00</t>
  </si>
  <si>
    <t>30/11/2025 21:00</t>
  </si>
  <si>
    <t>30/11/2025 22:00</t>
  </si>
  <si>
    <t>30/11/2025 23:00</t>
  </si>
  <si>
    <t>30/11/2025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</si>
</sst>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0"/>
      <name val="Arial"/>
      <charset val="134"/>
    </font>
    <font>
      <b/>
      <sz val="9"/>
      <name val="Arial"/>
      <charset val="134"/>
    </font>
    <font>
      <b/>
      <i/>
      <sz val="10"/>
      <name val="Arial"/>
      <charset val="134"/>
    </font>
    <font>
      <b/>
      <sz val="10"/>
      <color theme="0"/>
      <name val="Arial"/>
      <charset val="134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1"/>
      <color theme="1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rgb="FFFF0000"/>
      <name val="Arial"/>
      <charset val="134"/>
    </font>
    <font>
      <b/>
      <sz val="10"/>
      <color theme="5" tint="-0.249977111117893"/>
      <name val="Arial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2" fontId="7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7" fillId="0" borderId="0" xfId="0" applyNumberFormat="1" applyFont="1" applyAlignment="1">
      <alignment horizontal="center"/>
    </xf>
    <xf numFmtId="17" fontId="3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8" fillId="0" borderId="0" xfId="0" applyFont="1" applyAlignment="1">
      <alignment vertical="center"/>
    </xf>
    <xf numFmtId="0" fontId="11" fillId="3" borderId="0" xfId="0" applyFont="1" applyFill="1"/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1" fillId="3" borderId="0" xfId="0" applyFont="1" applyFill="1" applyAlignment="1">
      <alignment horizontal="left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"/>
  <sheetViews>
    <sheetView zoomScale="85" zoomScaleNormal="85" workbookViewId="0">
      <pane xSplit="2" ySplit="8" topLeftCell="C36" activePane="bottomRight" state="frozen"/>
      <selection pane="topRight"/>
      <selection pane="bottomLeft"/>
      <selection pane="bottomRight" activeCell="H14" sqref="H14"/>
    </sheetView>
  </sheetViews>
  <sheetFormatPr defaultColWidth="8.85546875" defaultRowHeight="15"/>
  <cols>
    <col min="1" max="1" width="19.5703125" style="1" customWidth="1"/>
    <col min="2" max="2" width="14.42578125" style="1" customWidth="1"/>
    <col min="3" max="3" width="10.42578125" style="1" customWidth="1"/>
    <col min="4" max="4" width="10.140625" style="1" customWidth="1"/>
    <col min="5" max="5" width="10.28515625" style="1" customWidth="1"/>
    <col min="6" max="6" width="9.85546875" style="1" customWidth="1"/>
    <col min="7" max="7" width="11.28515625" style="1" customWidth="1"/>
    <col min="8" max="8" width="12" style="1" customWidth="1"/>
    <col min="9" max="9" width="11.5703125" style="1" customWidth="1"/>
    <col min="10" max="10" width="10.5703125" style="1" customWidth="1"/>
    <col min="11" max="11" width="10" style="1" customWidth="1"/>
    <col min="12" max="12" width="11.140625" style="1" customWidth="1"/>
    <col min="13" max="13" width="11.28515625" style="1" customWidth="1"/>
    <col min="14" max="14" width="9.7109375" style="1" customWidth="1"/>
    <col min="15" max="15" width="10" style="1" customWidth="1"/>
    <col min="16" max="16" width="9.7109375" style="1" customWidth="1"/>
    <col min="17" max="17" width="10.140625" style="1" customWidth="1"/>
    <col min="18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01/11/2025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61</v>
      </c>
      <c r="B9" s="41">
        <v>5.13</v>
      </c>
      <c r="C9" s="41">
        <v>5.26</v>
      </c>
      <c r="D9" s="41">
        <v>6.86</v>
      </c>
      <c r="E9" s="41">
        <v>6.65</v>
      </c>
      <c r="F9" s="41">
        <v>2</v>
      </c>
      <c r="G9" s="41">
        <v>20.09</v>
      </c>
      <c r="H9" s="41">
        <v>10.02</v>
      </c>
      <c r="I9" s="41">
        <v>4.26</v>
      </c>
      <c r="J9" s="41">
        <v>0.09</v>
      </c>
      <c r="K9" s="41">
        <v>228.57</v>
      </c>
      <c r="L9" s="41">
        <v>20.6</v>
      </c>
      <c r="M9" s="41">
        <v>33.729999999999997</v>
      </c>
      <c r="N9" s="41">
        <v>2.4</v>
      </c>
      <c r="O9" s="41">
        <v>0</v>
      </c>
      <c r="P9" s="41">
        <v>0.25</v>
      </c>
      <c r="Q9" s="41">
        <v>9.32</v>
      </c>
      <c r="R9" s="38"/>
      <c r="S9" s="38"/>
      <c r="T9" s="38"/>
      <c r="U9" s="38"/>
    </row>
    <row r="10" spans="1:21" customFormat="1">
      <c r="A10" s="40" t="s">
        <v>62</v>
      </c>
      <c r="B10" s="41">
        <v>5.21</v>
      </c>
      <c r="C10" s="41">
        <v>5.22</v>
      </c>
      <c r="D10" s="41">
        <v>6.84</v>
      </c>
      <c r="E10" s="41">
        <v>6.67</v>
      </c>
      <c r="F10" s="41">
        <v>2</v>
      </c>
      <c r="G10" s="41">
        <v>20.3</v>
      </c>
      <c r="H10" s="41">
        <v>10.96</v>
      </c>
      <c r="I10" s="41">
        <v>4.18</v>
      </c>
      <c r="J10" s="41">
        <v>0.21</v>
      </c>
      <c r="K10" s="41">
        <v>248.23</v>
      </c>
      <c r="L10" s="41">
        <v>21.88</v>
      </c>
      <c r="M10" s="41">
        <v>36.950000000000003</v>
      </c>
      <c r="N10" s="41">
        <v>2.4</v>
      </c>
      <c r="O10" s="41">
        <v>0</v>
      </c>
      <c r="P10" s="41">
        <v>0.25</v>
      </c>
      <c r="Q10" s="41">
        <v>9.32</v>
      </c>
      <c r="R10" s="38"/>
      <c r="S10" s="38"/>
      <c r="T10" s="38"/>
      <c r="U10" s="38"/>
    </row>
    <row r="11" spans="1:21" customFormat="1">
      <c r="A11" s="40" t="s">
        <v>63</v>
      </c>
      <c r="B11" s="41">
        <v>5.23</v>
      </c>
      <c r="C11" s="41">
        <v>5.12</v>
      </c>
      <c r="D11" s="41">
        <v>6.86</v>
      </c>
      <c r="E11" s="41">
        <v>5.56</v>
      </c>
      <c r="F11" s="41">
        <v>2</v>
      </c>
      <c r="G11" s="41">
        <v>20.3</v>
      </c>
      <c r="H11" s="41">
        <v>10.96</v>
      </c>
      <c r="I11" s="41">
        <v>4.0999999999999996</v>
      </c>
      <c r="J11" s="41">
        <v>0.3</v>
      </c>
      <c r="K11" s="41">
        <v>263.33999999999997</v>
      </c>
      <c r="L11" s="41">
        <v>23.22</v>
      </c>
      <c r="M11" s="41">
        <v>40.29</v>
      </c>
      <c r="N11" s="41">
        <v>2.4</v>
      </c>
      <c r="O11" s="41">
        <v>0</v>
      </c>
      <c r="P11" s="41">
        <v>0.26</v>
      </c>
      <c r="Q11" s="41">
        <v>9.32</v>
      </c>
      <c r="R11" s="38"/>
      <c r="S11" s="38"/>
      <c r="T11" s="38"/>
      <c r="U11" s="38"/>
    </row>
    <row r="12" spans="1:21" customFormat="1">
      <c r="A12" s="40" t="s">
        <v>64</v>
      </c>
      <c r="B12" s="41">
        <v>5.03</v>
      </c>
      <c r="C12" s="41">
        <v>5.0999999999999996</v>
      </c>
      <c r="D12" s="41">
        <v>6.7</v>
      </c>
      <c r="E12" s="41">
        <v>5.59</v>
      </c>
      <c r="F12" s="41">
        <v>2</v>
      </c>
      <c r="G12" s="41">
        <v>18.510000000000002</v>
      </c>
      <c r="H12" s="41">
        <v>7.87</v>
      </c>
      <c r="I12" s="41">
        <v>4.03</v>
      </c>
      <c r="J12" s="41">
        <v>0.35</v>
      </c>
      <c r="K12" s="41">
        <v>253.71</v>
      </c>
      <c r="L12" s="41">
        <v>22.6</v>
      </c>
      <c r="M12" s="41">
        <v>38.74</v>
      </c>
      <c r="N12" s="41">
        <v>2.4</v>
      </c>
      <c r="O12" s="41">
        <v>0</v>
      </c>
      <c r="P12" s="41">
        <v>0.26</v>
      </c>
      <c r="Q12" s="41">
        <v>9.32</v>
      </c>
      <c r="R12" s="38"/>
      <c r="S12" s="38"/>
      <c r="T12" s="38"/>
      <c r="U12" s="38"/>
    </row>
    <row r="13" spans="1:21" customFormat="1">
      <c r="A13" s="40" t="s">
        <v>65</v>
      </c>
      <c r="B13" s="41">
        <v>5.43</v>
      </c>
      <c r="C13" s="41">
        <v>5.04</v>
      </c>
      <c r="D13" s="41">
        <v>6.98</v>
      </c>
      <c r="E13" s="41">
        <v>5.76</v>
      </c>
      <c r="F13" s="41">
        <v>2</v>
      </c>
      <c r="G13" s="41">
        <v>20.21</v>
      </c>
      <c r="H13" s="41">
        <v>6.97</v>
      </c>
      <c r="I13" s="41">
        <v>3.88</v>
      </c>
      <c r="J13" s="41">
        <v>0.18</v>
      </c>
      <c r="K13" s="41">
        <v>251.28</v>
      </c>
      <c r="L13" s="41">
        <v>22.3</v>
      </c>
      <c r="M13" s="41">
        <v>38.06</v>
      </c>
      <c r="N13" s="41">
        <v>2.4</v>
      </c>
      <c r="O13" s="41">
        <v>0</v>
      </c>
      <c r="P13" s="41">
        <v>0.27</v>
      </c>
      <c r="Q13" s="41">
        <v>9.32</v>
      </c>
      <c r="R13" s="38"/>
      <c r="S13" s="38"/>
      <c r="T13" s="38"/>
      <c r="U13" s="38"/>
    </row>
    <row r="14" spans="1:21" customFormat="1">
      <c r="A14" s="40" t="s">
        <v>66</v>
      </c>
      <c r="B14" s="41">
        <v>6.04</v>
      </c>
      <c r="C14" s="41">
        <v>5.22</v>
      </c>
      <c r="D14" s="41">
        <v>7.57</v>
      </c>
      <c r="E14" s="41">
        <v>5.46</v>
      </c>
      <c r="F14" s="41">
        <v>2</v>
      </c>
      <c r="G14" s="41">
        <v>20.21</v>
      </c>
      <c r="H14" s="41">
        <v>8.57</v>
      </c>
      <c r="I14" s="41">
        <v>4.0599999999999996</v>
      </c>
      <c r="J14" s="41">
        <v>0.1</v>
      </c>
      <c r="K14" s="41">
        <v>204.36</v>
      </c>
      <c r="L14" s="41">
        <v>18.68</v>
      </c>
      <c r="M14" s="41">
        <v>29.05</v>
      </c>
      <c r="N14" s="41">
        <v>2.5</v>
      </c>
      <c r="O14" s="41">
        <v>0</v>
      </c>
      <c r="P14" s="41">
        <v>0.27</v>
      </c>
      <c r="Q14" s="41">
        <v>9.32</v>
      </c>
      <c r="R14" s="38"/>
      <c r="S14" s="38"/>
      <c r="T14" s="38"/>
      <c r="U14" s="38"/>
    </row>
    <row r="15" spans="1:21" customFormat="1">
      <c r="A15" s="40" t="s">
        <v>67</v>
      </c>
      <c r="B15" s="41">
        <v>6.56</v>
      </c>
      <c r="C15" s="41">
        <v>5.35</v>
      </c>
      <c r="D15" s="41">
        <v>8.0500000000000007</v>
      </c>
      <c r="E15" s="41">
        <v>5.52</v>
      </c>
      <c r="F15" s="41">
        <v>2</v>
      </c>
      <c r="G15" s="41">
        <v>15.41</v>
      </c>
      <c r="H15" s="41">
        <v>9.6300000000000008</v>
      </c>
      <c r="I15" s="41">
        <v>4.16</v>
      </c>
      <c r="J15" s="41">
        <v>0.16</v>
      </c>
      <c r="K15" s="41">
        <v>249.02</v>
      </c>
      <c r="L15" s="41">
        <v>21.65</v>
      </c>
      <c r="M15" s="41">
        <v>35.44</v>
      </c>
      <c r="N15" s="41">
        <v>44</v>
      </c>
      <c r="O15" s="41">
        <v>0</v>
      </c>
      <c r="P15" s="41">
        <v>0.27</v>
      </c>
      <c r="Q15" s="41">
        <v>9.32</v>
      </c>
      <c r="R15" s="38"/>
      <c r="S15" s="38"/>
      <c r="T15" s="38"/>
      <c r="U15" s="38"/>
    </row>
    <row r="16" spans="1:21" customFormat="1">
      <c r="A16" s="40" t="s">
        <v>68</v>
      </c>
      <c r="B16" s="41">
        <v>6.76</v>
      </c>
      <c r="C16" s="41">
        <v>5.5</v>
      </c>
      <c r="D16" s="41">
        <v>8.3000000000000007</v>
      </c>
      <c r="E16" s="41">
        <v>4.93</v>
      </c>
      <c r="F16" s="41">
        <v>2</v>
      </c>
      <c r="G16" s="41">
        <v>15.48</v>
      </c>
      <c r="H16" s="41">
        <v>10.52</v>
      </c>
      <c r="I16" s="41">
        <v>4.3899999999999997</v>
      </c>
      <c r="J16" s="41">
        <v>0.35</v>
      </c>
      <c r="K16" s="41">
        <v>262.45999999999998</v>
      </c>
      <c r="L16" s="41">
        <v>23.81</v>
      </c>
      <c r="M16" s="41">
        <v>40.380000000000003</v>
      </c>
      <c r="N16" s="41">
        <v>88.9</v>
      </c>
      <c r="O16" s="41">
        <v>0</v>
      </c>
      <c r="P16" s="41">
        <v>0.28000000000000003</v>
      </c>
      <c r="Q16" s="41">
        <v>9.32</v>
      </c>
      <c r="R16" s="38"/>
      <c r="S16" s="38"/>
      <c r="T16" s="38"/>
      <c r="U16" s="38"/>
    </row>
    <row r="17" spans="1:21" customFormat="1">
      <c r="A17" s="40" t="s">
        <v>69</v>
      </c>
      <c r="B17" s="41">
        <v>6.77</v>
      </c>
      <c r="C17" s="41">
        <v>5.76</v>
      </c>
      <c r="D17" s="41">
        <v>8.3699999999999992</v>
      </c>
      <c r="E17" s="41">
        <v>4.79</v>
      </c>
      <c r="F17" s="41">
        <v>2</v>
      </c>
      <c r="G17" s="41">
        <v>23.74</v>
      </c>
      <c r="H17" s="41">
        <v>10.84</v>
      </c>
      <c r="I17" s="41">
        <v>5.14</v>
      </c>
      <c r="J17" s="41">
        <v>0.51</v>
      </c>
      <c r="K17" s="41">
        <v>261.31</v>
      </c>
      <c r="L17" s="41">
        <v>23.81</v>
      </c>
      <c r="M17" s="41">
        <v>39.4</v>
      </c>
      <c r="N17" s="41">
        <v>100.4</v>
      </c>
      <c r="O17" s="41">
        <v>0</v>
      </c>
      <c r="P17" s="41">
        <v>0.3</v>
      </c>
      <c r="Q17" s="41">
        <v>9.32</v>
      </c>
      <c r="R17" s="38"/>
      <c r="S17" s="38"/>
      <c r="T17" s="38"/>
      <c r="U17" s="38"/>
    </row>
    <row r="18" spans="1:21" customFormat="1">
      <c r="A18" s="40" t="s">
        <v>70</v>
      </c>
      <c r="B18" s="41">
        <v>6.51</v>
      </c>
      <c r="C18" s="41">
        <v>6.29</v>
      </c>
      <c r="D18" s="41">
        <v>8.34</v>
      </c>
      <c r="E18" s="41">
        <v>4.97</v>
      </c>
      <c r="F18" s="41">
        <v>2</v>
      </c>
      <c r="G18" s="41">
        <v>30.89</v>
      </c>
      <c r="H18" s="41">
        <v>13.24</v>
      </c>
      <c r="I18" s="41">
        <v>6.7</v>
      </c>
      <c r="J18" s="41">
        <v>0.35</v>
      </c>
      <c r="K18" s="41">
        <v>294.25</v>
      </c>
      <c r="L18" s="41">
        <v>23.72</v>
      </c>
      <c r="M18" s="41">
        <v>38.6</v>
      </c>
      <c r="N18" s="41">
        <v>191.8</v>
      </c>
      <c r="O18" s="41">
        <v>0</v>
      </c>
      <c r="P18" s="41">
        <v>0.32</v>
      </c>
      <c r="Q18" s="41">
        <v>9.32</v>
      </c>
      <c r="R18" s="38"/>
      <c r="S18" s="38"/>
      <c r="T18" s="38"/>
      <c r="U18" s="38"/>
    </row>
    <row r="19" spans="1:21" customFormat="1">
      <c r="A19" s="40" t="s">
        <v>71</v>
      </c>
      <c r="B19" s="41">
        <v>7.23</v>
      </c>
      <c r="C19" s="41">
        <v>18.14</v>
      </c>
      <c r="D19" s="41">
        <v>15.27</v>
      </c>
      <c r="E19" s="41">
        <v>6.53</v>
      </c>
      <c r="F19" s="41">
        <v>7.92</v>
      </c>
      <c r="G19" s="41">
        <v>33.840000000000003</v>
      </c>
      <c r="H19" s="41">
        <v>14.34</v>
      </c>
      <c r="I19" s="41">
        <v>8.39</v>
      </c>
      <c r="J19" s="41">
        <v>0.51</v>
      </c>
      <c r="K19" s="41">
        <v>38.93</v>
      </c>
      <c r="L19" s="41">
        <v>17.690000000000001</v>
      </c>
      <c r="M19" s="41">
        <v>21.83</v>
      </c>
      <c r="N19" s="41">
        <v>190.3</v>
      </c>
      <c r="O19" s="41">
        <v>0</v>
      </c>
      <c r="P19" s="41">
        <v>0.45</v>
      </c>
      <c r="Q19" s="41">
        <v>9.32</v>
      </c>
      <c r="R19" s="38"/>
      <c r="S19" s="38"/>
      <c r="T19" s="38"/>
      <c r="U19" s="38"/>
    </row>
    <row r="20" spans="1:21" customFormat="1">
      <c r="A20" s="40" t="s">
        <v>72</v>
      </c>
      <c r="B20" s="41">
        <v>6.28</v>
      </c>
      <c r="C20" s="41">
        <v>17.89</v>
      </c>
      <c r="D20" s="41">
        <v>14.38</v>
      </c>
      <c r="E20" s="41">
        <v>7.32</v>
      </c>
      <c r="F20" s="41">
        <v>8.51</v>
      </c>
      <c r="G20" s="41">
        <v>46.3</v>
      </c>
      <c r="H20" s="41">
        <v>16.46</v>
      </c>
      <c r="I20" s="41">
        <v>11.69</v>
      </c>
      <c r="J20" s="41">
        <v>0.43</v>
      </c>
      <c r="K20" s="41">
        <v>343.28</v>
      </c>
      <c r="L20" s="41">
        <v>24.21</v>
      </c>
      <c r="M20" s="41">
        <v>30.79</v>
      </c>
      <c r="N20" s="41">
        <v>485.9</v>
      </c>
      <c r="O20" s="41">
        <v>0</v>
      </c>
      <c r="P20" s="41">
        <v>0.43</v>
      </c>
      <c r="Q20" s="41">
        <v>9.32</v>
      </c>
      <c r="R20" s="38"/>
      <c r="S20" s="38"/>
      <c r="T20" s="38"/>
      <c r="U20" s="38"/>
    </row>
    <row r="21" spans="1:21" customFormat="1">
      <c r="A21" s="40" t="s">
        <v>73</v>
      </c>
      <c r="B21" s="41">
        <v>3.04</v>
      </c>
      <c r="C21" s="41">
        <v>11.87</v>
      </c>
      <c r="D21" s="41">
        <v>8.64</v>
      </c>
      <c r="E21" s="41">
        <v>6.92</v>
      </c>
      <c r="F21" s="41">
        <v>16.57</v>
      </c>
      <c r="G21" s="41">
        <v>50.67</v>
      </c>
      <c r="H21" s="41">
        <v>16.64</v>
      </c>
      <c r="I21" s="41">
        <v>8.06</v>
      </c>
      <c r="J21" s="41">
        <v>0.26</v>
      </c>
      <c r="K21" s="41">
        <v>294.02</v>
      </c>
      <c r="L21" s="41">
        <v>26.62</v>
      </c>
      <c r="M21" s="41">
        <v>39.85</v>
      </c>
      <c r="N21" s="41">
        <v>410.8</v>
      </c>
      <c r="O21" s="41">
        <v>0</v>
      </c>
      <c r="P21" s="41">
        <v>0.43</v>
      </c>
      <c r="Q21" s="41">
        <v>9.32</v>
      </c>
      <c r="R21" s="38"/>
      <c r="S21" s="38"/>
      <c r="T21" s="38"/>
      <c r="U21" s="38"/>
    </row>
    <row r="22" spans="1:21" customFormat="1">
      <c r="A22" s="40" t="s">
        <v>74</v>
      </c>
      <c r="B22" s="41">
        <v>2.57</v>
      </c>
      <c r="C22" s="41">
        <v>7.91</v>
      </c>
      <c r="D22" s="41">
        <v>6.19</v>
      </c>
      <c r="E22" s="41">
        <v>5.78</v>
      </c>
      <c r="F22" s="41">
        <v>35.25</v>
      </c>
      <c r="G22" s="41">
        <v>50.67</v>
      </c>
      <c r="H22" s="41">
        <v>17.05</v>
      </c>
      <c r="I22" s="41">
        <v>5.47</v>
      </c>
      <c r="J22" s="41">
        <v>0.23</v>
      </c>
      <c r="K22" s="41">
        <v>292.57</v>
      </c>
      <c r="L22" s="41">
        <v>18.440000000000001</v>
      </c>
      <c r="M22" s="41">
        <v>26.75</v>
      </c>
      <c r="N22" s="41">
        <v>90.7</v>
      </c>
      <c r="O22" s="41">
        <v>0</v>
      </c>
      <c r="P22" s="41">
        <v>0.43</v>
      </c>
      <c r="Q22" s="41">
        <v>9.32</v>
      </c>
      <c r="R22" s="38"/>
      <c r="S22" s="38"/>
      <c r="T22" s="38"/>
      <c r="U22" s="38"/>
    </row>
    <row r="23" spans="1:21" customFormat="1">
      <c r="A23" s="40" t="s">
        <v>75</v>
      </c>
      <c r="B23" s="41">
        <v>5.55</v>
      </c>
      <c r="C23" s="41">
        <v>15.51</v>
      </c>
      <c r="D23" s="41">
        <v>12.56</v>
      </c>
      <c r="E23" s="41">
        <v>5.95</v>
      </c>
      <c r="F23" s="41">
        <v>11.79</v>
      </c>
      <c r="G23" s="41">
        <v>45.21</v>
      </c>
      <c r="H23" s="41">
        <v>17.05</v>
      </c>
      <c r="I23" s="41">
        <v>4.76</v>
      </c>
      <c r="J23" s="41">
        <v>0.38</v>
      </c>
      <c r="K23" s="41">
        <v>52.43</v>
      </c>
      <c r="L23" s="41">
        <v>18.239999999999998</v>
      </c>
      <c r="M23" s="41">
        <v>25.65</v>
      </c>
      <c r="N23" s="41">
        <v>112.4</v>
      </c>
      <c r="O23" s="41">
        <v>0</v>
      </c>
      <c r="P23" s="41">
        <v>0.5</v>
      </c>
      <c r="Q23" s="41">
        <v>9.32</v>
      </c>
      <c r="R23" s="38"/>
      <c r="S23" s="38"/>
      <c r="T23" s="38"/>
      <c r="U23" s="38"/>
    </row>
    <row r="24" spans="1:21" customFormat="1">
      <c r="A24" s="40" t="s">
        <v>76</v>
      </c>
      <c r="B24" s="41">
        <v>4.59</v>
      </c>
      <c r="C24" s="41">
        <v>18.28</v>
      </c>
      <c r="D24" s="41">
        <v>12.47</v>
      </c>
      <c r="E24" s="41">
        <v>5.96</v>
      </c>
      <c r="F24" s="41">
        <v>6.29</v>
      </c>
      <c r="G24" s="41">
        <v>44.44</v>
      </c>
      <c r="H24" s="41">
        <v>12.16</v>
      </c>
      <c r="I24" s="41">
        <v>4.54</v>
      </c>
      <c r="J24" s="41">
        <v>0.22</v>
      </c>
      <c r="K24" s="41">
        <v>216.77</v>
      </c>
      <c r="L24" s="41">
        <v>19.55</v>
      </c>
      <c r="M24" s="41">
        <v>30.89</v>
      </c>
      <c r="N24" s="41">
        <v>39.299999999999997</v>
      </c>
      <c r="O24" s="41">
        <v>0.2</v>
      </c>
      <c r="P24" s="41">
        <v>0.5</v>
      </c>
      <c r="Q24" s="41">
        <v>9.32</v>
      </c>
      <c r="R24" s="38"/>
      <c r="S24" s="38"/>
      <c r="T24" s="38"/>
      <c r="U24" s="38"/>
    </row>
    <row r="25" spans="1:21" customFormat="1">
      <c r="A25" s="40" t="s">
        <v>77</v>
      </c>
      <c r="B25" s="41">
        <v>6.85</v>
      </c>
      <c r="C25" s="41">
        <v>11.68</v>
      </c>
      <c r="D25" s="41">
        <v>11.6</v>
      </c>
      <c r="E25" s="41">
        <v>4.2</v>
      </c>
      <c r="F25" s="41">
        <v>2</v>
      </c>
      <c r="G25" s="41">
        <v>41.74</v>
      </c>
      <c r="H25" s="41">
        <v>11.83</v>
      </c>
      <c r="I25" s="41">
        <v>4.51</v>
      </c>
      <c r="J25" s="41">
        <v>0.5</v>
      </c>
      <c r="K25" s="41">
        <v>164.74</v>
      </c>
      <c r="L25" s="41">
        <v>16.48</v>
      </c>
      <c r="M25" s="41">
        <v>22.8</v>
      </c>
      <c r="N25" s="41">
        <v>30.3</v>
      </c>
      <c r="O25" s="41">
        <v>0</v>
      </c>
      <c r="P25" s="41">
        <v>0.53</v>
      </c>
      <c r="Q25" s="41">
        <v>9.32</v>
      </c>
      <c r="R25" s="38"/>
      <c r="S25" s="38"/>
      <c r="T25" s="38"/>
      <c r="U25" s="38"/>
    </row>
    <row r="26" spans="1:21" customFormat="1">
      <c r="A26" s="40" t="s">
        <v>78</v>
      </c>
      <c r="B26" s="41">
        <v>10.97</v>
      </c>
      <c r="C26" s="41">
        <v>10.29</v>
      </c>
      <c r="D26" s="41">
        <v>14.17</v>
      </c>
      <c r="E26" s="41">
        <v>6.87</v>
      </c>
      <c r="F26" s="41">
        <v>2</v>
      </c>
      <c r="G26" s="41">
        <v>50.71</v>
      </c>
      <c r="H26" s="41">
        <v>14.11</v>
      </c>
      <c r="I26" s="41">
        <v>4.75</v>
      </c>
      <c r="J26" s="41">
        <v>0.62</v>
      </c>
      <c r="K26" s="41">
        <v>40.69</v>
      </c>
      <c r="L26" s="41">
        <v>8.83</v>
      </c>
      <c r="M26" s="41">
        <v>3.98</v>
      </c>
      <c r="N26" s="41">
        <v>4.5</v>
      </c>
      <c r="O26" s="41">
        <v>0</v>
      </c>
      <c r="P26" s="41">
        <v>0.52</v>
      </c>
      <c r="Q26" s="41">
        <v>9.3800000000000008</v>
      </c>
      <c r="R26" s="38"/>
      <c r="S26" s="38"/>
      <c r="T26" s="38"/>
      <c r="U26" s="38"/>
    </row>
    <row r="27" spans="1:21" customFormat="1">
      <c r="A27" s="40" t="s">
        <v>79</v>
      </c>
      <c r="B27" s="41">
        <v>12.01</v>
      </c>
      <c r="C27" s="41">
        <v>11.2</v>
      </c>
      <c r="D27" s="41">
        <v>15.48</v>
      </c>
      <c r="E27" s="41">
        <v>5.53</v>
      </c>
      <c r="F27" s="41">
        <v>2</v>
      </c>
      <c r="G27" s="41">
        <v>80.34</v>
      </c>
      <c r="H27" s="41">
        <v>18.510000000000002</v>
      </c>
      <c r="I27" s="41">
        <v>5.05</v>
      </c>
      <c r="J27" s="41">
        <v>0.62</v>
      </c>
      <c r="K27" s="41">
        <v>352.54</v>
      </c>
      <c r="L27" s="41">
        <v>16.95</v>
      </c>
      <c r="M27" s="41">
        <v>24.14</v>
      </c>
      <c r="N27" s="41">
        <v>3</v>
      </c>
      <c r="O27" s="41">
        <v>0</v>
      </c>
      <c r="P27" s="41">
        <v>0.53</v>
      </c>
      <c r="Q27" s="41">
        <v>9.32</v>
      </c>
      <c r="R27" s="38"/>
      <c r="S27" s="38"/>
      <c r="T27" s="38"/>
      <c r="U27" s="38"/>
    </row>
    <row r="28" spans="1:21" customFormat="1">
      <c r="A28" s="40" t="s">
        <v>80</v>
      </c>
      <c r="B28" s="41">
        <v>10.99</v>
      </c>
      <c r="C28" s="41">
        <v>10.119999999999999</v>
      </c>
      <c r="D28" s="41">
        <v>14.03</v>
      </c>
      <c r="E28" s="41">
        <v>8.11</v>
      </c>
      <c r="F28" s="41">
        <v>2</v>
      </c>
      <c r="G28" s="41">
        <v>80.34</v>
      </c>
      <c r="H28" s="41">
        <v>18.510000000000002</v>
      </c>
      <c r="I28" s="41">
        <v>5.38</v>
      </c>
      <c r="J28" s="41">
        <v>0.6</v>
      </c>
      <c r="K28" s="41">
        <v>46.11</v>
      </c>
      <c r="L28" s="41">
        <v>15.68</v>
      </c>
      <c r="M28" s="41">
        <v>21.63</v>
      </c>
      <c r="N28" s="41">
        <v>3.3</v>
      </c>
      <c r="O28" s="41">
        <v>0</v>
      </c>
      <c r="P28" s="41">
        <v>0.51</v>
      </c>
      <c r="Q28" s="41">
        <v>9.32</v>
      </c>
      <c r="R28" s="38"/>
      <c r="S28" s="38"/>
      <c r="T28" s="38"/>
      <c r="U28" s="38"/>
    </row>
    <row r="29" spans="1:21" customFormat="1">
      <c r="A29" s="40" t="s">
        <v>81</v>
      </c>
      <c r="B29" s="41">
        <v>11.19</v>
      </c>
      <c r="C29" s="41">
        <v>10.16</v>
      </c>
      <c r="D29" s="41">
        <v>14.15</v>
      </c>
      <c r="E29" s="41">
        <v>9.7899999999999991</v>
      </c>
      <c r="F29" s="41">
        <v>2</v>
      </c>
      <c r="G29" s="41">
        <v>72.45</v>
      </c>
      <c r="H29" s="41">
        <v>18.14</v>
      </c>
      <c r="I29" s="41">
        <v>5.53</v>
      </c>
      <c r="J29" s="41">
        <v>0.15</v>
      </c>
      <c r="K29" s="41">
        <v>207.44</v>
      </c>
      <c r="L29" s="41">
        <v>21.17</v>
      </c>
      <c r="M29" s="41">
        <v>34.81</v>
      </c>
      <c r="N29" s="41">
        <v>2.5</v>
      </c>
      <c r="O29" s="41">
        <v>0</v>
      </c>
      <c r="P29" s="41">
        <v>0.52</v>
      </c>
      <c r="Q29" s="41">
        <v>9.32</v>
      </c>
      <c r="R29" s="38"/>
      <c r="S29" s="38"/>
      <c r="T29" s="38"/>
      <c r="U29" s="38"/>
    </row>
    <row r="30" spans="1:21" customFormat="1">
      <c r="A30" s="40" t="s">
        <v>82</v>
      </c>
      <c r="B30" s="41">
        <v>17.77</v>
      </c>
      <c r="C30" s="41">
        <v>12.38</v>
      </c>
      <c r="D30" s="41">
        <v>20.72</v>
      </c>
      <c r="E30" s="41">
        <v>10.73</v>
      </c>
      <c r="F30" s="41">
        <v>2</v>
      </c>
      <c r="G30" s="41">
        <v>91.04</v>
      </c>
      <c r="H30" s="41">
        <v>37.08</v>
      </c>
      <c r="I30" s="41">
        <v>6.11</v>
      </c>
      <c r="J30" s="41">
        <v>0.16</v>
      </c>
      <c r="K30" s="41">
        <v>204.55</v>
      </c>
      <c r="L30" s="41">
        <v>19.07</v>
      </c>
      <c r="M30" s="41">
        <v>29.69</v>
      </c>
      <c r="N30" s="41">
        <v>2.5</v>
      </c>
      <c r="O30" s="41">
        <v>0</v>
      </c>
      <c r="P30" s="41">
        <v>0.56000000000000005</v>
      </c>
      <c r="Q30" s="41">
        <v>9.32</v>
      </c>
      <c r="R30" s="38"/>
      <c r="S30" s="38"/>
      <c r="T30" s="38"/>
      <c r="U30" s="38"/>
    </row>
    <row r="31" spans="1:21" customFormat="1">
      <c r="A31" s="40" t="s">
        <v>83</v>
      </c>
      <c r="B31" s="41">
        <v>15.31</v>
      </c>
      <c r="C31" s="41">
        <v>9.5399999999999991</v>
      </c>
      <c r="D31" s="41">
        <v>17.260000000000002</v>
      </c>
      <c r="E31" s="41">
        <v>8.74</v>
      </c>
      <c r="F31" s="41">
        <v>2</v>
      </c>
      <c r="G31" s="41">
        <v>98.91</v>
      </c>
      <c r="H31" s="41">
        <v>47.31</v>
      </c>
      <c r="I31" s="41">
        <v>6.38</v>
      </c>
      <c r="J31" s="41">
        <v>0.16</v>
      </c>
      <c r="K31" s="41">
        <v>191.01</v>
      </c>
      <c r="L31" s="41">
        <v>18.28</v>
      </c>
      <c r="M31" s="41">
        <v>27.74</v>
      </c>
      <c r="N31" s="41">
        <v>2.4</v>
      </c>
      <c r="O31" s="41">
        <v>0</v>
      </c>
      <c r="P31" s="41">
        <v>0.56000000000000005</v>
      </c>
      <c r="Q31" s="41">
        <v>9.32</v>
      </c>
      <c r="R31" s="38"/>
      <c r="S31" s="38"/>
      <c r="T31" s="38"/>
      <c r="U31" s="38"/>
    </row>
    <row r="32" spans="1:21" customFormat="1">
      <c r="A32" s="40" t="s">
        <v>84</v>
      </c>
      <c r="B32" s="41">
        <v>14.51</v>
      </c>
      <c r="C32" s="41">
        <v>8.4700000000000006</v>
      </c>
      <c r="D32" s="41">
        <v>15.91</v>
      </c>
      <c r="E32" s="41">
        <v>6.95</v>
      </c>
      <c r="F32" s="41">
        <v>2</v>
      </c>
      <c r="G32" s="41">
        <v>98.91</v>
      </c>
      <c r="H32" s="41">
        <v>47.31</v>
      </c>
      <c r="I32" s="41">
        <v>6.4</v>
      </c>
      <c r="J32" s="41">
        <v>0.15</v>
      </c>
      <c r="K32" s="41">
        <v>199.47</v>
      </c>
      <c r="L32" s="41">
        <v>19.22</v>
      </c>
      <c r="M32" s="41">
        <v>30.31</v>
      </c>
      <c r="N32" s="41">
        <v>2.2000000000000002</v>
      </c>
      <c r="O32" s="41">
        <v>0</v>
      </c>
      <c r="P32" s="41">
        <v>0.61</v>
      </c>
      <c r="Q32" s="41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2.57</v>
      </c>
      <c r="C34" s="18">
        <f t="shared" si="0"/>
        <v>5.04</v>
      </c>
      <c r="D34" s="18">
        <f t="shared" si="0"/>
        <v>6.19</v>
      </c>
      <c r="E34" s="18">
        <f t="shared" si="0"/>
        <v>4.2</v>
      </c>
      <c r="F34" s="18">
        <f t="shared" si="0"/>
        <v>2</v>
      </c>
      <c r="G34" s="18">
        <f t="shared" si="0"/>
        <v>15.41</v>
      </c>
      <c r="H34" s="18">
        <f t="shared" si="0"/>
        <v>6.97</v>
      </c>
      <c r="I34" s="18">
        <f t="shared" si="0"/>
        <v>3.88</v>
      </c>
      <c r="J34" s="18">
        <f t="shared" si="0"/>
        <v>0.09</v>
      </c>
      <c r="K34" s="18">
        <f t="shared" si="0"/>
        <v>38.93</v>
      </c>
      <c r="L34" s="18">
        <f t="shared" si="0"/>
        <v>8.83</v>
      </c>
      <c r="M34" s="18">
        <f t="shared" si="0"/>
        <v>3.98</v>
      </c>
      <c r="N34" s="18">
        <f t="shared" si="0"/>
        <v>2.2000000000000002</v>
      </c>
      <c r="O34" s="18">
        <f t="shared" si="0"/>
        <v>0</v>
      </c>
      <c r="P34" s="18">
        <f t="shared" si="0"/>
        <v>0.25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17.77</v>
      </c>
      <c r="C35" s="3">
        <f t="shared" si="1"/>
        <v>18.28</v>
      </c>
      <c r="D35" s="3">
        <f t="shared" si="1"/>
        <v>20.72</v>
      </c>
      <c r="E35" s="3">
        <f t="shared" si="1"/>
        <v>10.73</v>
      </c>
      <c r="F35" s="3">
        <f t="shared" si="1"/>
        <v>35.25</v>
      </c>
      <c r="G35" s="3">
        <f t="shared" si="1"/>
        <v>98.91</v>
      </c>
      <c r="H35" s="3">
        <f t="shared" si="1"/>
        <v>47.31</v>
      </c>
      <c r="I35" s="3">
        <f t="shared" si="1"/>
        <v>11.69</v>
      </c>
      <c r="J35" s="3">
        <f t="shared" si="1"/>
        <v>0.62</v>
      </c>
      <c r="K35" s="3">
        <f t="shared" si="1"/>
        <v>352.54</v>
      </c>
      <c r="L35" s="3">
        <f t="shared" si="1"/>
        <v>26.62</v>
      </c>
      <c r="M35" s="3">
        <f t="shared" si="1"/>
        <v>40.380000000000003</v>
      </c>
      <c r="N35" s="3">
        <f t="shared" si="1"/>
        <v>485.9</v>
      </c>
      <c r="O35" s="3">
        <f t="shared" si="1"/>
        <v>0.2</v>
      </c>
      <c r="P35" s="3">
        <f t="shared" si="1"/>
        <v>0.61</v>
      </c>
      <c r="Q35" s="3">
        <f t="shared" si="1"/>
        <v>9.3800000000000008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7.8137499999999998</v>
      </c>
      <c r="C36" s="18">
        <f t="shared" si="2"/>
        <v>9.4708333333333332</v>
      </c>
      <c r="D36" s="18">
        <f t="shared" si="2"/>
        <v>11.154166666666667</v>
      </c>
      <c r="E36" s="18">
        <f t="shared" si="2"/>
        <v>6.47</v>
      </c>
      <c r="F36" s="18">
        <f t="shared" si="2"/>
        <v>5.097083333333333</v>
      </c>
      <c r="G36" s="18">
        <f t="shared" si="2"/>
        <v>45.446249999999999</v>
      </c>
      <c r="H36" s="18">
        <f t="shared" si="2"/>
        <v>16.919999999999998</v>
      </c>
      <c r="I36" s="18">
        <f t="shared" si="2"/>
        <v>5.496666666666667</v>
      </c>
      <c r="J36" s="18">
        <f t="shared" si="2"/>
        <v>0.31625000000000009</v>
      </c>
      <c r="K36" s="18">
        <f t="shared" si="2"/>
        <v>215.04499999999999</v>
      </c>
      <c r="L36" s="18">
        <f t="shared" si="2"/>
        <v>20.112500000000001</v>
      </c>
      <c r="M36" s="18">
        <f t="shared" si="2"/>
        <v>30.895833333333332</v>
      </c>
      <c r="N36" s="18">
        <f t="shared" si="2"/>
        <v>75.82083333333334</v>
      </c>
      <c r="O36" s="18">
        <f t="shared" si="2"/>
        <v>8.3333333333333332E-3</v>
      </c>
      <c r="P36" s="18">
        <f t="shared" si="2"/>
        <v>0.40875</v>
      </c>
      <c r="Q36" s="18">
        <f t="shared" si="2"/>
        <v>9.3224999999999962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3.9636948205474609</v>
      </c>
      <c r="C37" s="18">
        <f t="shared" ref="C37:Q37" si="3">STDEV(C9:C32)</f>
        <v>4.4496349793298089</v>
      </c>
      <c r="D37" s="18">
        <f t="shared" si="3"/>
        <v>4.1584329371475537</v>
      </c>
      <c r="E37" s="18">
        <f t="shared" si="3"/>
        <v>1.5731469430246596</v>
      </c>
      <c r="F37" s="18">
        <f t="shared" si="3"/>
        <v>7.4580446669099008</v>
      </c>
      <c r="G37" s="18">
        <f t="shared" si="3"/>
        <v>27.648814395919405</v>
      </c>
      <c r="H37" s="18">
        <f t="shared" si="3"/>
        <v>11.107009146206419</v>
      </c>
      <c r="I37" s="18">
        <f t="shared" si="3"/>
        <v>1.8070481975879302</v>
      </c>
      <c r="J37" s="18">
        <f t="shared" si="3"/>
        <v>0.17077349605990291</v>
      </c>
      <c r="K37" s="18">
        <f t="shared" si="3"/>
        <v>89.896553689323241</v>
      </c>
      <c r="L37" s="18">
        <f t="shared" si="3"/>
        <v>3.7118356527523444</v>
      </c>
      <c r="M37" s="18">
        <f t="shared" si="3"/>
        <v>8.4625419742927672</v>
      </c>
      <c r="N37" s="18">
        <f t="shared" si="3"/>
        <v>129.0813864571889</v>
      </c>
      <c r="O37" s="18">
        <f t="shared" si="3"/>
        <v>4.0824829046386311E-2</v>
      </c>
      <c r="P37" s="18">
        <f t="shared" si="3"/>
        <v>0.1249456403540285</v>
      </c>
      <c r="Q37" s="18">
        <f t="shared" si="3"/>
        <v>1.2247448713915992E-2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6"/>
  <sheetViews>
    <sheetView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E25" sqref="E25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3" width="11" style="1" customWidth="1"/>
    <col min="4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02/11/2025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85</v>
      </c>
      <c r="B9" s="41">
        <v>15.36</v>
      </c>
      <c r="C9" s="41">
        <v>7.47</v>
      </c>
      <c r="D9" s="41">
        <v>16.02</v>
      </c>
      <c r="E9" s="41">
        <v>6.51</v>
      </c>
      <c r="F9" s="41">
        <v>2</v>
      </c>
      <c r="G9" s="41">
        <v>94.95</v>
      </c>
      <c r="H9" s="41">
        <v>43.03</v>
      </c>
      <c r="I9" s="41">
        <v>6.54</v>
      </c>
      <c r="J9" s="41">
        <v>0.13</v>
      </c>
      <c r="K9" s="41">
        <v>174.95</v>
      </c>
      <c r="L9" s="41">
        <v>17.440000000000001</v>
      </c>
      <c r="M9" s="41">
        <v>25.89</v>
      </c>
      <c r="N9" s="41">
        <v>2.2000000000000002</v>
      </c>
      <c r="O9" s="41">
        <v>0</v>
      </c>
      <c r="P9" s="41">
        <v>0.62</v>
      </c>
      <c r="Q9" s="41">
        <v>9.32</v>
      </c>
      <c r="R9" s="38"/>
      <c r="S9" s="38"/>
      <c r="T9" s="38"/>
      <c r="U9" s="38"/>
    </row>
    <row r="10" spans="1:21" customFormat="1">
      <c r="A10" s="40" t="s">
        <v>86</v>
      </c>
      <c r="B10" s="41">
        <v>16.61</v>
      </c>
      <c r="C10" s="41">
        <v>7.4</v>
      </c>
      <c r="D10" s="41">
        <v>17.18</v>
      </c>
      <c r="E10" s="41">
        <v>6.55</v>
      </c>
      <c r="F10" s="41">
        <v>2</v>
      </c>
      <c r="G10" s="41">
        <v>87.22</v>
      </c>
      <c r="H10" s="41">
        <v>43.03</v>
      </c>
      <c r="I10" s="41">
        <v>6.76</v>
      </c>
      <c r="J10" s="41">
        <v>0.13</v>
      </c>
      <c r="K10" s="41">
        <v>327.60000000000002</v>
      </c>
      <c r="L10" s="41">
        <v>22.28</v>
      </c>
      <c r="M10" s="41">
        <v>37.82</v>
      </c>
      <c r="N10" s="41">
        <v>2.1</v>
      </c>
      <c r="O10" s="41">
        <v>0</v>
      </c>
      <c r="P10" s="41">
        <v>0.64</v>
      </c>
      <c r="Q10" s="41">
        <v>9.32</v>
      </c>
      <c r="R10" s="38"/>
      <c r="S10" s="38"/>
      <c r="T10" s="38"/>
      <c r="U10" s="38"/>
    </row>
    <row r="11" spans="1:21" customFormat="1">
      <c r="A11" s="40" t="s">
        <v>87</v>
      </c>
      <c r="B11" s="41">
        <v>19.72</v>
      </c>
      <c r="C11" s="41">
        <v>8.06</v>
      </c>
      <c r="D11" s="41">
        <v>20.03</v>
      </c>
      <c r="E11" s="41">
        <v>6.62</v>
      </c>
      <c r="F11" s="41">
        <v>2</v>
      </c>
      <c r="G11" s="41">
        <v>103.38</v>
      </c>
      <c r="H11" s="41">
        <v>45.96</v>
      </c>
      <c r="I11" s="41">
        <v>7.07</v>
      </c>
      <c r="J11" s="41">
        <v>0.13</v>
      </c>
      <c r="K11" s="41">
        <v>215.15</v>
      </c>
      <c r="L11" s="41">
        <v>18.91</v>
      </c>
      <c r="M11" s="41">
        <v>29.59</v>
      </c>
      <c r="N11" s="41">
        <v>2.1</v>
      </c>
      <c r="O11" s="41">
        <v>0</v>
      </c>
      <c r="P11" s="41">
        <v>0.65</v>
      </c>
      <c r="Q11" s="41">
        <v>9.32</v>
      </c>
      <c r="R11" s="38"/>
      <c r="S11" s="38"/>
      <c r="T11" s="38"/>
      <c r="U11" s="38"/>
    </row>
    <row r="12" spans="1:21" customFormat="1">
      <c r="A12" s="40" t="s">
        <v>88</v>
      </c>
      <c r="B12" s="41">
        <v>20.95</v>
      </c>
      <c r="C12" s="41">
        <v>8.27</v>
      </c>
      <c r="D12" s="41">
        <v>21.09</v>
      </c>
      <c r="E12" s="41">
        <v>7.06</v>
      </c>
      <c r="F12" s="41">
        <v>2</v>
      </c>
      <c r="G12" s="41">
        <v>108.61</v>
      </c>
      <c r="H12" s="41">
        <v>50.42</v>
      </c>
      <c r="I12" s="41">
        <v>7.48</v>
      </c>
      <c r="J12" s="41">
        <v>0.17</v>
      </c>
      <c r="K12" s="41">
        <v>203.63</v>
      </c>
      <c r="L12" s="41">
        <v>17.41</v>
      </c>
      <c r="M12" s="41">
        <v>25.83</v>
      </c>
      <c r="N12" s="41">
        <v>2.2000000000000002</v>
      </c>
      <c r="O12" s="41">
        <v>0</v>
      </c>
      <c r="P12" s="41">
        <v>0.66</v>
      </c>
      <c r="Q12" s="41">
        <v>9.32</v>
      </c>
      <c r="R12" s="38"/>
      <c r="S12" s="38"/>
      <c r="T12" s="38"/>
      <c r="U12" s="38"/>
    </row>
    <row r="13" spans="1:21" customFormat="1">
      <c r="A13" s="40" t="s">
        <v>89</v>
      </c>
      <c r="B13" s="41">
        <v>21.15</v>
      </c>
      <c r="C13" s="41">
        <v>8.2200000000000006</v>
      </c>
      <c r="D13" s="41">
        <v>21.2</v>
      </c>
      <c r="E13" s="41">
        <v>6.98</v>
      </c>
      <c r="F13" s="41">
        <v>2</v>
      </c>
      <c r="G13" s="41">
        <v>108.61</v>
      </c>
      <c r="H13" s="41">
        <v>50.42</v>
      </c>
      <c r="I13" s="41">
        <v>7.88</v>
      </c>
      <c r="J13" s="41">
        <v>0.24</v>
      </c>
      <c r="K13" s="41">
        <v>222.65</v>
      </c>
      <c r="L13" s="41">
        <v>19.920000000000002</v>
      </c>
      <c r="M13" s="41">
        <v>32.090000000000003</v>
      </c>
      <c r="N13" s="41">
        <v>2.2000000000000002</v>
      </c>
      <c r="O13" s="41">
        <v>0</v>
      </c>
      <c r="P13" s="41">
        <v>0.65</v>
      </c>
      <c r="Q13" s="41">
        <v>9.32</v>
      </c>
      <c r="R13" s="38"/>
      <c r="S13" s="38"/>
      <c r="T13" s="38"/>
      <c r="U13" s="38"/>
    </row>
    <row r="14" spans="1:21" customFormat="1">
      <c r="A14" s="40" t="s">
        <v>90</v>
      </c>
      <c r="B14" s="41">
        <v>20.51</v>
      </c>
      <c r="C14" s="41">
        <v>8.07</v>
      </c>
      <c r="D14" s="41">
        <v>20.66</v>
      </c>
      <c r="E14" s="41">
        <v>7.09</v>
      </c>
      <c r="F14" s="41">
        <v>2</v>
      </c>
      <c r="G14" s="41">
        <v>90.12</v>
      </c>
      <c r="H14" s="41">
        <v>45</v>
      </c>
      <c r="I14" s="41">
        <v>7.89</v>
      </c>
      <c r="J14" s="41">
        <v>0.06</v>
      </c>
      <c r="K14" s="41">
        <v>202.56</v>
      </c>
      <c r="L14" s="41">
        <v>18.98</v>
      </c>
      <c r="M14" s="41">
        <v>29.48</v>
      </c>
      <c r="N14" s="41">
        <v>2.2999999999999998</v>
      </c>
      <c r="O14" s="41">
        <v>0</v>
      </c>
      <c r="P14" s="41">
        <v>0.57999999999999996</v>
      </c>
      <c r="Q14" s="41">
        <v>9.32</v>
      </c>
      <c r="R14" s="38"/>
      <c r="S14" s="38"/>
      <c r="T14" s="38"/>
      <c r="U14" s="38"/>
    </row>
    <row r="15" spans="1:21" customFormat="1">
      <c r="A15" s="40" t="s">
        <v>91</v>
      </c>
      <c r="B15" s="41">
        <v>19.88</v>
      </c>
      <c r="C15" s="41">
        <v>8.2899999999999991</v>
      </c>
      <c r="D15" s="41">
        <v>20.27</v>
      </c>
      <c r="E15" s="41">
        <v>7.13</v>
      </c>
      <c r="F15" s="41">
        <v>2</v>
      </c>
      <c r="G15" s="41">
        <v>86.1</v>
      </c>
      <c r="H15" s="41">
        <v>41.47</v>
      </c>
      <c r="I15" s="41">
        <v>7.91</v>
      </c>
      <c r="J15" s="41">
        <v>0.18</v>
      </c>
      <c r="K15" s="41">
        <v>165.44</v>
      </c>
      <c r="L15" s="41">
        <v>16.940000000000001</v>
      </c>
      <c r="M15" s="41">
        <v>24.19</v>
      </c>
      <c r="N15" s="41">
        <v>29.9</v>
      </c>
      <c r="O15" s="41">
        <v>0</v>
      </c>
      <c r="P15" s="41">
        <v>0.56999999999999995</v>
      </c>
      <c r="Q15" s="41">
        <v>9.32</v>
      </c>
      <c r="R15" s="38"/>
      <c r="S15" s="38"/>
      <c r="T15" s="38"/>
      <c r="U15" s="38"/>
    </row>
    <row r="16" spans="1:21" customFormat="1">
      <c r="A16" s="40" t="s">
        <v>92</v>
      </c>
      <c r="B16" s="41">
        <v>19.82</v>
      </c>
      <c r="C16" s="41">
        <v>8.2200000000000006</v>
      </c>
      <c r="D16" s="41">
        <v>20.170000000000002</v>
      </c>
      <c r="E16" s="41">
        <v>7.05</v>
      </c>
      <c r="F16" s="41">
        <v>2</v>
      </c>
      <c r="G16" s="41">
        <v>78</v>
      </c>
      <c r="H16" s="41">
        <v>37.74</v>
      </c>
      <c r="I16" s="41">
        <v>8.23</v>
      </c>
      <c r="J16" s="41">
        <v>0.28999999999999998</v>
      </c>
      <c r="K16" s="41">
        <v>298.25</v>
      </c>
      <c r="L16" s="41">
        <v>23.14</v>
      </c>
      <c r="M16" s="41">
        <v>38.35</v>
      </c>
      <c r="N16" s="41">
        <v>202.6</v>
      </c>
      <c r="O16" s="41">
        <v>0</v>
      </c>
      <c r="P16" s="41">
        <v>0.56999999999999995</v>
      </c>
      <c r="Q16" s="41">
        <v>9.32</v>
      </c>
      <c r="R16" s="38"/>
      <c r="S16" s="38"/>
      <c r="T16" s="38"/>
      <c r="U16" s="38"/>
    </row>
    <row r="17" spans="1:21" customFormat="1">
      <c r="A17" s="40" t="s">
        <v>93</v>
      </c>
      <c r="B17" s="41">
        <v>18.239999999999998</v>
      </c>
      <c r="C17" s="41">
        <v>8.69</v>
      </c>
      <c r="D17" s="41">
        <v>18.95</v>
      </c>
      <c r="E17" s="41">
        <v>8.07</v>
      </c>
      <c r="F17" s="41">
        <v>2</v>
      </c>
      <c r="G17" s="41">
        <v>78</v>
      </c>
      <c r="H17" s="41">
        <v>37.57</v>
      </c>
      <c r="I17" s="41">
        <v>8.5399999999999991</v>
      </c>
      <c r="J17" s="41">
        <v>0.25</v>
      </c>
      <c r="K17" s="41">
        <v>74.08</v>
      </c>
      <c r="L17" s="41">
        <v>14.58</v>
      </c>
      <c r="M17" s="41">
        <v>14.49</v>
      </c>
      <c r="N17" s="41">
        <v>246</v>
      </c>
      <c r="O17" s="41">
        <v>0</v>
      </c>
      <c r="P17" s="41">
        <v>0.56999999999999995</v>
      </c>
      <c r="Q17" s="41">
        <v>9.32</v>
      </c>
      <c r="R17" s="38"/>
      <c r="S17" s="38"/>
      <c r="T17" s="38"/>
      <c r="U17" s="38"/>
    </row>
    <row r="18" spans="1:21" customFormat="1">
      <c r="A18" s="40" t="s">
        <v>94</v>
      </c>
      <c r="B18" s="41">
        <v>15.49</v>
      </c>
      <c r="C18" s="41">
        <v>8.09</v>
      </c>
      <c r="D18" s="41">
        <v>16.64</v>
      </c>
      <c r="E18" s="41">
        <v>7.78</v>
      </c>
      <c r="F18" s="41">
        <v>2</v>
      </c>
      <c r="G18" s="41">
        <v>76.650000000000006</v>
      </c>
      <c r="H18" s="41">
        <v>35.79</v>
      </c>
      <c r="I18" s="41">
        <v>8.41</v>
      </c>
      <c r="J18" s="41">
        <v>0.27</v>
      </c>
      <c r="K18" s="41">
        <v>140.47999999999999</v>
      </c>
      <c r="L18" s="41">
        <v>17.850000000000001</v>
      </c>
      <c r="M18" s="41">
        <v>22.58</v>
      </c>
      <c r="N18" s="41">
        <v>390.4</v>
      </c>
      <c r="O18" s="41">
        <v>0</v>
      </c>
      <c r="P18" s="41">
        <v>0.59</v>
      </c>
      <c r="Q18" s="41">
        <v>9.32</v>
      </c>
      <c r="R18" s="38"/>
      <c r="S18" s="38"/>
      <c r="T18" s="38"/>
      <c r="U18" s="38"/>
    </row>
    <row r="19" spans="1:21" customFormat="1">
      <c r="A19" s="40" t="s">
        <v>95</v>
      </c>
      <c r="B19" s="41">
        <v>14.91</v>
      </c>
      <c r="C19" s="41">
        <v>8.24</v>
      </c>
      <c r="D19" s="41">
        <v>16.079999999999998</v>
      </c>
      <c r="E19" s="41">
        <v>7</v>
      </c>
      <c r="F19" s="41">
        <v>2</v>
      </c>
      <c r="G19" s="41">
        <v>68.09</v>
      </c>
      <c r="H19" s="41">
        <v>28.2</v>
      </c>
      <c r="I19" s="41">
        <v>7.9</v>
      </c>
      <c r="J19" s="41">
        <v>0.5</v>
      </c>
      <c r="K19" s="41">
        <v>344.93</v>
      </c>
      <c r="L19" s="41">
        <v>25.66</v>
      </c>
      <c r="M19" s="41">
        <v>38.93</v>
      </c>
      <c r="N19" s="41">
        <v>421.6</v>
      </c>
      <c r="O19" s="41">
        <v>0</v>
      </c>
      <c r="P19" s="41">
        <v>0.57999999999999996</v>
      </c>
      <c r="Q19" s="41">
        <v>9.32</v>
      </c>
      <c r="R19" s="38"/>
      <c r="S19" s="38"/>
      <c r="T19" s="38"/>
      <c r="U19" s="38"/>
    </row>
    <row r="20" spans="1:21" customFormat="1">
      <c r="A20" s="40" t="s">
        <v>96</v>
      </c>
      <c r="B20" s="41">
        <v>14.25</v>
      </c>
      <c r="C20" s="41">
        <v>8.33</v>
      </c>
      <c r="D20" s="41">
        <v>15.78</v>
      </c>
      <c r="E20" s="41">
        <v>6.85</v>
      </c>
      <c r="F20" s="41">
        <v>2</v>
      </c>
      <c r="G20" s="41">
        <v>60.03</v>
      </c>
      <c r="H20" s="41">
        <v>24.76</v>
      </c>
      <c r="I20" s="41">
        <v>7.54</v>
      </c>
      <c r="J20" s="41">
        <v>0.35</v>
      </c>
      <c r="K20" s="41">
        <v>70.34</v>
      </c>
      <c r="L20" s="41">
        <v>19.760000000000002</v>
      </c>
      <c r="M20" s="41">
        <v>17.899999999999999</v>
      </c>
      <c r="N20" s="41">
        <v>654</v>
      </c>
      <c r="O20" s="41">
        <v>0</v>
      </c>
      <c r="P20" s="41">
        <v>0.56000000000000005</v>
      </c>
      <c r="Q20" s="41">
        <v>9.32</v>
      </c>
      <c r="R20" s="38"/>
      <c r="S20" s="38"/>
      <c r="T20" s="38"/>
      <c r="U20" s="38"/>
    </row>
    <row r="21" spans="1:21" customFormat="1">
      <c r="A21" s="40" t="s">
        <v>97</v>
      </c>
      <c r="B21" s="41">
        <v>12.2</v>
      </c>
      <c r="C21" s="41">
        <v>9.0500000000000007</v>
      </c>
      <c r="D21" s="41">
        <v>14.03</v>
      </c>
      <c r="E21" s="41">
        <v>7.6</v>
      </c>
      <c r="F21" s="41">
        <v>2.06</v>
      </c>
      <c r="G21" s="41">
        <v>52.54</v>
      </c>
      <c r="H21" s="41">
        <v>21.58</v>
      </c>
      <c r="I21" s="41">
        <v>7.09</v>
      </c>
      <c r="J21" s="41">
        <v>0.33</v>
      </c>
      <c r="K21" s="41">
        <v>334.49</v>
      </c>
      <c r="L21" s="41">
        <v>20.51</v>
      </c>
      <c r="M21" s="41">
        <v>31.94</v>
      </c>
      <c r="N21" s="41">
        <v>166</v>
      </c>
      <c r="O21" s="41">
        <v>0</v>
      </c>
      <c r="P21" s="41">
        <v>0.53</v>
      </c>
      <c r="Q21" s="41">
        <v>9.32</v>
      </c>
      <c r="R21" s="38"/>
      <c r="S21" s="38"/>
      <c r="T21" s="38"/>
      <c r="U21" s="38"/>
    </row>
    <row r="22" spans="1:21" customFormat="1">
      <c r="A22" s="40" t="s">
        <v>98</v>
      </c>
      <c r="B22" s="41">
        <v>9.7100000000000009</v>
      </c>
      <c r="C22" s="41">
        <v>10.91</v>
      </c>
      <c r="D22" s="41">
        <v>12.48</v>
      </c>
      <c r="E22" s="41">
        <v>8.74</v>
      </c>
      <c r="F22" s="41">
        <v>5.33</v>
      </c>
      <c r="G22" s="41">
        <v>50.7</v>
      </c>
      <c r="H22" s="41">
        <v>21.58</v>
      </c>
      <c r="I22" s="41">
        <v>6.82</v>
      </c>
      <c r="J22" s="41">
        <v>0.43</v>
      </c>
      <c r="K22" s="41">
        <v>51.76</v>
      </c>
      <c r="L22" s="41">
        <v>16.53</v>
      </c>
      <c r="M22" s="41">
        <v>21.14</v>
      </c>
      <c r="N22" s="41">
        <v>146.9</v>
      </c>
      <c r="O22" s="41">
        <v>0</v>
      </c>
      <c r="P22" s="41">
        <v>0.54</v>
      </c>
      <c r="Q22" s="41">
        <v>9.32</v>
      </c>
      <c r="R22" s="38"/>
      <c r="S22" s="38"/>
      <c r="T22" s="38"/>
      <c r="U22" s="38"/>
    </row>
    <row r="23" spans="1:21" customFormat="1">
      <c r="A23" s="40" t="s">
        <v>99</v>
      </c>
      <c r="B23" s="41">
        <v>7.39</v>
      </c>
      <c r="C23" s="41">
        <v>11.25</v>
      </c>
      <c r="D23" s="41">
        <v>11.31</v>
      </c>
      <c r="E23" s="41">
        <v>11.66</v>
      </c>
      <c r="F23" s="41">
        <v>5.35</v>
      </c>
      <c r="G23" s="41">
        <v>70.11</v>
      </c>
      <c r="H23" s="41">
        <v>29.29</v>
      </c>
      <c r="I23" s="41">
        <v>6.91</v>
      </c>
      <c r="J23" s="41">
        <v>0.38</v>
      </c>
      <c r="K23" s="41">
        <v>50.7</v>
      </c>
      <c r="L23" s="41">
        <v>17.07</v>
      </c>
      <c r="M23" s="41">
        <v>20.99</v>
      </c>
      <c r="N23" s="41">
        <v>159.69999999999999</v>
      </c>
      <c r="O23" s="41">
        <v>0</v>
      </c>
      <c r="P23" s="41">
        <v>0.56000000000000005</v>
      </c>
      <c r="Q23" s="41">
        <v>9.32</v>
      </c>
      <c r="R23" s="38"/>
      <c r="S23" s="38"/>
      <c r="T23" s="38"/>
      <c r="U23" s="38"/>
    </row>
    <row r="24" spans="1:21" customFormat="1">
      <c r="A24" s="40" t="s">
        <v>100</v>
      </c>
      <c r="B24" s="41">
        <v>6</v>
      </c>
      <c r="C24" s="41">
        <v>12.05</v>
      </c>
      <c r="D24" s="41">
        <v>10.82</v>
      </c>
      <c r="E24" s="41">
        <v>12.09</v>
      </c>
      <c r="F24" s="41">
        <v>4.83</v>
      </c>
      <c r="G24" s="41">
        <v>70.11</v>
      </c>
      <c r="H24" s="41">
        <v>29.29</v>
      </c>
      <c r="I24" s="41">
        <v>6.54</v>
      </c>
      <c r="J24" s="41">
        <v>0.48</v>
      </c>
      <c r="K24" s="41">
        <v>133.37</v>
      </c>
      <c r="L24" s="41">
        <v>15.97</v>
      </c>
      <c r="M24" s="41">
        <v>20.440000000000001</v>
      </c>
      <c r="N24" s="41">
        <v>63.9</v>
      </c>
      <c r="O24" s="41">
        <v>0</v>
      </c>
      <c r="P24" s="41">
        <v>0.55000000000000004</v>
      </c>
      <c r="Q24" s="41">
        <v>9.32</v>
      </c>
      <c r="R24" s="38"/>
      <c r="S24" s="38"/>
      <c r="T24" s="38"/>
      <c r="U24" s="38"/>
    </row>
    <row r="25" spans="1:21" customFormat="1">
      <c r="A25" s="40" t="s">
        <v>101</v>
      </c>
      <c r="B25" s="41">
        <v>8.42</v>
      </c>
      <c r="C25" s="41">
        <v>14.6</v>
      </c>
      <c r="D25" s="41">
        <v>14.38</v>
      </c>
      <c r="E25" s="41">
        <v>14.01</v>
      </c>
      <c r="F25" s="41">
        <v>2.4300000000000002</v>
      </c>
      <c r="G25" s="41">
        <v>69.739999999999995</v>
      </c>
      <c r="H25" s="41">
        <v>27.84</v>
      </c>
      <c r="I25" s="41">
        <v>6.25</v>
      </c>
      <c r="J25" s="41">
        <v>0.38</v>
      </c>
      <c r="K25" s="41">
        <v>54.96</v>
      </c>
      <c r="L25" s="41">
        <v>11.49</v>
      </c>
      <c r="M25" s="41">
        <v>9.85</v>
      </c>
      <c r="N25" s="41">
        <v>26</v>
      </c>
      <c r="O25" s="41">
        <v>0</v>
      </c>
      <c r="P25" s="41">
        <v>0.59</v>
      </c>
      <c r="Q25" s="41">
        <v>9.32</v>
      </c>
      <c r="R25" s="38"/>
      <c r="S25" s="38"/>
      <c r="T25" s="38"/>
      <c r="U25" s="38"/>
    </row>
    <row r="26" spans="1:21" customFormat="1">
      <c r="A26" s="40" t="s">
        <v>102</v>
      </c>
      <c r="B26" s="41">
        <v>7.52</v>
      </c>
      <c r="C26" s="41">
        <v>12.69</v>
      </c>
      <c r="D26" s="41">
        <v>12.66</v>
      </c>
      <c r="E26" s="41">
        <v>9.77</v>
      </c>
      <c r="F26" s="41">
        <v>2.15</v>
      </c>
      <c r="G26" s="41">
        <v>69.739999999999995</v>
      </c>
      <c r="H26" s="41">
        <v>26.55</v>
      </c>
      <c r="I26" s="41">
        <v>6.4</v>
      </c>
      <c r="J26" s="41">
        <v>0.23</v>
      </c>
      <c r="K26" s="41">
        <v>159.58000000000001</v>
      </c>
      <c r="L26" s="41">
        <v>15.66</v>
      </c>
      <c r="M26" s="41">
        <v>21.16</v>
      </c>
      <c r="N26" s="41">
        <v>6.7</v>
      </c>
      <c r="O26" s="41">
        <v>0</v>
      </c>
      <c r="P26" s="41">
        <v>0.55000000000000004</v>
      </c>
      <c r="Q26" s="41">
        <v>9.32</v>
      </c>
      <c r="R26" s="38"/>
      <c r="S26" s="38"/>
      <c r="T26" s="38"/>
      <c r="U26" s="38"/>
    </row>
    <row r="27" spans="1:21" customFormat="1">
      <c r="A27" s="40" t="s">
        <v>103</v>
      </c>
      <c r="B27" s="41">
        <v>7.34</v>
      </c>
      <c r="C27" s="41">
        <v>10.94</v>
      </c>
      <c r="D27" s="41">
        <v>11.37</v>
      </c>
      <c r="E27" s="41">
        <v>6.98</v>
      </c>
      <c r="F27" s="41">
        <v>2</v>
      </c>
      <c r="G27" s="41">
        <v>71.45</v>
      </c>
      <c r="H27" s="41">
        <v>26.55</v>
      </c>
      <c r="I27" s="41">
        <v>6.85</v>
      </c>
      <c r="J27" s="41">
        <v>0.28999999999999998</v>
      </c>
      <c r="K27" s="41">
        <v>169.72</v>
      </c>
      <c r="L27" s="41">
        <v>16.760000000000002</v>
      </c>
      <c r="M27" s="41">
        <v>23.93</v>
      </c>
      <c r="N27" s="41">
        <v>2.5</v>
      </c>
      <c r="O27" s="41">
        <v>0</v>
      </c>
      <c r="P27" s="41">
        <v>0.59</v>
      </c>
      <c r="Q27" s="41">
        <v>9.32</v>
      </c>
      <c r="R27" s="38"/>
      <c r="S27" s="38"/>
      <c r="T27" s="38"/>
      <c r="U27" s="38"/>
    </row>
    <row r="28" spans="1:21" customFormat="1">
      <c r="A28" s="40" t="s">
        <v>104</v>
      </c>
      <c r="B28" s="41">
        <v>7.09</v>
      </c>
      <c r="C28" s="41">
        <v>8.56</v>
      </c>
      <c r="D28" s="41">
        <v>9.8699999999999992</v>
      </c>
      <c r="E28" s="41">
        <v>6.32</v>
      </c>
      <c r="F28" s="41">
        <v>2</v>
      </c>
      <c r="G28" s="41">
        <v>73.19</v>
      </c>
      <c r="H28" s="41">
        <v>24.43</v>
      </c>
      <c r="I28" s="41">
        <v>7.09</v>
      </c>
      <c r="J28" s="41">
        <v>0.18</v>
      </c>
      <c r="K28" s="41">
        <v>179.02</v>
      </c>
      <c r="L28" s="41">
        <v>17.29</v>
      </c>
      <c r="M28" s="41">
        <v>25.51</v>
      </c>
      <c r="N28" s="41">
        <v>2.4</v>
      </c>
      <c r="O28" s="41">
        <v>0</v>
      </c>
      <c r="P28" s="41">
        <v>0.63</v>
      </c>
      <c r="Q28" s="41">
        <v>9.32</v>
      </c>
      <c r="R28" s="38"/>
      <c r="S28" s="38"/>
      <c r="T28" s="38"/>
      <c r="U28" s="38"/>
    </row>
    <row r="29" spans="1:21" customFormat="1">
      <c r="A29" s="40" t="s">
        <v>105</v>
      </c>
      <c r="B29" s="41">
        <v>7.9</v>
      </c>
      <c r="C29" s="41">
        <v>7.23</v>
      </c>
      <c r="D29" s="41">
        <v>9.86</v>
      </c>
      <c r="E29" s="41">
        <v>6.13</v>
      </c>
      <c r="F29" s="41">
        <v>2</v>
      </c>
      <c r="G29" s="41">
        <v>73.19</v>
      </c>
      <c r="H29" s="41">
        <v>24.43</v>
      </c>
      <c r="I29" s="41">
        <v>7.13</v>
      </c>
      <c r="J29" s="41">
        <v>0.18</v>
      </c>
      <c r="K29" s="41">
        <v>196.47</v>
      </c>
      <c r="L29" s="41">
        <v>18.350000000000001</v>
      </c>
      <c r="M29" s="41">
        <v>28.16</v>
      </c>
      <c r="N29" s="41">
        <v>2.2999999999999998</v>
      </c>
      <c r="O29" s="41">
        <v>0</v>
      </c>
      <c r="P29" s="41">
        <v>0.63</v>
      </c>
      <c r="Q29" s="41">
        <v>9.32</v>
      </c>
      <c r="R29" s="38"/>
      <c r="S29" s="38"/>
      <c r="T29" s="38"/>
      <c r="U29" s="38"/>
    </row>
    <row r="30" spans="1:21" customFormat="1">
      <c r="A30" s="40" t="s">
        <v>106</v>
      </c>
      <c r="B30" s="41">
        <v>8.34</v>
      </c>
      <c r="C30" s="41">
        <v>6.63</v>
      </c>
      <c r="D30" s="41">
        <v>10.039999999999999</v>
      </c>
      <c r="E30" s="41">
        <v>6.16</v>
      </c>
      <c r="F30" s="41">
        <v>2</v>
      </c>
      <c r="G30" s="41">
        <v>71.28</v>
      </c>
      <c r="H30" s="41">
        <v>19.93</v>
      </c>
      <c r="I30" s="41">
        <v>7.29</v>
      </c>
      <c r="J30" s="41">
        <v>0.15</v>
      </c>
      <c r="K30" s="41">
        <v>194.36</v>
      </c>
      <c r="L30" s="41">
        <v>18.649999999999999</v>
      </c>
      <c r="M30" s="41">
        <v>28.92</v>
      </c>
      <c r="N30" s="41">
        <v>2.2999999999999998</v>
      </c>
      <c r="O30" s="41">
        <v>0</v>
      </c>
      <c r="P30" s="41">
        <v>0.64</v>
      </c>
      <c r="Q30" s="41">
        <v>9.32</v>
      </c>
      <c r="R30" s="38"/>
      <c r="S30" s="38"/>
      <c r="T30" s="38"/>
      <c r="U30" s="38"/>
    </row>
    <row r="31" spans="1:21" customFormat="1">
      <c r="A31" s="40" t="s">
        <v>107</v>
      </c>
      <c r="B31" s="41">
        <v>8.81</v>
      </c>
      <c r="C31" s="41">
        <v>6.61</v>
      </c>
      <c r="D31" s="41">
        <v>10.38</v>
      </c>
      <c r="E31" s="41">
        <v>6.3</v>
      </c>
      <c r="F31" s="41">
        <v>2</v>
      </c>
      <c r="G31" s="41">
        <v>71.28</v>
      </c>
      <c r="H31" s="41">
        <v>19.59</v>
      </c>
      <c r="I31" s="41">
        <v>7.47</v>
      </c>
      <c r="J31" s="41">
        <v>0.12</v>
      </c>
      <c r="K31" s="41">
        <v>202.63</v>
      </c>
      <c r="L31" s="41">
        <v>18.79</v>
      </c>
      <c r="M31" s="41">
        <v>29.24</v>
      </c>
      <c r="N31" s="41">
        <v>2.4</v>
      </c>
      <c r="O31" s="41">
        <v>0</v>
      </c>
      <c r="P31" s="41">
        <v>0.65</v>
      </c>
      <c r="Q31" s="41">
        <v>9.32</v>
      </c>
      <c r="R31" s="38"/>
      <c r="S31" s="38"/>
      <c r="T31" s="38"/>
      <c r="U31" s="38"/>
    </row>
    <row r="32" spans="1:21" customFormat="1">
      <c r="A32" s="40" t="s">
        <v>108</v>
      </c>
      <c r="B32" s="41">
        <v>9.15</v>
      </c>
      <c r="C32" s="41">
        <v>6.64</v>
      </c>
      <c r="D32" s="41">
        <v>10.78</v>
      </c>
      <c r="E32" s="41">
        <v>6.38</v>
      </c>
      <c r="F32" s="41">
        <v>2</v>
      </c>
      <c r="G32" s="41">
        <v>67.13</v>
      </c>
      <c r="H32" s="41">
        <v>21.25</v>
      </c>
      <c r="I32" s="41">
        <v>7.66</v>
      </c>
      <c r="J32" s="41">
        <v>0.18</v>
      </c>
      <c r="K32" s="41">
        <v>204.94</v>
      </c>
      <c r="L32" s="41">
        <v>19.03</v>
      </c>
      <c r="M32" s="41">
        <v>29.91</v>
      </c>
      <c r="N32" s="41">
        <v>2.2999999999999998</v>
      </c>
      <c r="O32" s="41">
        <v>0</v>
      </c>
      <c r="P32" s="41">
        <v>0.66</v>
      </c>
      <c r="Q32" s="41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6</v>
      </c>
      <c r="C34" s="18">
        <f t="shared" si="0"/>
        <v>6.61</v>
      </c>
      <c r="D34" s="18">
        <f t="shared" si="0"/>
        <v>9.86</v>
      </c>
      <c r="E34" s="18">
        <f t="shared" si="0"/>
        <v>6.13</v>
      </c>
      <c r="F34" s="18">
        <f t="shared" si="0"/>
        <v>2</v>
      </c>
      <c r="G34" s="18">
        <f t="shared" si="0"/>
        <v>50.7</v>
      </c>
      <c r="H34" s="18">
        <f t="shared" si="0"/>
        <v>19.59</v>
      </c>
      <c r="I34" s="18">
        <f t="shared" si="0"/>
        <v>6.25</v>
      </c>
      <c r="J34" s="18">
        <f t="shared" si="0"/>
        <v>0.06</v>
      </c>
      <c r="K34" s="18">
        <f t="shared" si="0"/>
        <v>50.7</v>
      </c>
      <c r="L34" s="18">
        <f t="shared" si="0"/>
        <v>11.49</v>
      </c>
      <c r="M34" s="18">
        <f t="shared" si="0"/>
        <v>9.85</v>
      </c>
      <c r="N34" s="18">
        <f t="shared" si="0"/>
        <v>2.1</v>
      </c>
      <c r="O34" s="18">
        <f t="shared" si="0"/>
        <v>0</v>
      </c>
      <c r="P34" s="18">
        <f t="shared" si="0"/>
        <v>0.53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21.15</v>
      </c>
      <c r="C35" s="3">
        <f t="shared" si="1"/>
        <v>14.6</v>
      </c>
      <c r="D35" s="3">
        <f t="shared" si="1"/>
        <v>21.2</v>
      </c>
      <c r="E35" s="3">
        <f t="shared" si="1"/>
        <v>14.01</v>
      </c>
      <c r="F35" s="3">
        <f t="shared" si="1"/>
        <v>5.35</v>
      </c>
      <c r="G35" s="3">
        <f t="shared" si="1"/>
        <v>108.61</v>
      </c>
      <c r="H35" s="3">
        <f t="shared" si="1"/>
        <v>50.42</v>
      </c>
      <c r="I35" s="3">
        <f t="shared" si="1"/>
        <v>8.5399999999999991</v>
      </c>
      <c r="J35" s="3">
        <f t="shared" si="1"/>
        <v>0.5</v>
      </c>
      <c r="K35" s="3">
        <f t="shared" si="1"/>
        <v>344.93</v>
      </c>
      <c r="L35" s="3">
        <f t="shared" si="1"/>
        <v>25.66</v>
      </c>
      <c r="M35" s="3">
        <f t="shared" si="1"/>
        <v>38.93</v>
      </c>
      <c r="N35" s="3">
        <f t="shared" si="1"/>
        <v>654</v>
      </c>
      <c r="O35" s="3">
        <f t="shared" si="1"/>
        <v>0</v>
      </c>
      <c r="P35" s="3">
        <f t="shared" si="1"/>
        <v>0.66</v>
      </c>
      <c r="Q35" s="3">
        <f t="shared" si="1"/>
        <v>9.32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13.198333333333329</v>
      </c>
      <c r="C36" s="18">
        <f t="shared" si="2"/>
        <v>8.9379166666666663</v>
      </c>
      <c r="D36" s="18">
        <f t="shared" si="2"/>
        <v>15.085416666666665</v>
      </c>
      <c r="E36" s="18">
        <f t="shared" si="2"/>
        <v>7.784583333333333</v>
      </c>
      <c r="F36" s="18">
        <f t="shared" si="2"/>
        <v>2.4229166666666666</v>
      </c>
      <c r="G36" s="18">
        <f t="shared" si="2"/>
        <v>77.092500000000015</v>
      </c>
      <c r="H36" s="18">
        <f t="shared" si="2"/>
        <v>32.320833333333326</v>
      </c>
      <c r="I36" s="18">
        <f t="shared" si="2"/>
        <v>7.3187500000000005</v>
      </c>
      <c r="J36" s="18">
        <f t="shared" si="2"/>
        <v>0.25125000000000003</v>
      </c>
      <c r="K36" s="18">
        <f t="shared" si="2"/>
        <v>182.16916666666665</v>
      </c>
      <c r="L36" s="18">
        <f t="shared" si="2"/>
        <v>18.290416666666669</v>
      </c>
      <c r="M36" s="18">
        <f t="shared" si="2"/>
        <v>26.180416666666662</v>
      </c>
      <c r="N36" s="18">
        <f t="shared" si="2"/>
        <v>105.87500000000001</v>
      </c>
      <c r="O36" s="18">
        <f t="shared" si="2"/>
        <v>0</v>
      </c>
      <c r="P36" s="18">
        <f t="shared" si="2"/>
        <v>0.59833333333333349</v>
      </c>
      <c r="Q36" s="18">
        <f t="shared" si="2"/>
        <v>9.319999999999995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5.4035702100086436</v>
      </c>
      <c r="C37" s="18">
        <f t="shared" ref="C37:Q37" si="3">STDEV(C9:C32)</f>
        <v>2.0614662978330394</v>
      </c>
      <c r="D37" s="18">
        <f t="shared" si="3"/>
        <v>4.101741919643703</v>
      </c>
      <c r="E37" s="18">
        <f t="shared" si="3"/>
        <v>2.0667617585649958</v>
      </c>
      <c r="F37" s="18">
        <f t="shared" si="3"/>
        <v>1.0680884150288505</v>
      </c>
      <c r="G37" s="18">
        <f t="shared" si="3"/>
        <v>15.404967366574223</v>
      </c>
      <c r="H37" s="18">
        <f t="shared" si="3"/>
        <v>10.122333859027968</v>
      </c>
      <c r="I37" s="18">
        <f t="shared" si="3"/>
        <v>0.63948561189919439</v>
      </c>
      <c r="J37" s="18">
        <f t="shared" si="3"/>
        <v>0.12055352410408017</v>
      </c>
      <c r="K37" s="18">
        <f t="shared" si="3"/>
        <v>85.719227456837899</v>
      </c>
      <c r="L37" s="18">
        <f t="shared" si="3"/>
        <v>2.866904828748484</v>
      </c>
      <c r="M37" s="18">
        <f t="shared" si="3"/>
        <v>7.1520641466622177</v>
      </c>
      <c r="N37" s="18">
        <f t="shared" si="3"/>
        <v>170.77943886525227</v>
      </c>
      <c r="O37" s="18">
        <f t="shared" si="3"/>
        <v>0</v>
      </c>
      <c r="P37" s="18">
        <f t="shared" si="3"/>
        <v>4.1979981426624173E-2</v>
      </c>
      <c r="Q37" s="18">
        <f t="shared" si="3"/>
        <v>5.4436872977907584E-15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6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F27" sqref="F27:F28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03/11/2025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109</v>
      </c>
      <c r="B9" s="41">
        <v>8.58</v>
      </c>
      <c r="C9" s="41">
        <v>6.97</v>
      </c>
      <c r="D9" s="41">
        <v>10.34</v>
      </c>
      <c r="E9" s="41">
        <v>6.43</v>
      </c>
      <c r="F9" s="41">
        <v>2</v>
      </c>
      <c r="G9" s="41">
        <v>66.2</v>
      </c>
      <c r="H9" s="41">
        <v>21.42</v>
      </c>
      <c r="I9" s="41">
        <v>7.98</v>
      </c>
      <c r="J9" s="41">
        <v>0.16</v>
      </c>
      <c r="K9" s="41">
        <v>227.37</v>
      </c>
      <c r="L9" s="41">
        <v>20.57</v>
      </c>
      <c r="M9" s="41">
        <v>33.42</v>
      </c>
      <c r="N9" s="41">
        <v>2.2000000000000002</v>
      </c>
      <c r="O9" s="41">
        <v>0</v>
      </c>
      <c r="P9" s="41">
        <v>0.64</v>
      </c>
      <c r="Q9" s="41">
        <v>9.32</v>
      </c>
      <c r="R9" s="38"/>
      <c r="S9" s="38"/>
      <c r="T9" s="38"/>
      <c r="U9" s="38"/>
    </row>
    <row r="10" spans="1:21" customFormat="1">
      <c r="A10" s="40" t="s">
        <v>110</v>
      </c>
      <c r="B10" s="41">
        <v>10.17</v>
      </c>
      <c r="C10" s="41">
        <v>7.56</v>
      </c>
      <c r="D10" s="41">
        <v>12.1</v>
      </c>
      <c r="E10" s="41">
        <v>6.35</v>
      </c>
      <c r="F10" s="41">
        <v>2</v>
      </c>
      <c r="G10" s="41">
        <v>66.2</v>
      </c>
      <c r="H10" s="41">
        <v>26.3</v>
      </c>
      <c r="I10" s="41">
        <v>8.35</v>
      </c>
      <c r="J10" s="41">
        <v>0.17</v>
      </c>
      <c r="K10" s="41">
        <v>190.39</v>
      </c>
      <c r="L10" s="41">
        <v>17.989999999999998</v>
      </c>
      <c r="M10" s="41">
        <v>27.11</v>
      </c>
      <c r="N10" s="41">
        <v>2.2000000000000002</v>
      </c>
      <c r="O10" s="41">
        <v>0</v>
      </c>
      <c r="P10" s="41">
        <v>0.66</v>
      </c>
      <c r="Q10" s="41">
        <v>9.32</v>
      </c>
      <c r="R10" s="38"/>
      <c r="S10" s="38"/>
      <c r="T10" s="38"/>
      <c r="U10" s="38"/>
    </row>
    <row r="11" spans="1:21" customFormat="1">
      <c r="A11" s="40" t="s">
        <v>111</v>
      </c>
      <c r="B11" s="41">
        <v>9.9499999999999993</v>
      </c>
      <c r="C11" s="41">
        <v>7.15</v>
      </c>
      <c r="D11" s="41">
        <v>11.71</v>
      </c>
      <c r="E11" s="41">
        <v>7.28</v>
      </c>
      <c r="F11" s="41">
        <v>2</v>
      </c>
      <c r="G11" s="41">
        <v>62.13</v>
      </c>
      <c r="H11" s="41">
        <v>26.3</v>
      </c>
      <c r="I11" s="41">
        <v>8.3800000000000008</v>
      </c>
      <c r="J11" s="41">
        <v>0.15</v>
      </c>
      <c r="K11" s="41">
        <v>178.7</v>
      </c>
      <c r="L11" s="41">
        <v>15.67</v>
      </c>
      <c r="M11" s="41">
        <v>21.33</v>
      </c>
      <c r="N11" s="41">
        <v>2.2999999999999998</v>
      </c>
      <c r="O11" s="41">
        <v>0</v>
      </c>
      <c r="P11" s="41">
        <v>0.66</v>
      </c>
      <c r="Q11" s="41">
        <v>9.32</v>
      </c>
      <c r="R11" s="38"/>
      <c r="S11" s="38"/>
      <c r="T11" s="38"/>
      <c r="U11" s="38"/>
    </row>
    <row r="12" spans="1:21" customFormat="1">
      <c r="A12" s="40" t="s">
        <v>112</v>
      </c>
      <c r="B12" s="41">
        <v>17.14</v>
      </c>
      <c r="C12" s="41">
        <v>9.34</v>
      </c>
      <c r="D12" s="41">
        <v>18.63</v>
      </c>
      <c r="E12" s="41">
        <v>7.67</v>
      </c>
      <c r="F12" s="41">
        <v>2</v>
      </c>
      <c r="G12" s="41">
        <v>65.86</v>
      </c>
      <c r="H12" s="41">
        <v>22.94</v>
      </c>
      <c r="I12" s="41">
        <v>8.77</v>
      </c>
      <c r="J12" s="41">
        <v>0.28999999999999998</v>
      </c>
      <c r="K12" s="41">
        <v>145.19</v>
      </c>
      <c r="L12" s="41">
        <v>14.13</v>
      </c>
      <c r="M12" s="41">
        <v>17.46</v>
      </c>
      <c r="N12" s="41">
        <v>2.1</v>
      </c>
      <c r="O12" s="41">
        <v>0</v>
      </c>
      <c r="P12" s="41">
        <v>0.68</v>
      </c>
      <c r="Q12" s="41">
        <v>9.32</v>
      </c>
      <c r="R12" s="38"/>
      <c r="S12" s="38"/>
      <c r="T12" s="38"/>
      <c r="U12" s="38"/>
    </row>
    <row r="13" spans="1:21" customFormat="1">
      <c r="A13" s="40" t="s">
        <v>113</v>
      </c>
      <c r="B13" s="41">
        <v>16.52</v>
      </c>
      <c r="C13" s="41">
        <v>8.49</v>
      </c>
      <c r="D13" s="41">
        <v>17.62</v>
      </c>
      <c r="E13" s="41">
        <v>7.6</v>
      </c>
      <c r="F13" s="41">
        <v>2</v>
      </c>
      <c r="G13" s="41">
        <v>70.39</v>
      </c>
      <c r="H13" s="41">
        <v>25.87</v>
      </c>
      <c r="I13" s="41">
        <v>8.86</v>
      </c>
      <c r="J13" s="41">
        <v>0.13</v>
      </c>
      <c r="K13" s="41">
        <v>185.82</v>
      </c>
      <c r="L13" s="41">
        <v>17.899999999999999</v>
      </c>
      <c r="M13" s="41">
        <v>26.98</v>
      </c>
      <c r="N13" s="41">
        <v>2.2999999999999998</v>
      </c>
      <c r="O13" s="41">
        <v>0</v>
      </c>
      <c r="P13" s="41">
        <v>0.67</v>
      </c>
      <c r="Q13" s="41">
        <v>9.32</v>
      </c>
      <c r="R13" s="38"/>
      <c r="S13" s="38"/>
      <c r="T13" s="38"/>
      <c r="U13" s="38"/>
    </row>
    <row r="14" spans="1:21" customFormat="1">
      <c r="A14" s="40" t="s">
        <v>114</v>
      </c>
      <c r="B14" s="41">
        <v>17.71</v>
      </c>
      <c r="C14" s="41">
        <v>7.97</v>
      </c>
      <c r="D14" s="41">
        <v>18.34</v>
      </c>
      <c r="E14" s="41">
        <v>7.71</v>
      </c>
      <c r="F14" s="41">
        <v>2</v>
      </c>
      <c r="G14" s="41">
        <v>70.39</v>
      </c>
      <c r="H14" s="41">
        <v>27.3</v>
      </c>
      <c r="I14" s="41">
        <v>8.61</v>
      </c>
      <c r="J14" s="41">
        <v>0.2</v>
      </c>
      <c r="K14" s="41">
        <v>122.94</v>
      </c>
      <c r="L14" s="41">
        <v>15.89</v>
      </c>
      <c r="M14" s="41">
        <v>21.9</v>
      </c>
      <c r="N14" s="41">
        <v>2.5</v>
      </c>
      <c r="O14" s="41">
        <v>0</v>
      </c>
      <c r="P14" s="41">
        <v>0.73</v>
      </c>
      <c r="Q14" s="41">
        <v>9.32</v>
      </c>
      <c r="R14" s="38"/>
      <c r="S14" s="38"/>
      <c r="T14" s="38"/>
      <c r="U14" s="38"/>
    </row>
    <row r="15" spans="1:21" customFormat="1">
      <c r="A15" s="40" t="s">
        <v>115</v>
      </c>
      <c r="B15" s="41">
        <v>19.39</v>
      </c>
      <c r="C15" s="41">
        <v>8.57</v>
      </c>
      <c r="D15" s="41">
        <v>20</v>
      </c>
      <c r="E15" s="41">
        <v>7.87</v>
      </c>
      <c r="F15" s="41">
        <v>2</v>
      </c>
      <c r="G15" s="41">
        <v>70.83</v>
      </c>
      <c r="H15" s="41">
        <v>27.3</v>
      </c>
      <c r="I15" s="41">
        <v>8.69</v>
      </c>
      <c r="J15" s="41">
        <v>0.33</v>
      </c>
      <c r="K15" s="41">
        <v>90.34</v>
      </c>
      <c r="L15" s="41">
        <v>12.46</v>
      </c>
      <c r="M15" s="41">
        <v>13.27</v>
      </c>
      <c r="N15" s="41">
        <v>30.2</v>
      </c>
      <c r="O15" s="41">
        <v>0</v>
      </c>
      <c r="P15" s="41">
        <v>0.72</v>
      </c>
      <c r="Q15" s="41">
        <v>9.32</v>
      </c>
      <c r="R15" s="38"/>
      <c r="S15" s="38"/>
      <c r="T15" s="38"/>
      <c r="U15" s="38"/>
    </row>
    <row r="16" spans="1:21" customFormat="1">
      <c r="A16" s="40" t="s">
        <v>116</v>
      </c>
      <c r="B16" s="41">
        <v>19.63</v>
      </c>
      <c r="C16" s="41">
        <v>8.5399999999999991</v>
      </c>
      <c r="D16" s="41">
        <v>20.2</v>
      </c>
      <c r="E16" s="41">
        <v>7.89</v>
      </c>
      <c r="F16" s="41">
        <v>2</v>
      </c>
      <c r="G16" s="41">
        <v>76.61</v>
      </c>
      <c r="H16" s="41">
        <v>29.9</v>
      </c>
      <c r="I16" s="41">
        <v>8.77</v>
      </c>
      <c r="J16" s="41">
        <v>0.45</v>
      </c>
      <c r="K16" s="41">
        <v>109.67</v>
      </c>
      <c r="L16" s="41">
        <v>16.399999999999999</v>
      </c>
      <c r="M16" s="41">
        <v>22.12</v>
      </c>
      <c r="N16" s="41">
        <v>187.7</v>
      </c>
      <c r="O16" s="41">
        <v>0</v>
      </c>
      <c r="P16" s="41">
        <v>0.73</v>
      </c>
      <c r="Q16" s="41">
        <v>9.32</v>
      </c>
      <c r="R16" s="38"/>
      <c r="S16" s="38"/>
      <c r="T16" s="38"/>
      <c r="U16" s="38"/>
    </row>
    <row r="17" spans="1:21" customFormat="1">
      <c r="A17" s="40" t="s">
        <v>117</v>
      </c>
      <c r="B17" s="41">
        <v>18.73</v>
      </c>
      <c r="C17" s="41">
        <v>8.8000000000000007</v>
      </c>
      <c r="D17" s="41">
        <v>19.5</v>
      </c>
      <c r="E17" s="41">
        <v>7.99</v>
      </c>
      <c r="F17" s="41">
        <v>2</v>
      </c>
      <c r="G17" s="41">
        <v>89.04</v>
      </c>
      <c r="H17" s="41">
        <v>31.56</v>
      </c>
      <c r="I17" s="41">
        <v>8.7899999999999991</v>
      </c>
      <c r="J17" s="41">
        <v>0.45</v>
      </c>
      <c r="K17" s="41">
        <v>68.14</v>
      </c>
      <c r="L17" s="41">
        <v>14.79</v>
      </c>
      <c r="M17" s="41">
        <v>11.98</v>
      </c>
      <c r="N17" s="41">
        <v>344.5</v>
      </c>
      <c r="O17" s="41">
        <v>0</v>
      </c>
      <c r="P17" s="41">
        <v>0.72</v>
      </c>
      <c r="Q17" s="41">
        <v>9.32</v>
      </c>
      <c r="R17" s="38"/>
      <c r="S17" s="38"/>
      <c r="T17" s="38"/>
      <c r="U17" s="38"/>
    </row>
    <row r="18" spans="1:21" customFormat="1">
      <c r="A18" s="40" t="s">
        <v>118</v>
      </c>
      <c r="B18" s="41">
        <v>17.260000000000002</v>
      </c>
      <c r="C18" s="41">
        <v>9.75</v>
      </c>
      <c r="D18" s="41">
        <v>18.52</v>
      </c>
      <c r="E18" s="41">
        <v>8.1199999999999992</v>
      </c>
      <c r="F18" s="41">
        <v>2</v>
      </c>
      <c r="G18" s="41">
        <v>89.04</v>
      </c>
      <c r="H18" s="41">
        <v>31.56</v>
      </c>
      <c r="I18" s="41">
        <v>8.73</v>
      </c>
      <c r="J18" s="41">
        <v>0.42</v>
      </c>
      <c r="K18" s="41">
        <v>336.15</v>
      </c>
      <c r="L18" s="41">
        <v>22.69</v>
      </c>
      <c r="M18" s="41">
        <v>29.89</v>
      </c>
      <c r="N18" s="41">
        <v>415.9</v>
      </c>
      <c r="O18" s="41">
        <v>0</v>
      </c>
      <c r="P18" s="41">
        <v>0.71</v>
      </c>
      <c r="Q18" s="41">
        <v>9.4499999999999993</v>
      </c>
      <c r="R18" s="38"/>
      <c r="S18" s="38"/>
      <c r="T18" s="38"/>
      <c r="U18" s="38"/>
    </row>
    <row r="19" spans="1:21" customFormat="1">
      <c r="A19" s="40" t="s">
        <v>119</v>
      </c>
      <c r="B19" s="41">
        <v>14.8</v>
      </c>
      <c r="C19" s="41">
        <v>10.14</v>
      </c>
      <c r="D19" s="41">
        <v>16.87</v>
      </c>
      <c r="E19" s="41">
        <v>9.1300000000000008</v>
      </c>
      <c r="F19" s="41">
        <v>2.62</v>
      </c>
      <c r="G19" s="41">
        <v>82.69</v>
      </c>
      <c r="H19" s="41">
        <v>27.93</v>
      </c>
      <c r="I19" s="41">
        <v>8.33</v>
      </c>
      <c r="J19" s="41">
        <v>0.36</v>
      </c>
      <c r="K19" s="41">
        <v>234.87</v>
      </c>
      <c r="L19" s="41">
        <v>22.49</v>
      </c>
      <c r="M19" s="41">
        <v>30.5</v>
      </c>
      <c r="N19" s="41">
        <v>564.1</v>
      </c>
      <c r="O19" s="41">
        <v>0</v>
      </c>
      <c r="P19" s="41">
        <v>0.62</v>
      </c>
      <c r="Q19" s="41">
        <v>9.32</v>
      </c>
      <c r="R19" s="38"/>
      <c r="S19" s="38"/>
      <c r="T19" s="38"/>
      <c r="U19" s="38"/>
    </row>
    <row r="20" spans="1:21" customFormat="1">
      <c r="A20" s="40" t="s">
        <v>120</v>
      </c>
      <c r="B20" s="41">
        <v>10.97</v>
      </c>
      <c r="C20" s="41">
        <v>9.7799999999999994</v>
      </c>
      <c r="D20" s="41">
        <v>13.81</v>
      </c>
      <c r="E20" s="41">
        <v>8.1199999999999992</v>
      </c>
      <c r="F20" s="41">
        <v>3.79</v>
      </c>
      <c r="G20" s="41">
        <v>73.62</v>
      </c>
      <c r="H20" s="41">
        <v>25.86</v>
      </c>
      <c r="I20" s="41">
        <v>7.37</v>
      </c>
      <c r="J20" s="41">
        <v>0.38</v>
      </c>
      <c r="K20" s="41">
        <v>271.61</v>
      </c>
      <c r="L20" s="41">
        <v>25.09</v>
      </c>
      <c r="M20" s="41">
        <v>36.880000000000003</v>
      </c>
      <c r="N20" s="41">
        <v>454.9</v>
      </c>
      <c r="O20" s="41">
        <v>0</v>
      </c>
      <c r="P20" s="41">
        <v>0.56999999999999995</v>
      </c>
      <c r="Q20" s="41">
        <v>9.32</v>
      </c>
      <c r="R20" s="38"/>
      <c r="S20" s="38"/>
      <c r="T20" s="38"/>
      <c r="U20" s="38"/>
    </row>
    <row r="21" spans="1:21" customFormat="1">
      <c r="A21" s="40" t="s">
        <v>121</v>
      </c>
      <c r="B21" s="41">
        <v>7.13</v>
      </c>
      <c r="C21" s="41">
        <v>10.11</v>
      </c>
      <c r="D21" s="41">
        <v>10.81</v>
      </c>
      <c r="E21" s="41">
        <v>9.17</v>
      </c>
      <c r="F21" s="41">
        <v>4.82</v>
      </c>
      <c r="G21" s="41">
        <v>64.97</v>
      </c>
      <c r="H21" s="41">
        <v>22.67</v>
      </c>
      <c r="I21" s="41">
        <v>7</v>
      </c>
      <c r="J21" s="41">
        <v>0.59</v>
      </c>
      <c r="K21" s="41">
        <v>284.56</v>
      </c>
      <c r="L21" s="41">
        <v>27.7</v>
      </c>
      <c r="M21" s="41">
        <v>43.11</v>
      </c>
      <c r="N21" s="41">
        <v>592.9</v>
      </c>
      <c r="O21" s="41">
        <v>0</v>
      </c>
      <c r="P21" s="41">
        <v>0.56000000000000005</v>
      </c>
      <c r="Q21" s="41">
        <v>9.32</v>
      </c>
      <c r="R21" s="38"/>
      <c r="S21" s="38"/>
      <c r="T21" s="38"/>
      <c r="U21" s="38"/>
    </row>
    <row r="22" spans="1:21" customFormat="1">
      <c r="A22" s="40" t="s">
        <v>122</v>
      </c>
      <c r="B22" s="41">
        <v>4.01</v>
      </c>
      <c r="C22" s="41">
        <v>9.35</v>
      </c>
      <c r="D22" s="41">
        <v>8.0299999999999994</v>
      </c>
      <c r="E22" s="41">
        <v>9.16</v>
      </c>
      <c r="F22" s="41">
        <v>8.18</v>
      </c>
      <c r="G22" s="41">
        <v>63.07</v>
      </c>
      <c r="H22" s="41">
        <v>24.72</v>
      </c>
      <c r="I22" s="41">
        <v>6.91</v>
      </c>
      <c r="J22" s="41">
        <v>0.67</v>
      </c>
      <c r="K22" s="41">
        <v>305.72000000000003</v>
      </c>
      <c r="L22" s="41">
        <v>28.7</v>
      </c>
      <c r="M22" s="41">
        <v>41.77</v>
      </c>
      <c r="N22" s="41">
        <v>516.6</v>
      </c>
      <c r="O22" s="41">
        <v>0</v>
      </c>
      <c r="P22" s="41">
        <v>0.53</v>
      </c>
      <c r="Q22" s="41">
        <v>9.32</v>
      </c>
      <c r="R22" s="38"/>
      <c r="S22" s="38"/>
      <c r="T22" s="38"/>
      <c r="U22" s="38"/>
    </row>
    <row r="23" spans="1:21" customFormat="1">
      <c r="A23" s="40" t="s">
        <v>123</v>
      </c>
      <c r="B23" s="41">
        <v>4.2</v>
      </c>
      <c r="C23" s="41">
        <v>11.19</v>
      </c>
      <c r="D23" s="41">
        <v>9.2200000000000006</v>
      </c>
      <c r="E23" s="41">
        <v>9.3000000000000007</v>
      </c>
      <c r="F23" s="41">
        <v>6.55</v>
      </c>
      <c r="G23" s="41">
        <v>58.37</v>
      </c>
      <c r="H23" s="41">
        <v>24.72</v>
      </c>
      <c r="I23" s="41">
        <v>6.29</v>
      </c>
      <c r="J23" s="41">
        <v>0.27</v>
      </c>
      <c r="K23" s="41">
        <v>358.48</v>
      </c>
      <c r="L23" s="41">
        <v>22.1</v>
      </c>
      <c r="M23" s="41">
        <v>35.82</v>
      </c>
      <c r="N23" s="41">
        <v>87.1</v>
      </c>
      <c r="O23" s="41">
        <v>0</v>
      </c>
      <c r="P23" s="41">
        <v>0.57999999999999996</v>
      </c>
      <c r="Q23" s="41">
        <v>9.32</v>
      </c>
      <c r="R23" s="38"/>
      <c r="S23" s="38"/>
      <c r="T23" s="38"/>
      <c r="U23" s="38"/>
    </row>
    <row r="24" spans="1:21" customFormat="1">
      <c r="A24" s="40" t="s">
        <v>124</v>
      </c>
      <c r="B24" s="41">
        <v>4.2300000000000004</v>
      </c>
      <c r="C24" s="41">
        <v>11.4</v>
      </c>
      <c r="D24" s="41">
        <v>9.35</v>
      </c>
      <c r="E24" s="41">
        <v>8.73</v>
      </c>
      <c r="F24" s="41">
        <v>6.21</v>
      </c>
      <c r="G24" s="41">
        <v>56.81</v>
      </c>
      <c r="H24" s="41">
        <v>21.83</v>
      </c>
      <c r="I24" s="41">
        <v>5.88</v>
      </c>
      <c r="J24" s="41">
        <v>0.36</v>
      </c>
      <c r="K24" s="41">
        <v>26.53</v>
      </c>
      <c r="L24" s="41">
        <v>14.72</v>
      </c>
      <c r="M24" s="41">
        <v>17.920000000000002</v>
      </c>
      <c r="N24" s="41">
        <v>38.799999999999997</v>
      </c>
      <c r="O24" s="41">
        <v>0</v>
      </c>
      <c r="P24" s="41">
        <v>0.6</v>
      </c>
      <c r="Q24" s="41">
        <v>9.32</v>
      </c>
      <c r="R24" s="38"/>
      <c r="S24" s="38"/>
      <c r="T24" s="38"/>
      <c r="U24" s="38"/>
    </row>
    <row r="25" spans="1:21" customFormat="1">
      <c r="A25" s="40" t="s">
        <v>125</v>
      </c>
      <c r="B25" s="41">
        <v>4.99</v>
      </c>
      <c r="C25" s="41">
        <v>12.03</v>
      </c>
      <c r="D25" s="41">
        <v>10.28</v>
      </c>
      <c r="E25" s="41">
        <v>8.08</v>
      </c>
      <c r="F25" s="41">
        <v>5.15</v>
      </c>
      <c r="G25" s="41">
        <v>58.39</v>
      </c>
      <c r="H25" s="41">
        <v>24.4</v>
      </c>
      <c r="I25" s="41">
        <v>5.85</v>
      </c>
      <c r="J25" s="41">
        <v>0.47</v>
      </c>
      <c r="K25" s="41">
        <v>42.58</v>
      </c>
      <c r="L25" s="41">
        <v>13.29</v>
      </c>
      <c r="M25" s="41">
        <v>14.48</v>
      </c>
      <c r="N25" s="41">
        <v>31</v>
      </c>
      <c r="O25" s="41">
        <v>0</v>
      </c>
      <c r="P25" s="41">
        <v>0.61</v>
      </c>
      <c r="Q25" s="41">
        <v>11.11</v>
      </c>
      <c r="R25" s="38"/>
      <c r="S25" s="38"/>
      <c r="T25" s="38"/>
      <c r="U25" s="38"/>
    </row>
    <row r="26" spans="1:21" customFormat="1">
      <c r="A26" s="40" t="s">
        <v>126</v>
      </c>
      <c r="B26" s="41">
        <v>4.95</v>
      </c>
      <c r="C26" s="41">
        <v>11.2</v>
      </c>
      <c r="D26" s="41">
        <v>9.81</v>
      </c>
      <c r="E26" s="41">
        <v>7.13</v>
      </c>
      <c r="F26" s="41">
        <v>2</v>
      </c>
      <c r="G26" s="41">
        <v>62.98</v>
      </c>
      <c r="H26" s="41">
        <v>25.12</v>
      </c>
      <c r="I26" s="41">
        <v>7.08</v>
      </c>
      <c r="J26" s="41">
        <v>0.23</v>
      </c>
      <c r="K26" s="41">
        <v>172.87</v>
      </c>
      <c r="L26" s="41">
        <v>16.600000000000001</v>
      </c>
      <c r="M26" s="41">
        <v>23.73</v>
      </c>
      <c r="N26" s="41">
        <v>7.2</v>
      </c>
      <c r="O26" s="41">
        <v>0</v>
      </c>
      <c r="P26" s="41">
        <v>0.63</v>
      </c>
      <c r="Q26" s="41">
        <v>9.32</v>
      </c>
      <c r="R26" s="38"/>
      <c r="S26" s="38"/>
      <c r="T26" s="38"/>
      <c r="U26" s="38"/>
    </row>
    <row r="27" spans="1:21" customFormat="1">
      <c r="A27" s="40" t="s">
        <v>127</v>
      </c>
      <c r="B27" s="41">
        <v>4.97</v>
      </c>
      <c r="C27" s="41">
        <v>8.41</v>
      </c>
      <c r="D27" s="41">
        <v>8.01</v>
      </c>
      <c r="E27" s="41">
        <v>7.22</v>
      </c>
      <c r="F27" s="41">
        <v>2</v>
      </c>
      <c r="G27" s="41">
        <v>62.98</v>
      </c>
      <c r="H27" s="41">
        <v>25.12</v>
      </c>
      <c r="I27" s="41">
        <v>6.6</v>
      </c>
      <c r="J27" s="41">
        <v>0.22</v>
      </c>
      <c r="K27" s="41">
        <v>182.04</v>
      </c>
      <c r="L27" s="41">
        <v>17.3</v>
      </c>
      <c r="M27" s="41">
        <v>25.57</v>
      </c>
      <c r="N27" s="41">
        <v>2.7</v>
      </c>
      <c r="O27" s="41">
        <v>0</v>
      </c>
      <c r="P27" s="41">
        <v>0.62</v>
      </c>
      <c r="Q27" s="41">
        <v>9.32</v>
      </c>
      <c r="R27" s="38"/>
      <c r="S27" s="38"/>
      <c r="T27" s="38"/>
      <c r="U27" s="38"/>
    </row>
    <row r="28" spans="1:21" customFormat="1">
      <c r="A28" s="40" t="s">
        <v>128</v>
      </c>
      <c r="B28" s="41">
        <v>5.21</v>
      </c>
      <c r="C28" s="41">
        <v>7.26</v>
      </c>
      <c r="D28" s="41">
        <v>7.73</v>
      </c>
      <c r="E28" s="41">
        <v>7</v>
      </c>
      <c r="F28" s="41">
        <v>2</v>
      </c>
      <c r="G28" s="41">
        <v>62.51</v>
      </c>
      <c r="H28" s="41">
        <v>23.19</v>
      </c>
      <c r="I28" s="41">
        <v>6.73</v>
      </c>
      <c r="J28" s="41">
        <v>0.22</v>
      </c>
      <c r="K28" s="41">
        <v>164.08</v>
      </c>
      <c r="L28" s="41">
        <v>15.87</v>
      </c>
      <c r="M28" s="41">
        <v>21.88</v>
      </c>
      <c r="N28" s="41">
        <v>2.2999999999999998</v>
      </c>
      <c r="O28" s="41">
        <v>0</v>
      </c>
      <c r="P28" s="41">
        <v>0.63</v>
      </c>
      <c r="Q28" s="41">
        <v>9.32</v>
      </c>
      <c r="R28" s="38"/>
      <c r="S28" s="38"/>
      <c r="T28" s="38"/>
      <c r="U28" s="38"/>
    </row>
    <row r="29" spans="1:21" customFormat="1">
      <c r="A29" s="40" t="s">
        <v>129</v>
      </c>
      <c r="B29" s="41">
        <v>4.7699999999999996</v>
      </c>
      <c r="C29" s="41">
        <v>7.86</v>
      </c>
      <c r="D29" s="41">
        <v>7.93</v>
      </c>
      <c r="E29" s="41">
        <v>7.3</v>
      </c>
      <c r="F29" s="41">
        <v>2</v>
      </c>
      <c r="G29" s="41">
        <v>60.96</v>
      </c>
      <c r="H29" s="41">
        <v>23.19</v>
      </c>
      <c r="I29" s="41">
        <v>6.93</v>
      </c>
      <c r="J29" s="41">
        <v>0.23</v>
      </c>
      <c r="K29" s="41">
        <v>193.36</v>
      </c>
      <c r="L29" s="41">
        <v>18.09</v>
      </c>
      <c r="M29" s="41">
        <v>27.42</v>
      </c>
      <c r="N29" s="41">
        <v>2.2000000000000002</v>
      </c>
      <c r="O29" s="41">
        <v>0</v>
      </c>
      <c r="P29" s="41">
        <v>0.59</v>
      </c>
      <c r="Q29" s="41">
        <v>9.32</v>
      </c>
      <c r="R29" s="38"/>
      <c r="S29" s="38"/>
      <c r="T29" s="38"/>
      <c r="U29" s="38"/>
    </row>
    <row r="30" spans="1:21" customFormat="1">
      <c r="A30" s="40" t="s">
        <v>130</v>
      </c>
      <c r="B30" s="41">
        <v>4.84</v>
      </c>
      <c r="C30" s="41">
        <v>7.92</v>
      </c>
      <c r="D30" s="41">
        <v>8.02</v>
      </c>
      <c r="E30" s="41">
        <v>7.12</v>
      </c>
      <c r="F30" s="41">
        <v>2</v>
      </c>
      <c r="G30" s="41">
        <v>65.05</v>
      </c>
      <c r="H30" s="41">
        <v>24.54</v>
      </c>
      <c r="I30" s="41">
        <v>7.29</v>
      </c>
      <c r="J30" s="41">
        <v>0.16</v>
      </c>
      <c r="K30" s="41">
        <v>200.25</v>
      </c>
      <c r="L30" s="41">
        <v>18.63</v>
      </c>
      <c r="M30" s="41">
        <v>28.67</v>
      </c>
      <c r="N30" s="41">
        <v>2.2999999999999998</v>
      </c>
      <c r="O30" s="41">
        <v>0</v>
      </c>
      <c r="P30" s="41">
        <v>0.61</v>
      </c>
      <c r="Q30" s="41">
        <v>17.73</v>
      </c>
      <c r="R30" s="38"/>
      <c r="S30" s="38"/>
      <c r="T30" s="38"/>
      <c r="U30" s="38"/>
    </row>
    <row r="31" spans="1:21" customFormat="1">
      <c r="A31" s="40" t="s">
        <v>131</v>
      </c>
      <c r="B31" s="41">
        <v>5.26</v>
      </c>
      <c r="C31" s="41">
        <v>7.32</v>
      </c>
      <c r="D31" s="41">
        <v>8.0399999999999991</v>
      </c>
      <c r="E31" s="41">
        <v>7.12</v>
      </c>
      <c r="F31" s="41">
        <v>2</v>
      </c>
      <c r="G31" s="41">
        <v>65.05</v>
      </c>
      <c r="H31" s="41">
        <v>28.99</v>
      </c>
      <c r="I31" s="41">
        <v>8.01</v>
      </c>
      <c r="J31" s="41">
        <v>0.17</v>
      </c>
      <c r="K31" s="41">
        <v>203.23</v>
      </c>
      <c r="L31" s="41">
        <v>19.2</v>
      </c>
      <c r="M31" s="41">
        <v>30.12</v>
      </c>
      <c r="N31" s="41">
        <v>2.1</v>
      </c>
      <c r="O31" s="41">
        <v>0</v>
      </c>
      <c r="P31" s="41">
        <v>0.66</v>
      </c>
      <c r="Q31" s="41">
        <v>9.32</v>
      </c>
      <c r="R31" s="38"/>
      <c r="S31" s="38"/>
      <c r="T31" s="38"/>
      <c r="U31" s="38"/>
    </row>
    <row r="32" spans="1:21" customFormat="1">
      <c r="A32" s="40" t="s">
        <v>132</v>
      </c>
      <c r="B32" s="41">
        <v>10.36</v>
      </c>
      <c r="C32" s="41">
        <v>10.33</v>
      </c>
      <c r="D32" s="41">
        <v>13.7</v>
      </c>
      <c r="E32" s="41">
        <v>8.0299999999999994</v>
      </c>
      <c r="F32" s="41">
        <v>2</v>
      </c>
      <c r="G32" s="41">
        <v>72.73</v>
      </c>
      <c r="H32" s="41">
        <v>28.99</v>
      </c>
      <c r="I32" s="41">
        <v>8.89</v>
      </c>
      <c r="J32" s="41">
        <v>0.17</v>
      </c>
      <c r="K32" s="41">
        <v>290.39</v>
      </c>
      <c r="L32" s="41">
        <v>19.489999999999998</v>
      </c>
      <c r="M32" s="41">
        <v>30.76</v>
      </c>
      <c r="N32" s="41">
        <v>2.1</v>
      </c>
      <c r="O32" s="41">
        <v>0</v>
      </c>
      <c r="P32" s="41">
        <v>0.76</v>
      </c>
      <c r="Q32" s="41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4.01</v>
      </c>
      <c r="C34" s="18">
        <f t="shared" si="0"/>
        <v>6.97</v>
      </c>
      <c r="D34" s="18">
        <f t="shared" si="0"/>
        <v>7.73</v>
      </c>
      <c r="E34" s="18">
        <f t="shared" si="0"/>
        <v>6.35</v>
      </c>
      <c r="F34" s="18">
        <f t="shared" si="0"/>
        <v>2</v>
      </c>
      <c r="G34" s="18">
        <f t="shared" si="0"/>
        <v>56.81</v>
      </c>
      <c r="H34" s="18">
        <f t="shared" si="0"/>
        <v>21.42</v>
      </c>
      <c r="I34" s="18">
        <f t="shared" si="0"/>
        <v>5.85</v>
      </c>
      <c r="J34" s="18">
        <f t="shared" si="0"/>
        <v>0.13</v>
      </c>
      <c r="K34" s="18">
        <f t="shared" si="0"/>
        <v>26.53</v>
      </c>
      <c r="L34" s="18">
        <f t="shared" si="0"/>
        <v>12.46</v>
      </c>
      <c r="M34" s="18">
        <f t="shared" si="0"/>
        <v>11.98</v>
      </c>
      <c r="N34" s="18">
        <f t="shared" si="0"/>
        <v>2.1</v>
      </c>
      <c r="O34" s="18">
        <f t="shared" si="0"/>
        <v>0</v>
      </c>
      <c r="P34" s="18">
        <f t="shared" si="0"/>
        <v>0.53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19.63</v>
      </c>
      <c r="C35" s="3">
        <f t="shared" si="1"/>
        <v>12.03</v>
      </c>
      <c r="D35" s="3">
        <f t="shared" si="1"/>
        <v>20.2</v>
      </c>
      <c r="E35" s="3">
        <f t="shared" si="1"/>
        <v>9.3000000000000007</v>
      </c>
      <c r="F35" s="3">
        <f t="shared" si="1"/>
        <v>8.18</v>
      </c>
      <c r="G35" s="3">
        <f t="shared" si="1"/>
        <v>89.04</v>
      </c>
      <c r="H35" s="3">
        <f t="shared" si="1"/>
        <v>31.56</v>
      </c>
      <c r="I35" s="3">
        <f t="shared" si="1"/>
        <v>8.89</v>
      </c>
      <c r="J35" s="3">
        <f t="shared" si="1"/>
        <v>0.67</v>
      </c>
      <c r="K35" s="3">
        <f t="shared" si="1"/>
        <v>358.48</v>
      </c>
      <c r="L35" s="3">
        <f t="shared" si="1"/>
        <v>28.7</v>
      </c>
      <c r="M35" s="3">
        <f t="shared" si="1"/>
        <v>43.11</v>
      </c>
      <c r="N35" s="3">
        <f t="shared" si="1"/>
        <v>592.9</v>
      </c>
      <c r="O35" s="3">
        <f t="shared" si="1"/>
        <v>0</v>
      </c>
      <c r="P35" s="3">
        <f t="shared" si="1"/>
        <v>0.76</v>
      </c>
      <c r="Q35" s="3">
        <f t="shared" si="1"/>
        <v>17.73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10.240416666666667</v>
      </c>
      <c r="C36" s="18">
        <f t="shared" si="2"/>
        <v>9.06</v>
      </c>
      <c r="D36" s="18">
        <f t="shared" si="2"/>
        <v>12.857083333333335</v>
      </c>
      <c r="E36" s="18">
        <f t="shared" si="2"/>
        <v>7.8133333333333335</v>
      </c>
      <c r="F36" s="18">
        <f t="shared" si="2"/>
        <v>2.9716666666666662</v>
      </c>
      <c r="G36" s="18">
        <f t="shared" si="2"/>
        <v>68.202916666666667</v>
      </c>
      <c r="H36" s="18">
        <f t="shared" si="2"/>
        <v>25.905000000000001</v>
      </c>
      <c r="I36" s="18">
        <f t="shared" si="2"/>
        <v>7.7120833333333323</v>
      </c>
      <c r="J36" s="18">
        <f t="shared" si="2"/>
        <v>0.30208333333333331</v>
      </c>
      <c r="K36" s="18">
        <f t="shared" si="2"/>
        <v>191.05333333333337</v>
      </c>
      <c r="L36" s="18">
        <f t="shared" si="2"/>
        <v>18.65666666666667</v>
      </c>
      <c r="M36" s="18">
        <f t="shared" si="2"/>
        <v>26.420416666666664</v>
      </c>
      <c r="N36" s="18">
        <f t="shared" si="2"/>
        <v>137.42499999999998</v>
      </c>
      <c r="O36" s="18">
        <f t="shared" si="2"/>
        <v>0</v>
      </c>
      <c r="P36" s="18">
        <f t="shared" si="2"/>
        <v>0.64541666666666664</v>
      </c>
      <c r="Q36" s="18">
        <f t="shared" si="2"/>
        <v>9.7504166666666627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5.8005932823751936</v>
      </c>
      <c r="C37" s="18">
        <f t="shared" ref="C37:Q37" si="3">STDEV(C9:C32)</f>
        <v>1.4779362814999559</v>
      </c>
      <c r="D37" s="18">
        <f t="shared" si="3"/>
        <v>4.5814469701808846</v>
      </c>
      <c r="E37" s="18">
        <f t="shared" si="3"/>
        <v>0.83160748823754382</v>
      </c>
      <c r="F37" s="18">
        <f t="shared" si="3"/>
        <v>1.8108745585121757</v>
      </c>
      <c r="G37" s="18">
        <f t="shared" si="3"/>
        <v>8.8083668126275434</v>
      </c>
      <c r="H37" s="18">
        <f t="shared" si="3"/>
        <v>2.8448993257957396</v>
      </c>
      <c r="I37" s="18">
        <f t="shared" si="3"/>
        <v>1.0173237660290602</v>
      </c>
      <c r="J37" s="18">
        <f t="shared" si="3"/>
        <v>0.14723477751586059</v>
      </c>
      <c r="K37" s="18">
        <f t="shared" si="3"/>
        <v>88.430739327289331</v>
      </c>
      <c r="L37" s="18">
        <f t="shared" si="3"/>
        <v>4.3061550151489731</v>
      </c>
      <c r="M37" s="18">
        <f t="shared" si="3"/>
        <v>8.3378270963366727</v>
      </c>
      <c r="N37" s="18">
        <f t="shared" si="3"/>
        <v>211.43990666483651</v>
      </c>
      <c r="O37" s="18">
        <f t="shared" si="3"/>
        <v>0</v>
      </c>
      <c r="P37" s="18">
        <f t="shared" si="3"/>
        <v>6.0861865455034053E-2</v>
      </c>
      <c r="Q37" s="18">
        <f t="shared" si="3"/>
        <v>1.7383512407542843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6"/>
  <sheetViews>
    <sheetView zoomScale="85" zoomScaleNormal="85" workbookViewId="0">
      <pane xSplit="2" ySplit="8" topLeftCell="C30" activePane="bottomRight" state="frozen"/>
      <selection activeCell="G19" sqref="G19"/>
      <selection pane="topRight" activeCell="G19" sqref="G19"/>
      <selection pane="bottomLeft" activeCell="G19" sqref="G19"/>
      <selection pane="bottomRight" activeCell="I41" sqref="I41"/>
    </sheetView>
  </sheetViews>
  <sheetFormatPr defaultColWidth="8.85546875" defaultRowHeight="15"/>
  <cols>
    <col min="1" max="1" width="15.140625" style="1" customWidth="1"/>
    <col min="2" max="2" width="14.42578125" style="1" customWidth="1"/>
    <col min="3" max="3" width="10.140625" style="1" customWidth="1"/>
    <col min="4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04/11/2025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133</v>
      </c>
      <c r="B9" s="41">
        <v>10.11</v>
      </c>
      <c r="C9" s="41">
        <v>10.75</v>
      </c>
      <c r="D9" s="41">
        <v>13.73</v>
      </c>
      <c r="E9" s="41">
        <v>7.81</v>
      </c>
      <c r="F9" s="41">
        <v>2</v>
      </c>
      <c r="G9" s="41">
        <v>77.239999999999995</v>
      </c>
      <c r="H9" s="41">
        <v>32.58</v>
      </c>
      <c r="I9" s="41">
        <v>9.84</v>
      </c>
      <c r="J9" s="41">
        <v>0.26</v>
      </c>
      <c r="K9" s="41">
        <v>56.72</v>
      </c>
      <c r="L9" s="41">
        <v>14.9</v>
      </c>
      <c r="M9" s="41">
        <v>19.059999999999999</v>
      </c>
      <c r="N9" s="41">
        <v>2.5</v>
      </c>
      <c r="O9" s="41">
        <v>0</v>
      </c>
      <c r="P9" s="41">
        <v>0.78</v>
      </c>
      <c r="Q9" s="41">
        <v>9.32</v>
      </c>
      <c r="R9" s="38"/>
      <c r="S9" s="38"/>
      <c r="T9" s="38"/>
      <c r="U9" s="38"/>
    </row>
    <row r="10" spans="1:21" customFormat="1">
      <c r="A10" s="40" t="s">
        <v>134</v>
      </c>
      <c r="B10" s="41">
        <v>11.09</v>
      </c>
      <c r="C10" s="41">
        <v>7.5</v>
      </c>
      <c r="D10" s="41">
        <v>12.77</v>
      </c>
      <c r="E10" s="41">
        <v>7.5</v>
      </c>
      <c r="F10" s="41">
        <v>2</v>
      </c>
      <c r="G10" s="41">
        <v>88.72</v>
      </c>
      <c r="H10" s="41">
        <v>32.58</v>
      </c>
      <c r="I10" s="41">
        <v>9.43</v>
      </c>
      <c r="J10" s="41">
        <v>0.28000000000000003</v>
      </c>
      <c r="K10" s="41">
        <v>27.73</v>
      </c>
      <c r="L10" s="41">
        <v>13.56</v>
      </c>
      <c r="M10" s="41">
        <v>15.82</v>
      </c>
      <c r="N10" s="41">
        <v>2.4</v>
      </c>
      <c r="O10" s="41">
        <v>0</v>
      </c>
      <c r="P10" s="41">
        <v>0.78</v>
      </c>
      <c r="Q10" s="41">
        <v>9.32</v>
      </c>
      <c r="R10" s="38"/>
      <c r="S10" s="38"/>
      <c r="T10" s="38"/>
      <c r="U10" s="38"/>
    </row>
    <row r="11" spans="1:21" customFormat="1">
      <c r="A11" s="40" t="s">
        <v>135</v>
      </c>
      <c r="B11" s="41">
        <v>12.85</v>
      </c>
      <c r="C11" s="41">
        <v>7.53</v>
      </c>
      <c r="D11" s="41">
        <v>14.24</v>
      </c>
      <c r="E11" s="41">
        <v>7.81</v>
      </c>
      <c r="F11" s="41">
        <v>2.2999999999999998</v>
      </c>
      <c r="G11" s="41">
        <v>105.81</v>
      </c>
      <c r="H11" s="41">
        <v>32.57</v>
      </c>
      <c r="I11" s="41">
        <v>9.4</v>
      </c>
      <c r="J11" s="41">
        <v>0.24</v>
      </c>
      <c r="K11" s="41">
        <v>46.84</v>
      </c>
      <c r="L11" s="41">
        <v>11.5</v>
      </c>
      <c r="M11" s="41">
        <v>10.59</v>
      </c>
      <c r="N11" s="41">
        <v>2.2000000000000002</v>
      </c>
      <c r="O11" s="41">
        <v>0</v>
      </c>
      <c r="P11" s="41">
        <v>0.79</v>
      </c>
      <c r="Q11" s="41">
        <v>9.32</v>
      </c>
      <c r="R11" s="38"/>
      <c r="S11" s="38"/>
      <c r="T11" s="38"/>
      <c r="U11" s="38"/>
    </row>
    <row r="12" spans="1:21" customFormat="1">
      <c r="A12" s="40" t="s">
        <v>136</v>
      </c>
      <c r="B12" s="41">
        <v>13.82</v>
      </c>
      <c r="C12" s="41">
        <v>7.6</v>
      </c>
      <c r="D12" s="41">
        <v>15.02</v>
      </c>
      <c r="E12" s="41">
        <v>7.63</v>
      </c>
      <c r="F12" s="41">
        <v>2.2999999999999998</v>
      </c>
      <c r="G12" s="41">
        <v>105.81</v>
      </c>
      <c r="H12" s="41">
        <v>31.09</v>
      </c>
      <c r="I12" s="41">
        <v>9.32</v>
      </c>
      <c r="J12" s="41">
        <v>0.21</v>
      </c>
      <c r="K12" s="41">
        <v>48.69</v>
      </c>
      <c r="L12" s="41">
        <v>12.3</v>
      </c>
      <c r="M12" s="41">
        <v>12.68</v>
      </c>
      <c r="N12" s="41">
        <v>2.1</v>
      </c>
      <c r="O12" s="41">
        <v>0</v>
      </c>
      <c r="P12" s="41">
        <v>0.78</v>
      </c>
      <c r="Q12" s="41">
        <v>9.32</v>
      </c>
      <c r="R12" s="38"/>
      <c r="S12" s="38"/>
      <c r="T12" s="38"/>
      <c r="U12" s="38"/>
    </row>
    <row r="13" spans="1:21" customFormat="1">
      <c r="A13" s="40" t="s">
        <v>137</v>
      </c>
      <c r="B13" s="41">
        <v>14.34</v>
      </c>
      <c r="C13" s="41">
        <v>7.67</v>
      </c>
      <c r="D13" s="41">
        <v>15.5</v>
      </c>
      <c r="E13" s="41">
        <v>7.82</v>
      </c>
      <c r="F13" s="41">
        <v>2.2999999999999998</v>
      </c>
      <c r="G13" s="41">
        <v>96.96</v>
      </c>
      <c r="H13" s="41">
        <v>30.85</v>
      </c>
      <c r="I13" s="41">
        <v>9.08</v>
      </c>
      <c r="J13" s="41">
        <v>0.32</v>
      </c>
      <c r="K13" s="41">
        <v>41.25</v>
      </c>
      <c r="L13" s="41">
        <v>9.5</v>
      </c>
      <c r="M13" s="41">
        <v>5.68</v>
      </c>
      <c r="N13" s="41">
        <v>2.1</v>
      </c>
      <c r="O13" s="41">
        <v>0</v>
      </c>
      <c r="P13" s="41">
        <v>0.76</v>
      </c>
      <c r="Q13" s="41">
        <v>9.32</v>
      </c>
      <c r="R13" s="38"/>
      <c r="S13" s="38"/>
      <c r="T13" s="38"/>
      <c r="U13" s="38"/>
    </row>
    <row r="14" spans="1:21" customFormat="1">
      <c r="A14" s="40" t="s">
        <v>138</v>
      </c>
      <c r="B14" s="41">
        <v>14.47</v>
      </c>
      <c r="C14" s="41">
        <v>8.14</v>
      </c>
      <c r="D14" s="41">
        <v>15.71</v>
      </c>
      <c r="E14" s="41">
        <v>7.91</v>
      </c>
      <c r="F14" s="41">
        <v>2.2999999999999998</v>
      </c>
      <c r="G14" s="41">
        <v>96.29</v>
      </c>
      <c r="H14" s="41">
        <v>31.64</v>
      </c>
      <c r="I14" s="41">
        <v>8.8000000000000007</v>
      </c>
      <c r="J14" s="41">
        <v>0.18</v>
      </c>
      <c r="K14" s="41">
        <v>155.69</v>
      </c>
      <c r="L14" s="41">
        <v>16.760000000000002</v>
      </c>
      <c r="M14" s="41">
        <v>24.05</v>
      </c>
      <c r="N14" s="41">
        <v>2.5</v>
      </c>
      <c r="O14" s="41">
        <v>0</v>
      </c>
      <c r="P14" s="41">
        <v>0.74</v>
      </c>
      <c r="Q14" s="41">
        <v>9.32</v>
      </c>
      <c r="R14" s="38"/>
      <c r="S14" s="38"/>
      <c r="T14" s="38"/>
      <c r="U14" s="38"/>
    </row>
    <row r="15" spans="1:21" customFormat="1">
      <c r="A15" s="40" t="s">
        <v>139</v>
      </c>
      <c r="B15" s="41">
        <v>15.22</v>
      </c>
      <c r="C15" s="41">
        <v>8.41</v>
      </c>
      <c r="D15" s="41">
        <v>16.600000000000001</v>
      </c>
      <c r="E15" s="41">
        <v>7.95</v>
      </c>
      <c r="F15" s="41">
        <v>2</v>
      </c>
      <c r="G15" s="41">
        <v>83.31</v>
      </c>
      <c r="H15" s="41">
        <v>31.64</v>
      </c>
      <c r="I15" s="41">
        <v>8.4700000000000006</v>
      </c>
      <c r="J15" s="41">
        <v>0.34</v>
      </c>
      <c r="K15" s="41">
        <v>142.46</v>
      </c>
      <c r="L15" s="41">
        <v>15.92</v>
      </c>
      <c r="M15" s="41">
        <v>21.47</v>
      </c>
      <c r="N15" s="41">
        <v>28.9</v>
      </c>
      <c r="O15" s="41">
        <v>0</v>
      </c>
      <c r="P15" s="41">
        <v>0.67</v>
      </c>
      <c r="Q15" s="41">
        <v>9.32</v>
      </c>
      <c r="R15" s="38"/>
      <c r="S15" s="38"/>
      <c r="T15" s="38"/>
      <c r="U15" s="38"/>
    </row>
    <row r="16" spans="1:21" customFormat="1">
      <c r="A16" s="40" t="s">
        <v>140</v>
      </c>
      <c r="B16" s="41">
        <v>15.18</v>
      </c>
      <c r="C16" s="41">
        <v>8.39</v>
      </c>
      <c r="D16" s="41">
        <v>16.55</v>
      </c>
      <c r="E16" s="41">
        <v>7.68</v>
      </c>
      <c r="F16" s="41">
        <v>2</v>
      </c>
      <c r="G16" s="41">
        <v>89.59</v>
      </c>
      <c r="H16" s="41">
        <v>30.71</v>
      </c>
      <c r="I16" s="41">
        <v>8.4700000000000006</v>
      </c>
      <c r="J16" s="41">
        <v>0.66</v>
      </c>
      <c r="K16" s="41">
        <v>41.59</v>
      </c>
      <c r="L16" s="41">
        <v>8.82</v>
      </c>
      <c r="M16" s="41">
        <v>2.88</v>
      </c>
      <c r="N16" s="41">
        <v>200.2</v>
      </c>
      <c r="O16" s="41">
        <v>0</v>
      </c>
      <c r="P16" s="41">
        <v>0.67</v>
      </c>
      <c r="Q16" s="41">
        <v>9.32</v>
      </c>
      <c r="R16" s="38"/>
      <c r="S16" s="38"/>
      <c r="T16" s="38"/>
      <c r="U16" s="38"/>
    </row>
    <row r="17" spans="1:21" customFormat="1">
      <c r="A17" s="40" t="s">
        <v>141</v>
      </c>
      <c r="B17" s="41">
        <v>14.5</v>
      </c>
      <c r="C17" s="41">
        <v>9</v>
      </c>
      <c r="D17" s="41">
        <v>16.09</v>
      </c>
      <c r="E17" s="41">
        <v>8.3000000000000007</v>
      </c>
      <c r="F17" s="41">
        <v>2</v>
      </c>
      <c r="G17" s="41">
        <v>91.71</v>
      </c>
      <c r="H17" s="41">
        <v>30.71</v>
      </c>
      <c r="I17" s="41">
        <v>8.4700000000000006</v>
      </c>
      <c r="J17" s="41">
        <v>0.52</v>
      </c>
      <c r="K17" s="41">
        <v>60.73</v>
      </c>
      <c r="L17" s="41">
        <v>13.34</v>
      </c>
      <c r="M17" s="41">
        <v>6.38</v>
      </c>
      <c r="N17" s="41">
        <v>383.6</v>
      </c>
      <c r="O17" s="41">
        <v>0</v>
      </c>
      <c r="P17" s="41">
        <v>0.66</v>
      </c>
      <c r="Q17" s="41">
        <v>9.32</v>
      </c>
      <c r="R17" s="38"/>
      <c r="S17" s="38"/>
      <c r="T17" s="38"/>
      <c r="U17" s="38"/>
    </row>
    <row r="18" spans="1:21" customFormat="1">
      <c r="A18" s="40" t="s">
        <v>142</v>
      </c>
      <c r="B18" s="41">
        <v>12.69</v>
      </c>
      <c r="C18" s="41">
        <v>10.99</v>
      </c>
      <c r="D18" s="41">
        <v>14.97</v>
      </c>
      <c r="E18" s="41">
        <v>9.07</v>
      </c>
      <c r="F18" s="41">
        <v>2</v>
      </c>
      <c r="G18" s="41">
        <v>91.71</v>
      </c>
      <c r="H18" s="41">
        <v>33.47</v>
      </c>
      <c r="I18" s="41">
        <v>8.4499999999999993</v>
      </c>
      <c r="J18" s="41">
        <v>0.78</v>
      </c>
      <c r="K18" s="41">
        <v>57.88</v>
      </c>
      <c r="L18" s="41">
        <v>14.64</v>
      </c>
      <c r="M18" s="41">
        <v>8.99</v>
      </c>
      <c r="N18" s="41">
        <v>470.5</v>
      </c>
      <c r="O18" s="41">
        <v>0</v>
      </c>
      <c r="P18" s="41">
        <v>0.66</v>
      </c>
      <c r="Q18" s="41">
        <v>9.32</v>
      </c>
      <c r="R18" s="38"/>
      <c r="S18" s="38"/>
      <c r="T18" s="38"/>
      <c r="U18" s="38"/>
    </row>
    <row r="19" spans="1:21" customFormat="1">
      <c r="A19" s="40" t="s">
        <v>143</v>
      </c>
      <c r="B19" s="41">
        <v>10.09</v>
      </c>
      <c r="C19" s="41">
        <v>10.050000000000001</v>
      </c>
      <c r="D19" s="41">
        <v>13.35</v>
      </c>
      <c r="E19" s="41">
        <v>9.48</v>
      </c>
      <c r="F19" s="41">
        <v>2.34</v>
      </c>
      <c r="G19" s="41">
        <v>91.69</v>
      </c>
      <c r="H19" s="41">
        <v>33.47</v>
      </c>
      <c r="I19" s="41">
        <v>8.2799999999999994</v>
      </c>
      <c r="J19" s="41">
        <v>0.64</v>
      </c>
      <c r="K19" s="41">
        <v>46.95</v>
      </c>
      <c r="L19" s="41">
        <v>15.66</v>
      </c>
      <c r="M19" s="41">
        <v>7.68</v>
      </c>
      <c r="N19" s="41">
        <v>612.1</v>
      </c>
      <c r="O19" s="41">
        <v>0</v>
      </c>
      <c r="P19" s="41">
        <v>0.67</v>
      </c>
      <c r="Q19" s="41">
        <v>9.32</v>
      </c>
      <c r="R19" s="38"/>
      <c r="S19" s="38"/>
      <c r="T19" s="38"/>
      <c r="U19" s="38"/>
    </row>
    <row r="20" spans="1:21" customFormat="1">
      <c r="A20" s="40" t="s">
        <v>144</v>
      </c>
      <c r="B20" s="41">
        <v>7.92</v>
      </c>
      <c r="C20" s="41">
        <v>9.56</v>
      </c>
      <c r="D20" s="41">
        <v>11.35</v>
      </c>
      <c r="E20" s="41">
        <v>8.7799999999999994</v>
      </c>
      <c r="F20" s="41">
        <v>2.16</v>
      </c>
      <c r="G20" s="41">
        <v>89.23</v>
      </c>
      <c r="H20" s="41">
        <v>28.32</v>
      </c>
      <c r="I20" s="41">
        <v>7.84</v>
      </c>
      <c r="J20" s="41">
        <v>0.6</v>
      </c>
      <c r="K20" s="41">
        <v>56.33</v>
      </c>
      <c r="L20" s="41">
        <v>17.86</v>
      </c>
      <c r="M20" s="41">
        <v>11.08</v>
      </c>
      <c r="N20" s="41">
        <v>675</v>
      </c>
      <c r="O20" s="41">
        <v>0</v>
      </c>
      <c r="P20" s="41">
        <v>0.66</v>
      </c>
      <c r="Q20" s="41">
        <v>9.32</v>
      </c>
      <c r="R20" s="38"/>
      <c r="S20" s="38"/>
      <c r="T20" s="38"/>
      <c r="U20" s="38"/>
    </row>
    <row r="21" spans="1:21" customFormat="1">
      <c r="A21" s="40" t="s">
        <v>145</v>
      </c>
      <c r="B21" s="41">
        <v>5.96</v>
      </c>
      <c r="C21" s="41">
        <v>9.06</v>
      </c>
      <c r="D21" s="41">
        <v>9.49</v>
      </c>
      <c r="E21" s="41">
        <v>8.6300000000000008</v>
      </c>
      <c r="F21" s="41">
        <v>3.12</v>
      </c>
      <c r="G21" s="41">
        <v>72.040000000000006</v>
      </c>
      <c r="H21" s="41">
        <v>25.97</v>
      </c>
      <c r="I21" s="41">
        <v>7.46</v>
      </c>
      <c r="J21" s="41">
        <v>0.41</v>
      </c>
      <c r="K21" s="41">
        <v>351.81</v>
      </c>
      <c r="L21" s="41">
        <v>21.48</v>
      </c>
      <c r="M21" s="41">
        <v>26.73</v>
      </c>
      <c r="N21" s="41">
        <v>651.70000000000005</v>
      </c>
      <c r="O21" s="41">
        <v>0</v>
      </c>
      <c r="P21" s="41">
        <v>0.63</v>
      </c>
      <c r="Q21" s="41">
        <v>9.32</v>
      </c>
      <c r="R21" s="38"/>
      <c r="S21" s="38"/>
      <c r="T21" s="38"/>
      <c r="U21" s="38"/>
    </row>
    <row r="22" spans="1:21" customFormat="1">
      <c r="A22" s="40" t="s">
        <v>146</v>
      </c>
      <c r="B22" s="41">
        <v>4.87</v>
      </c>
      <c r="C22" s="41">
        <v>9.61</v>
      </c>
      <c r="D22" s="41">
        <v>8.7100000000000009</v>
      </c>
      <c r="E22" s="41">
        <v>9.67</v>
      </c>
      <c r="F22" s="41">
        <v>3.12</v>
      </c>
      <c r="G22" s="41">
        <v>64.8</v>
      </c>
      <c r="H22" s="41">
        <v>24.3</v>
      </c>
      <c r="I22" s="41">
        <v>6.98</v>
      </c>
      <c r="J22" s="41">
        <v>0.45</v>
      </c>
      <c r="K22" s="41">
        <v>331.13</v>
      </c>
      <c r="L22" s="41">
        <v>24.53</v>
      </c>
      <c r="M22" s="41">
        <v>35.6</v>
      </c>
      <c r="N22" s="41">
        <v>410.4</v>
      </c>
      <c r="O22" s="41">
        <v>0</v>
      </c>
      <c r="P22" s="41">
        <v>0.62</v>
      </c>
      <c r="Q22" s="41">
        <v>9.32</v>
      </c>
      <c r="R22" s="38"/>
      <c r="S22" s="38"/>
      <c r="T22" s="38"/>
      <c r="U22" s="38"/>
    </row>
    <row r="23" spans="1:21" customFormat="1">
      <c r="A23" s="40" t="s">
        <v>147</v>
      </c>
      <c r="B23" s="41">
        <v>4.47</v>
      </c>
      <c r="C23" s="41">
        <v>10.28</v>
      </c>
      <c r="D23" s="41">
        <v>8.83</v>
      </c>
      <c r="E23" s="41">
        <v>12.96</v>
      </c>
      <c r="F23" s="41">
        <v>3.12</v>
      </c>
      <c r="G23" s="41">
        <v>64.8</v>
      </c>
      <c r="H23" s="41">
        <v>22.71</v>
      </c>
      <c r="I23" s="41">
        <v>6.66</v>
      </c>
      <c r="J23" s="41">
        <v>0.63</v>
      </c>
      <c r="K23" s="41">
        <v>31.59</v>
      </c>
      <c r="L23" s="41">
        <v>16.82</v>
      </c>
      <c r="M23" s="41">
        <v>22.54</v>
      </c>
      <c r="N23" s="41">
        <v>151.1</v>
      </c>
      <c r="O23" s="41">
        <v>0</v>
      </c>
      <c r="P23" s="41">
        <v>0.53</v>
      </c>
      <c r="Q23" s="41">
        <v>9.32</v>
      </c>
      <c r="R23" s="38"/>
      <c r="S23" s="38"/>
      <c r="T23" s="38"/>
      <c r="U23" s="38"/>
    </row>
    <row r="24" spans="1:21" customFormat="1">
      <c r="A24" s="40" t="s">
        <v>148</v>
      </c>
      <c r="B24" s="41">
        <v>4.46</v>
      </c>
      <c r="C24" s="41">
        <v>12.67</v>
      </c>
      <c r="D24" s="41">
        <v>10.19</v>
      </c>
      <c r="E24" s="41">
        <v>13.91</v>
      </c>
      <c r="F24" s="41">
        <v>3.12</v>
      </c>
      <c r="G24" s="41">
        <v>59.86</v>
      </c>
      <c r="H24" s="41">
        <v>22.69</v>
      </c>
      <c r="I24" s="41">
        <v>6.35</v>
      </c>
      <c r="J24" s="41">
        <v>0.4</v>
      </c>
      <c r="K24" s="41">
        <v>346.13</v>
      </c>
      <c r="L24" s="41">
        <v>20.84</v>
      </c>
      <c r="M24" s="41">
        <v>32.869999999999997</v>
      </c>
      <c r="N24" s="41">
        <v>46.7</v>
      </c>
      <c r="O24" s="41">
        <v>0</v>
      </c>
      <c r="P24" s="41">
        <v>0.51</v>
      </c>
      <c r="Q24" s="41">
        <v>9.32</v>
      </c>
      <c r="R24" s="38"/>
      <c r="S24" s="38"/>
      <c r="T24" s="38"/>
      <c r="U24" s="38"/>
    </row>
    <row r="25" spans="1:21" customFormat="1">
      <c r="A25" s="40" t="s">
        <v>149</v>
      </c>
      <c r="B25" s="41">
        <v>5.21</v>
      </c>
      <c r="C25" s="41">
        <v>14.26</v>
      </c>
      <c r="D25" s="41">
        <v>11.63</v>
      </c>
      <c r="E25" s="41">
        <v>11.12</v>
      </c>
      <c r="F25" s="41">
        <v>2.12</v>
      </c>
      <c r="G25" s="41">
        <v>67.09</v>
      </c>
      <c r="H25" s="41">
        <v>23.74</v>
      </c>
      <c r="I25" s="41">
        <v>6.08</v>
      </c>
      <c r="J25" s="41">
        <v>0.31</v>
      </c>
      <c r="K25" s="41">
        <v>36.72</v>
      </c>
      <c r="L25" s="41">
        <v>15.24</v>
      </c>
      <c r="M25" s="41">
        <v>19.48</v>
      </c>
      <c r="N25" s="41">
        <v>29.9</v>
      </c>
      <c r="O25" s="41">
        <v>0</v>
      </c>
      <c r="P25" s="41">
        <v>0.48</v>
      </c>
      <c r="Q25" s="41">
        <v>9.32</v>
      </c>
      <c r="R25" s="38"/>
      <c r="S25" s="38"/>
      <c r="T25" s="38"/>
      <c r="U25" s="38"/>
    </row>
    <row r="26" spans="1:21" customFormat="1">
      <c r="A26" s="40" t="s">
        <v>150</v>
      </c>
      <c r="B26" s="41">
        <v>5.66</v>
      </c>
      <c r="C26" s="41">
        <v>14.56</v>
      </c>
      <c r="D26" s="41">
        <v>12.14</v>
      </c>
      <c r="E26" s="41">
        <v>7.45</v>
      </c>
      <c r="F26" s="41">
        <v>2</v>
      </c>
      <c r="G26" s="41">
        <v>74.86</v>
      </c>
      <c r="H26" s="41">
        <v>27.26</v>
      </c>
      <c r="I26" s="41">
        <v>6.96</v>
      </c>
      <c r="J26" s="41">
        <v>0.17</v>
      </c>
      <c r="K26" s="41">
        <v>141.63999999999999</v>
      </c>
      <c r="L26" s="41">
        <v>13.97</v>
      </c>
      <c r="M26" s="41">
        <v>16.98</v>
      </c>
      <c r="N26" s="41">
        <v>6.5</v>
      </c>
      <c r="O26" s="41">
        <v>0</v>
      </c>
      <c r="P26" s="41">
        <v>0.53</v>
      </c>
      <c r="Q26" s="41">
        <v>9.33</v>
      </c>
      <c r="R26" s="38"/>
      <c r="S26" s="38"/>
      <c r="T26" s="38"/>
      <c r="U26" s="38"/>
    </row>
    <row r="27" spans="1:21" customFormat="1">
      <c r="A27" s="40" t="s">
        <v>151</v>
      </c>
      <c r="B27" s="41">
        <v>6.05</v>
      </c>
      <c r="C27" s="41">
        <v>12.32</v>
      </c>
      <c r="D27" s="41">
        <v>11.29</v>
      </c>
      <c r="E27" s="41">
        <v>6.61</v>
      </c>
      <c r="F27" s="41">
        <v>2</v>
      </c>
      <c r="G27" s="41">
        <v>90.37</v>
      </c>
      <c r="H27" s="41">
        <v>27.46</v>
      </c>
      <c r="I27" s="41">
        <v>7.34</v>
      </c>
      <c r="J27" s="41">
        <v>0.23</v>
      </c>
      <c r="K27" s="41">
        <v>193.7</v>
      </c>
      <c r="L27" s="41">
        <v>18.149999999999999</v>
      </c>
      <c r="M27" s="41">
        <v>27.42</v>
      </c>
      <c r="N27" s="41">
        <v>2.6</v>
      </c>
      <c r="O27" s="41">
        <v>0</v>
      </c>
      <c r="P27" s="41">
        <v>0.56000000000000005</v>
      </c>
      <c r="Q27" s="41">
        <v>9.43</v>
      </c>
      <c r="R27" s="38"/>
      <c r="S27" s="38"/>
      <c r="T27" s="38"/>
      <c r="U27" s="38"/>
    </row>
    <row r="28" spans="1:21" customFormat="1">
      <c r="A28" s="40" t="s">
        <v>152</v>
      </c>
      <c r="B28" s="41">
        <v>5.69</v>
      </c>
      <c r="C28" s="41">
        <v>9.39</v>
      </c>
      <c r="D28" s="41">
        <v>9.4700000000000006</v>
      </c>
      <c r="E28" s="41">
        <v>6.22</v>
      </c>
      <c r="F28" s="41">
        <v>2</v>
      </c>
      <c r="G28" s="41">
        <v>95.86</v>
      </c>
      <c r="H28" s="41">
        <v>28.17</v>
      </c>
      <c r="I28" s="41">
        <v>7.7</v>
      </c>
      <c r="J28" s="41">
        <v>0.15</v>
      </c>
      <c r="K28" s="41">
        <v>191.94</v>
      </c>
      <c r="L28" s="41">
        <v>18.239999999999998</v>
      </c>
      <c r="M28" s="41">
        <v>27.73</v>
      </c>
      <c r="N28" s="41">
        <v>2.2999999999999998</v>
      </c>
      <c r="O28" s="41">
        <v>0</v>
      </c>
      <c r="P28" s="41">
        <v>0.57999999999999996</v>
      </c>
      <c r="Q28" s="41">
        <v>9.32</v>
      </c>
      <c r="R28" s="38"/>
      <c r="S28" s="38"/>
      <c r="T28" s="38"/>
      <c r="U28" s="38"/>
    </row>
    <row r="29" spans="1:21" customFormat="1">
      <c r="A29" s="40" t="s">
        <v>153</v>
      </c>
      <c r="B29" s="41">
        <v>6.26</v>
      </c>
      <c r="C29" s="41">
        <v>8.34</v>
      </c>
      <c r="D29" s="41">
        <v>8.91</v>
      </c>
      <c r="E29" s="41">
        <v>6.44</v>
      </c>
      <c r="F29" s="41">
        <v>2</v>
      </c>
      <c r="G29" s="41">
        <v>99.56</v>
      </c>
      <c r="H29" s="41">
        <v>30.59</v>
      </c>
      <c r="I29" s="41">
        <v>8.14</v>
      </c>
      <c r="J29" s="41">
        <v>0.24</v>
      </c>
      <c r="K29" s="41">
        <v>179.71</v>
      </c>
      <c r="L29" s="41">
        <v>17.489999999999998</v>
      </c>
      <c r="M29" s="41">
        <v>25.96</v>
      </c>
      <c r="N29" s="41">
        <v>2.1</v>
      </c>
      <c r="O29" s="41">
        <v>0</v>
      </c>
      <c r="P29" s="41">
        <v>0.64</v>
      </c>
      <c r="Q29" s="41">
        <v>9.34</v>
      </c>
      <c r="R29" s="38"/>
      <c r="S29" s="38"/>
      <c r="T29" s="38"/>
      <c r="U29" s="38"/>
    </row>
    <row r="30" spans="1:21" customFormat="1">
      <c r="A30" s="40" t="s">
        <v>154</v>
      </c>
      <c r="B30" s="41">
        <v>8.43</v>
      </c>
      <c r="C30" s="41">
        <v>7.6</v>
      </c>
      <c r="D30" s="41">
        <v>10.72</v>
      </c>
      <c r="E30" s="41">
        <v>6.35</v>
      </c>
      <c r="F30" s="41">
        <v>1.2</v>
      </c>
      <c r="G30" s="41">
        <v>108.27</v>
      </c>
      <c r="H30" s="41">
        <v>34.01</v>
      </c>
      <c r="I30" s="41">
        <v>8.69</v>
      </c>
      <c r="J30" s="41">
        <v>0.2</v>
      </c>
      <c r="K30" s="41">
        <v>190.4</v>
      </c>
      <c r="L30" s="41">
        <v>17.579999999999998</v>
      </c>
      <c r="M30" s="41">
        <v>26.27</v>
      </c>
      <c r="N30" s="41">
        <v>2.1</v>
      </c>
      <c r="O30" s="41">
        <v>0</v>
      </c>
      <c r="P30" s="41">
        <v>0.67</v>
      </c>
      <c r="Q30" s="41">
        <v>9.32</v>
      </c>
      <c r="R30" s="38"/>
      <c r="S30" s="38"/>
      <c r="T30" s="38"/>
      <c r="U30" s="38"/>
    </row>
    <row r="31" spans="1:21" customFormat="1">
      <c r="A31" s="40" t="s">
        <v>155</v>
      </c>
      <c r="B31" s="41">
        <v>9.86</v>
      </c>
      <c r="C31" s="41">
        <v>7.57</v>
      </c>
      <c r="D31" s="41">
        <v>11.84</v>
      </c>
      <c r="E31" s="41">
        <v>6.31</v>
      </c>
      <c r="F31" s="41">
        <v>1.2</v>
      </c>
      <c r="G31" s="41">
        <v>108.27</v>
      </c>
      <c r="H31" s="41">
        <v>34.01</v>
      </c>
      <c r="I31" s="41">
        <v>9.01</v>
      </c>
      <c r="J31" s="41">
        <v>0.15</v>
      </c>
      <c r="K31" s="41">
        <v>205.45</v>
      </c>
      <c r="L31" s="41">
        <v>18.75</v>
      </c>
      <c r="M31" s="41">
        <v>29.24</v>
      </c>
      <c r="N31" s="41">
        <v>2.1</v>
      </c>
      <c r="O31" s="41">
        <v>0</v>
      </c>
      <c r="P31" s="41">
        <v>0.69</v>
      </c>
      <c r="Q31" s="41">
        <v>11.33</v>
      </c>
      <c r="R31" s="38"/>
      <c r="S31" s="38"/>
      <c r="T31" s="38"/>
      <c r="U31" s="38"/>
    </row>
    <row r="32" spans="1:21" customFormat="1">
      <c r="A32" s="40" t="s">
        <v>156</v>
      </c>
      <c r="B32" s="41">
        <v>11.8</v>
      </c>
      <c r="C32" s="41">
        <v>7.96</v>
      </c>
      <c r="D32" s="41">
        <v>13.62</v>
      </c>
      <c r="E32" s="41">
        <v>6.71</v>
      </c>
      <c r="F32" s="41">
        <v>1.2</v>
      </c>
      <c r="G32" s="41">
        <v>97.29</v>
      </c>
      <c r="H32" s="41">
        <v>30.76</v>
      </c>
      <c r="I32" s="41">
        <v>9.2200000000000006</v>
      </c>
      <c r="J32" s="41">
        <v>0.12</v>
      </c>
      <c r="K32" s="41">
        <v>208.04</v>
      </c>
      <c r="L32" s="41">
        <v>19.25</v>
      </c>
      <c r="M32" s="41">
        <v>30.44</v>
      </c>
      <c r="N32" s="41">
        <v>2.1</v>
      </c>
      <c r="O32" s="41">
        <v>0</v>
      </c>
      <c r="P32" s="41">
        <v>0.7</v>
      </c>
      <c r="Q32" s="41">
        <v>32.49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4.46</v>
      </c>
      <c r="C34" s="18">
        <f t="shared" si="0"/>
        <v>7.5</v>
      </c>
      <c r="D34" s="18">
        <f t="shared" si="0"/>
        <v>8.7100000000000009</v>
      </c>
      <c r="E34" s="18">
        <f t="shared" si="0"/>
        <v>6.22</v>
      </c>
      <c r="F34" s="18">
        <f t="shared" si="0"/>
        <v>1.2</v>
      </c>
      <c r="G34" s="18">
        <f t="shared" si="0"/>
        <v>59.86</v>
      </c>
      <c r="H34" s="18">
        <f t="shared" si="0"/>
        <v>22.69</v>
      </c>
      <c r="I34" s="18">
        <f t="shared" si="0"/>
        <v>6.08</v>
      </c>
      <c r="J34" s="18">
        <f t="shared" si="0"/>
        <v>0.12</v>
      </c>
      <c r="K34" s="18">
        <f t="shared" si="0"/>
        <v>27.73</v>
      </c>
      <c r="L34" s="18">
        <f t="shared" si="0"/>
        <v>8.82</v>
      </c>
      <c r="M34" s="18">
        <f t="shared" si="0"/>
        <v>2.88</v>
      </c>
      <c r="N34" s="18">
        <f t="shared" si="0"/>
        <v>2.1</v>
      </c>
      <c r="O34" s="18">
        <f t="shared" si="0"/>
        <v>0</v>
      </c>
      <c r="P34" s="18">
        <f t="shared" si="0"/>
        <v>0.48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15.22</v>
      </c>
      <c r="C35" s="3">
        <f t="shared" si="1"/>
        <v>14.56</v>
      </c>
      <c r="D35" s="3">
        <f t="shared" si="1"/>
        <v>16.600000000000001</v>
      </c>
      <c r="E35" s="3">
        <f t="shared" si="1"/>
        <v>13.91</v>
      </c>
      <c r="F35" s="3">
        <f t="shared" si="1"/>
        <v>3.12</v>
      </c>
      <c r="G35" s="3">
        <f t="shared" si="1"/>
        <v>108.27</v>
      </c>
      <c r="H35" s="3">
        <f t="shared" si="1"/>
        <v>34.01</v>
      </c>
      <c r="I35" s="3">
        <f t="shared" si="1"/>
        <v>9.84</v>
      </c>
      <c r="J35" s="3">
        <f t="shared" si="1"/>
        <v>0.78</v>
      </c>
      <c r="K35" s="3">
        <f t="shared" si="1"/>
        <v>351.81</v>
      </c>
      <c r="L35" s="3">
        <f t="shared" si="1"/>
        <v>24.53</v>
      </c>
      <c r="M35" s="3">
        <f t="shared" si="1"/>
        <v>35.6</v>
      </c>
      <c r="N35" s="3">
        <f t="shared" si="1"/>
        <v>675</v>
      </c>
      <c r="O35" s="3">
        <f t="shared" si="1"/>
        <v>0</v>
      </c>
      <c r="P35" s="3">
        <f t="shared" si="1"/>
        <v>0.79</v>
      </c>
      <c r="Q35" s="3">
        <f t="shared" si="1"/>
        <v>32.49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9.625</v>
      </c>
      <c r="C36" s="18">
        <f t="shared" si="2"/>
        <v>9.5504166666666652</v>
      </c>
      <c r="D36" s="18">
        <f t="shared" si="2"/>
        <v>12.613333333333335</v>
      </c>
      <c r="E36" s="18">
        <f t="shared" si="2"/>
        <v>8.3383333333333329</v>
      </c>
      <c r="F36" s="18">
        <f t="shared" si="2"/>
        <v>2.1625000000000001</v>
      </c>
      <c r="G36" s="18">
        <f t="shared" si="2"/>
        <v>87.964166666666642</v>
      </c>
      <c r="H36" s="18">
        <f t="shared" si="2"/>
        <v>29.637500000000003</v>
      </c>
      <c r="I36" s="18">
        <f t="shared" si="2"/>
        <v>8.1850000000000005</v>
      </c>
      <c r="J36" s="18">
        <f t="shared" si="2"/>
        <v>0.35374999999999995</v>
      </c>
      <c r="K36" s="18">
        <f t="shared" si="2"/>
        <v>132.96333333333334</v>
      </c>
      <c r="L36" s="18">
        <f t="shared" si="2"/>
        <v>16.129166666666666</v>
      </c>
      <c r="M36" s="18">
        <f t="shared" si="2"/>
        <v>19.484166666666667</v>
      </c>
      <c r="N36" s="18">
        <f t="shared" si="2"/>
        <v>153.90416666666667</v>
      </c>
      <c r="O36" s="18">
        <f t="shared" si="2"/>
        <v>0</v>
      </c>
      <c r="P36" s="18">
        <f t="shared" si="2"/>
        <v>0.65666666666666662</v>
      </c>
      <c r="Q36" s="18">
        <f t="shared" si="2"/>
        <v>10.374999999999998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3.8720817903686306</v>
      </c>
      <c r="C37" s="18">
        <f t="shared" ref="C37:Q37" si="3">STDEV(C9:C32)</f>
        <v>2.1010152394097386</v>
      </c>
      <c r="D37" s="18">
        <f t="shared" si="3"/>
        <v>2.6019502161909638</v>
      </c>
      <c r="E37" s="18">
        <f t="shared" si="3"/>
        <v>1.9717585765143713</v>
      </c>
      <c r="F37" s="18">
        <f t="shared" si="3"/>
        <v>0.54451613941824861</v>
      </c>
      <c r="G37" s="18">
        <f t="shared" si="3"/>
        <v>14.459649077667136</v>
      </c>
      <c r="H37" s="18">
        <f t="shared" si="3"/>
        <v>3.5926183378893941</v>
      </c>
      <c r="I37" s="18">
        <f t="shared" si="3"/>
        <v>1.0474606976127905</v>
      </c>
      <c r="J37" s="18">
        <f t="shared" si="3"/>
        <v>0.19123881041435006</v>
      </c>
      <c r="K37" s="18">
        <f t="shared" si="3"/>
        <v>103.97749035944885</v>
      </c>
      <c r="L37" s="18">
        <f t="shared" si="3"/>
        <v>3.6810878787410855</v>
      </c>
      <c r="M37" s="18">
        <f t="shared" si="3"/>
        <v>9.4708733891665542</v>
      </c>
      <c r="N37" s="18">
        <f t="shared" si="3"/>
        <v>236.86366190217979</v>
      </c>
      <c r="O37" s="18">
        <f t="shared" si="3"/>
        <v>0</v>
      </c>
      <c r="P37" s="18">
        <f t="shared" si="3"/>
        <v>9.0201063652587052E-2</v>
      </c>
      <c r="Q37" s="18">
        <f t="shared" si="3"/>
        <v>4.7282177909082064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6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L38" sqref="L38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05/11/2025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157</v>
      </c>
      <c r="B9" s="41">
        <v>13.03</v>
      </c>
      <c r="C9" s="41">
        <v>8.0500000000000007</v>
      </c>
      <c r="D9" s="41">
        <v>14.58</v>
      </c>
      <c r="E9" s="41">
        <v>6.77</v>
      </c>
      <c r="F9" s="41">
        <v>1.3</v>
      </c>
      <c r="G9" s="41">
        <v>96.92</v>
      </c>
      <c r="H9" s="41">
        <v>29.99</v>
      </c>
      <c r="I9" s="41">
        <v>9.3800000000000008</v>
      </c>
      <c r="J9" s="41">
        <v>0.14000000000000001</v>
      </c>
      <c r="K9" s="41">
        <v>211.59</v>
      </c>
      <c r="L9" s="41">
        <v>19.47</v>
      </c>
      <c r="M9" s="41">
        <v>31.03</v>
      </c>
      <c r="N9" s="41">
        <v>2.2999999999999998</v>
      </c>
      <c r="O9" s="41">
        <v>0</v>
      </c>
      <c r="P9" s="41">
        <v>0.71</v>
      </c>
      <c r="Q9" s="41">
        <v>11.01</v>
      </c>
      <c r="R9" s="38"/>
      <c r="S9" s="38"/>
      <c r="T9" s="38"/>
      <c r="U9" s="38"/>
    </row>
    <row r="10" spans="1:21" customFormat="1">
      <c r="A10" s="40" t="s">
        <v>158</v>
      </c>
      <c r="B10" s="41">
        <v>17.11</v>
      </c>
      <c r="C10" s="41">
        <v>8.9600000000000009</v>
      </c>
      <c r="D10" s="41">
        <v>18.41</v>
      </c>
      <c r="E10" s="41">
        <v>6.92</v>
      </c>
      <c r="F10" s="41">
        <v>1.3</v>
      </c>
      <c r="G10" s="41">
        <v>93.71</v>
      </c>
      <c r="H10" s="41">
        <v>28.95</v>
      </c>
      <c r="I10" s="41">
        <v>9.52</v>
      </c>
      <c r="J10" s="41">
        <v>0.18</v>
      </c>
      <c r="K10" s="41">
        <v>208.17</v>
      </c>
      <c r="L10" s="41">
        <v>19.260000000000002</v>
      </c>
      <c r="M10" s="41">
        <v>30.19</v>
      </c>
      <c r="N10" s="41">
        <v>2.1</v>
      </c>
      <c r="O10" s="41">
        <v>0</v>
      </c>
      <c r="P10" s="41">
        <v>0.68</v>
      </c>
      <c r="Q10" s="41">
        <v>14.49</v>
      </c>
      <c r="R10" s="38"/>
      <c r="S10" s="38"/>
      <c r="T10" s="38"/>
      <c r="U10" s="38"/>
    </row>
    <row r="11" spans="1:21" customFormat="1">
      <c r="A11" s="40" t="s">
        <v>159</v>
      </c>
      <c r="B11" s="41">
        <v>17.309999999999999</v>
      </c>
      <c r="C11" s="41">
        <v>8.9</v>
      </c>
      <c r="D11" s="41">
        <v>18.53</v>
      </c>
      <c r="E11" s="41">
        <v>6.41</v>
      </c>
      <c r="F11" s="41">
        <v>2</v>
      </c>
      <c r="G11" s="41">
        <v>93.71</v>
      </c>
      <c r="H11" s="41">
        <v>28.95</v>
      </c>
      <c r="I11" s="41">
        <v>9.67</v>
      </c>
      <c r="J11" s="41">
        <v>0.18</v>
      </c>
      <c r="K11" s="41">
        <v>225.15</v>
      </c>
      <c r="L11" s="41">
        <v>19.73</v>
      </c>
      <c r="M11" s="41">
        <v>31.41</v>
      </c>
      <c r="N11" s="41">
        <v>2.1</v>
      </c>
      <c r="O11" s="41">
        <v>0</v>
      </c>
      <c r="P11" s="41">
        <v>0.67</v>
      </c>
      <c r="Q11" s="41">
        <v>10.29</v>
      </c>
      <c r="R11" s="38"/>
      <c r="S11" s="38"/>
      <c r="T11" s="38"/>
      <c r="U11" s="38"/>
    </row>
    <row r="12" spans="1:21" customFormat="1">
      <c r="A12" s="40" t="s">
        <v>160</v>
      </c>
      <c r="B12" s="41">
        <v>15.9</v>
      </c>
      <c r="C12" s="41">
        <v>8.26</v>
      </c>
      <c r="D12" s="41">
        <v>17.059999999999999</v>
      </c>
      <c r="E12" s="41">
        <v>6.34</v>
      </c>
      <c r="F12" s="41">
        <v>2</v>
      </c>
      <c r="G12" s="41">
        <v>87.85</v>
      </c>
      <c r="H12" s="41">
        <v>30.37</v>
      </c>
      <c r="I12" s="41">
        <v>10.199999999999999</v>
      </c>
      <c r="J12" s="41">
        <v>0.14000000000000001</v>
      </c>
      <c r="K12" s="41">
        <v>162.19</v>
      </c>
      <c r="L12" s="41">
        <v>14.82</v>
      </c>
      <c r="M12" s="41">
        <v>19.170000000000002</v>
      </c>
      <c r="N12" s="41">
        <v>2.1</v>
      </c>
      <c r="O12" s="41">
        <v>0</v>
      </c>
      <c r="P12" s="41">
        <v>0.69</v>
      </c>
      <c r="Q12" s="41">
        <v>9.49</v>
      </c>
      <c r="R12" s="38"/>
      <c r="S12" s="38"/>
      <c r="T12" s="38"/>
      <c r="U12" s="38"/>
    </row>
    <row r="13" spans="1:21" customFormat="1">
      <c r="A13" s="40" t="s">
        <v>161</v>
      </c>
      <c r="B13" s="41">
        <v>16.87</v>
      </c>
      <c r="C13" s="41">
        <v>8.42</v>
      </c>
      <c r="D13" s="41">
        <v>17.93</v>
      </c>
      <c r="E13" s="41">
        <v>6.44</v>
      </c>
      <c r="F13" s="41">
        <v>2</v>
      </c>
      <c r="G13" s="41">
        <v>92.62</v>
      </c>
      <c r="H13" s="41">
        <v>32.18</v>
      </c>
      <c r="I13" s="41">
        <v>10.77</v>
      </c>
      <c r="J13" s="41">
        <v>0.17</v>
      </c>
      <c r="K13" s="41">
        <v>208.1</v>
      </c>
      <c r="L13" s="41">
        <v>19.43</v>
      </c>
      <c r="M13" s="41">
        <v>30.76</v>
      </c>
      <c r="N13" s="41">
        <v>2.2000000000000002</v>
      </c>
      <c r="O13" s="41">
        <v>0</v>
      </c>
      <c r="P13" s="41">
        <v>0.7</v>
      </c>
      <c r="Q13" s="41">
        <v>11.79</v>
      </c>
      <c r="R13" s="38"/>
      <c r="S13" s="38"/>
      <c r="T13" s="38"/>
      <c r="U13" s="38"/>
    </row>
    <row r="14" spans="1:21" customFormat="1">
      <c r="A14" s="40" t="s">
        <v>162</v>
      </c>
      <c r="B14" s="41">
        <v>16.09</v>
      </c>
      <c r="C14" s="41">
        <v>7.96</v>
      </c>
      <c r="D14" s="41">
        <v>17.059999999999999</v>
      </c>
      <c r="E14" s="41">
        <v>6.41</v>
      </c>
      <c r="F14" s="41">
        <v>2</v>
      </c>
      <c r="G14" s="41">
        <v>92.62</v>
      </c>
      <c r="H14" s="41">
        <v>32.18</v>
      </c>
      <c r="I14" s="41">
        <v>10.87</v>
      </c>
      <c r="J14" s="41">
        <v>0.12</v>
      </c>
      <c r="K14" s="41">
        <v>199.36</v>
      </c>
      <c r="L14" s="41">
        <v>18.510000000000002</v>
      </c>
      <c r="M14" s="41">
        <v>28.46</v>
      </c>
      <c r="N14" s="41">
        <v>2.2999999999999998</v>
      </c>
      <c r="O14" s="41">
        <v>0</v>
      </c>
      <c r="P14" s="41">
        <v>0.69</v>
      </c>
      <c r="Q14" s="41">
        <v>10.58</v>
      </c>
      <c r="R14" s="38"/>
      <c r="S14" s="38"/>
      <c r="T14" s="38"/>
      <c r="U14" s="38"/>
    </row>
    <row r="15" spans="1:21" customFormat="1">
      <c r="A15" s="40" t="s">
        <v>163</v>
      </c>
      <c r="B15" s="41">
        <v>21.61</v>
      </c>
      <c r="C15" s="41">
        <v>9.1199999999999992</v>
      </c>
      <c r="D15" s="41">
        <v>22.09</v>
      </c>
      <c r="E15" s="41">
        <v>7.1</v>
      </c>
      <c r="F15" s="41">
        <v>2</v>
      </c>
      <c r="G15" s="41">
        <v>80.72</v>
      </c>
      <c r="H15" s="41">
        <v>34.01</v>
      </c>
      <c r="I15" s="41">
        <v>10.87</v>
      </c>
      <c r="J15" s="41">
        <v>0.22</v>
      </c>
      <c r="K15" s="41">
        <v>194.7</v>
      </c>
      <c r="L15" s="41">
        <v>18.47</v>
      </c>
      <c r="M15" s="41">
        <v>28.23</v>
      </c>
      <c r="N15" s="41">
        <v>26.6</v>
      </c>
      <c r="O15" s="41">
        <v>0</v>
      </c>
      <c r="P15" s="41">
        <v>0.75</v>
      </c>
      <c r="Q15" s="41">
        <v>9.32</v>
      </c>
      <c r="R15" s="38"/>
      <c r="S15" s="38"/>
      <c r="T15" s="38"/>
      <c r="U15" s="38"/>
    </row>
    <row r="16" spans="1:21" customFormat="1">
      <c r="A16" s="40" t="s">
        <v>164</v>
      </c>
      <c r="B16" s="41">
        <v>21.7</v>
      </c>
      <c r="C16" s="41">
        <v>9.34</v>
      </c>
      <c r="D16" s="41">
        <v>22.18</v>
      </c>
      <c r="E16" s="41">
        <v>6.47</v>
      </c>
      <c r="F16" s="41">
        <v>2</v>
      </c>
      <c r="G16" s="41">
        <v>83.27</v>
      </c>
      <c r="H16" s="41">
        <v>34.01</v>
      </c>
      <c r="I16" s="41">
        <v>11</v>
      </c>
      <c r="J16" s="41">
        <v>0.12</v>
      </c>
      <c r="K16" s="41">
        <v>216.31</v>
      </c>
      <c r="L16" s="41">
        <v>20.28</v>
      </c>
      <c r="M16" s="41">
        <v>30.65</v>
      </c>
      <c r="N16" s="41">
        <v>195.9</v>
      </c>
      <c r="O16" s="41">
        <v>0</v>
      </c>
      <c r="P16" s="41">
        <v>0.74</v>
      </c>
      <c r="Q16" s="41">
        <v>9.8699999999999992</v>
      </c>
      <c r="R16" s="38"/>
      <c r="S16" s="38"/>
      <c r="T16" s="38"/>
      <c r="U16" s="38"/>
    </row>
    <row r="17" spans="1:21" customFormat="1">
      <c r="A17" s="40" t="s">
        <v>165</v>
      </c>
      <c r="B17" s="41">
        <v>20.92</v>
      </c>
      <c r="C17" s="41">
        <v>9.52</v>
      </c>
      <c r="D17" s="41">
        <v>21.64</v>
      </c>
      <c r="E17" s="41">
        <v>6.46</v>
      </c>
      <c r="F17" s="41">
        <v>3.5</v>
      </c>
      <c r="G17" s="41">
        <v>100.83</v>
      </c>
      <c r="H17" s="41">
        <v>33.89</v>
      </c>
      <c r="I17" s="41">
        <v>11.03</v>
      </c>
      <c r="J17" s="41">
        <v>0.27</v>
      </c>
      <c r="K17" s="41">
        <v>247.91</v>
      </c>
      <c r="L17" s="41">
        <v>24.72</v>
      </c>
      <c r="M17" s="41">
        <v>36.67</v>
      </c>
      <c r="N17" s="41">
        <v>357.5</v>
      </c>
      <c r="O17" s="41">
        <v>0</v>
      </c>
      <c r="P17" s="41">
        <v>0.74</v>
      </c>
      <c r="Q17" s="41">
        <v>9.32</v>
      </c>
      <c r="R17" s="38"/>
      <c r="S17" s="38"/>
      <c r="T17" s="38"/>
      <c r="U17" s="38"/>
    </row>
    <row r="18" spans="1:21" customFormat="1">
      <c r="A18" s="40" t="s">
        <v>166</v>
      </c>
      <c r="B18" s="41">
        <v>18.09</v>
      </c>
      <c r="C18" s="41">
        <v>10.130000000000001</v>
      </c>
      <c r="D18" s="41">
        <v>19.55</v>
      </c>
      <c r="E18" s="41">
        <v>6.44</v>
      </c>
      <c r="F18" s="41">
        <v>3.5</v>
      </c>
      <c r="G18" s="41">
        <v>100.83</v>
      </c>
      <c r="H18" s="41">
        <v>36.03</v>
      </c>
      <c r="I18" s="41">
        <v>11.06</v>
      </c>
      <c r="J18" s="41">
        <v>0.18</v>
      </c>
      <c r="K18" s="41">
        <v>243.19</v>
      </c>
      <c r="L18" s="41">
        <v>22.57</v>
      </c>
      <c r="M18" s="41">
        <v>31.75</v>
      </c>
      <c r="N18" s="41">
        <v>438.1</v>
      </c>
      <c r="O18" s="41">
        <v>0</v>
      </c>
      <c r="P18" s="41">
        <v>0.73</v>
      </c>
      <c r="Q18" s="41">
        <v>9.32</v>
      </c>
      <c r="R18" s="38"/>
      <c r="S18" s="38"/>
      <c r="T18" s="38"/>
      <c r="U18" s="38"/>
    </row>
    <row r="19" spans="1:21" customFormat="1">
      <c r="A19" s="40" t="s">
        <v>167</v>
      </c>
      <c r="B19" s="41">
        <v>13.5</v>
      </c>
      <c r="C19" s="41">
        <v>13.08</v>
      </c>
      <c r="D19" s="41">
        <v>16.100000000000001</v>
      </c>
      <c r="E19" s="41">
        <v>7.53</v>
      </c>
      <c r="F19" s="41">
        <v>14.95</v>
      </c>
      <c r="G19" s="41">
        <v>83.82</v>
      </c>
      <c r="H19" s="41">
        <v>36.659999999999997</v>
      </c>
      <c r="I19" s="41">
        <v>10.98</v>
      </c>
      <c r="J19" s="41">
        <v>0.26</v>
      </c>
      <c r="K19" s="41">
        <v>281.07</v>
      </c>
      <c r="L19" s="41">
        <v>26.58</v>
      </c>
      <c r="M19" s="41">
        <v>36.020000000000003</v>
      </c>
      <c r="N19" s="41">
        <v>554.70000000000005</v>
      </c>
      <c r="O19" s="41">
        <v>0</v>
      </c>
      <c r="P19" s="41">
        <v>1.83</v>
      </c>
      <c r="Q19" s="41">
        <v>9.32</v>
      </c>
      <c r="R19" s="38"/>
      <c r="S19" s="38"/>
      <c r="T19" s="38"/>
      <c r="U19" s="38"/>
    </row>
    <row r="20" spans="1:21" customFormat="1">
      <c r="A20" s="40" t="s">
        <v>168</v>
      </c>
      <c r="B20" s="41">
        <v>1.78</v>
      </c>
      <c r="C20" s="41">
        <v>14.38</v>
      </c>
      <c r="D20" s="41">
        <v>8.9499999999999993</v>
      </c>
      <c r="E20" s="41">
        <v>16.059999999999999</v>
      </c>
      <c r="F20" s="41">
        <v>56.27</v>
      </c>
      <c r="G20" s="41">
        <v>81.47</v>
      </c>
      <c r="H20" s="41">
        <v>36.659999999999997</v>
      </c>
      <c r="I20" s="41">
        <v>12.12</v>
      </c>
      <c r="J20" s="41">
        <v>0.75</v>
      </c>
      <c r="K20" s="41">
        <v>305.51</v>
      </c>
      <c r="L20" s="41">
        <v>30.96</v>
      </c>
      <c r="M20" s="41">
        <v>44.98</v>
      </c>
      <c r="N20" s="41">
        <v>591</v>
      </c>
      <c r="O20" s="41">
        <v>0</v>
      </c>
      <c r="P20" s="41">
        <v>0.8</v>
      </c>
      <c r="Q20" s="41">
        <v>9.32</v>
      </c>
      <c r="R20" s="38"/>
      <c r="S20" s="38"/>
      <c r="T20" s="38"/>
      <c r="U20" s="38"/>
    </row>
    <row r="21" spans="1:21" customFormat="1">
      <c r="A21" s="40" t="s">
        <v>169</v>
      </c>
      <c r="B21" s="41">
        <v>2.0299999999999998</v>
      </c>
      <c r="C21" s="41">
        <v>15.58</v>
      </c>
      <c r="D21" s="41">
        <v>9.77</v>
      </c>
      <c r="E21" s="41">
        <v>16.899999999999999</v>
      </c>
      <c r="F21" s="41">
        <v>38.79</v>
      </c>
      <c r="G21" s="10" t="s">
        <v>12</v>
      </c>
      <c r="H21" s="10" t="s">
        <v>12</v>
      </c>
      <c r="I21" s="41">
        <v>12.08</v>
      </c>
      <c r="J21" s="41">
        <v>0.65</v>
      </c>
      <c r="K21" s="41">
        <v>329.02</v>
      </c>
      <c r="L21" s="41">
        <v>29.71</v>
      </c>
      <c r="M21" s="41">
        <v>42.89</v>
      </c>
      <c r="N21" s="41">
        <v>564.9</v>
      </c>
      <c r="O21" s="41">
        <v>0</v>
      </c>
      <c r="P21" s="41">
        <v>0.77</v>
      </c>
      <c r="Q21" s="41">
        <v>9.32</v>
      </c>
      <c r="R21" s="38"/>
      <c r="S21" s="38"/>
      <c r="T21" s="38"/>
      <c r="U21" s="38"/>
    </row>
    <row r="22" spans="1:21" customFormat="1">
      <c r="A22" s="40" t="s">
        <v>170</v>
      </c>
      <c r="B22" s="41">
        <v>2.2200000000000002</v>
      </c>
      <c r="C22" s="41">
        <v>16.03</v>
      </c>
      <c r="D22" s="41">
        <v>9.98</v>
      </c>
      <c r="E22" s="41">
        <v>12</v>
      </c>
      <c r="F22" s="41">
        <v>52.33</v>
      </c>
      <c r="G22" s="10" t="s">
        <v>12</v>
      </c>
      <c r="H22" s="10" t="s">
        <v>12</v>
      </c>
      <c r="I22" s="41">
        <v>9.2899999999999991</v>
      </c>
      <c r="J22" s="41">
        <v>0.75</v>
      </c>
      <c r="K22" s="41">
        <v>325.87</v>
      </c>
      <c r="L22" s="41">
        <v>29.6</v>
      </c>
      <c r="M22" s="41">
        <v>43.67</v>
      </c>
      <c r="N22" s="41">
        <v>510.7</v>
      </c>
      <c r="O22" s="41">
        <v>0</v>
      </c>
      <c r="P22" s="41">
        <v>0.73</v>
      </c>
      <c r="Q22" s="41">
        <v>9.32</v>
      </c>
      <c r="R22" s="38"/>
      <c r="S22" s="38"/>
      <c r="T22" s="38"/>
      <c r="U22" s="38"/>
    </row>
    <row r="23" spans="1:21" customFormat="1">
      <c r="A23" s="40" t="s">
        <v>171</v>
      </c>
      <c r="B23" s="41">
        <v>4.78</v>
      </c>
      <c r="C23" s="41">
        <v>21.57</v>
      </c>
      <c r="D23" s="41">
        <v>15.1</v>
      </c>
      <c r="E23" s="41">
        <v>10.4</v>
      </c>
      <c r="F23" s="41">
        <v>48.8</v>
      </c>
      <c r="G23" s="41">
        <v>44.37</v>
      </c>
      <c r="H23" s="41">
        <v>46.42</v>
      </c>
      <c r="I23" s="41">
        <v>5.87</v>
      </c>
      <c r="J23" s="41">
        <v>0.44</v>
      </c>
      <c r="K23" s="41">
        <v>341.03</v>
      </c>
      <c r="L23" s="41">
        <v>25.06</v>
      </c>
      <c r="M23" s="41">
        <v>43.32</v>
      </c>
      <c r="N23" s="41">
        <v>150.4</v>
      </c>
      <c r="O23" s="41">
        <v>0</v>
      </c>
      <c r="P23" s="41">
        <v>0.62</v>
      </c>
      <c r="Q23" s="41">
        <v>9.32</v>
      </c>
      <c r="R23" s="38"/>
      <c r="S23" s="38"/>
      <c r="T23" s="38"/>
      <c r="U23" s="38"/>
    </row>
    <row r="24" spans="1:21" customFormat="1">
      <c r="A24" s="40" t="s">
        <v>172</v>
      </c>
      <c r="B24" s="41">
        <v>1.95</v>
      </c>
      <c r="C24" s="41">
        <v>16.5</v>
      </c>
      <c r="D24" s="41">
        <v>10</v>
      </c>
      <c r="E24" s="41">
        <v>6.33</v>
      </c>
      <c r="F24" s="41">
        <v>10.91</v>
      </c>
      <c r="G24" s="41">
        <v>52.42</v>
      </c>
      <c r="H24" s="41">
        <v>46.42</v>
      </c>
      <c r="I24" s="41">
        <v>4.8099999999999996</v>
      </c>
      <c r="J24" s="41">
        <v>0.52</v>
      </c>
      <c r="K24" s="41">
        <v>310.38</v>
      </c>
      <c r="L24" s="41">
        <v>25.58</v>
      </c>
      <c r="M24" s="41">
        <v>44.87</v>
      </c>
      <c r="N24" s="41">
        <v>46.1</v>
      </c>
      <c r="O24" s="41">
        <v>0</v>
      </c>
      <c r="P24" s="41">
        <v>0.57999999999999996</v>
      </c>
      <c r="Q24" s="41">
        <v>9.32</v>
      </c>
      <c r="R24" s="38"/>
      <c r="S24" s="38"/>
      <c r="T24" s="38"/>
      <c r="U24" s="38"/>
    </row>
    <row r="25" spans="1:21" customFormat="1">
      <c r="A25" s="40" t="s">
        <v>173</v>
      </c>
      <c r="B25" s="41">
        <v>2.2599999999999998</v>
      </c>
      <c r="C25" s="41">
        <v>9.91</v>
      </c>
      <c r="D25" s="41">
        <v>6.8</v>
      </c>
      <c r="E25" s="41">
        <v>5.88</v>
      </c>
      <c r="F25" s="41">
        <v>10.29</v>
      </c>
      <c r="G25" s="41">
        <v>52.42</v>
      </c>
      <c r="H25" s="41">
        <v>37.35</v>
      </c>
      <c r="I25" s="41">
        <v>4.99</v>
      </c>
      <c r="J25" s="41">
        <v>0.28000000000000003</v>
      </c>
      <c r="K25" s="41">
        <v>246.21</v>
      </c>
      <c r="L25" s="41">
        <v>20.94</v>
      </c>
      <c r="M25" s="41">
        <v>33.85</v>
      </c>
      <c r="N25" s="41">
        <v>28.2</v>
      </c>
      <c r="O25" s="41">
        <v>0</v>
      </c>
      <c r="P25" s="41">
        <v>0.56999999999999995</v>
      </c>
      <c r="Q25" s="41">
        <v>9.32</v>
      </c>
      <c r="R25" s="38"/>
      <c r="S25" s="38"/>
      <c r="T25" s="38"/>
      <c r="U25" s="38"/>
    </row>
    <row r="26" spans="1:21" customFormat="1">
      <c r="A26" s="40" t="s">
        <v>174</v>
      </c>
      <c r="B26" s="41">
        <v>2.74</v>
      </c>
      <c r="C26" s="41">
        <v>9.23</v>
      </c>
      <c r="D26" s="41">
        <v>6.82</v>
      </c>
      <c r="E26" s="41">
        <v>5.35</v>
      </c>
      <c r="F26" s="41">
        <v>10.29</v>
      </c>
      <c r="G26" s="41">
        <v>51.05</v>
      </c>
      <c r="H26" s="41">
        <v>28.65</v>
      </c>
      <c r="I26" s="41">
        <v>5.28</v>
      </c>
      <c r="J26" s="41">
        <v>0.24</v>
      </c>
      <c r="K26" s="41">
        <v>182.31</v>
      </c>
      <c r="L26" s="41">
        <v>18.940000000000001</v>
      </c>
      <c r="M26" s="41">
        <v>29.53</v>
      </c>
      <c r="N26" s="41">
        <v>6.3</v>
      </c>
      <c r="O26" s="41">
        <v>0</v>
      </c>
      <c r="P26" s="41">
        <v>0.59</v>
      </c>
      <c r="Q26" s="41">
        <v>9.32</v>
      </c>
      <c r="R26" s="38"/>
      <c r="S26" s="38"/>
      <c r="T26" s="38"/>
      <c r="U26" s="38"/>
    </row>
    <row r="27" spans="1:21" customFormat="1">
      <c r="A27" s="40" t="s">
        <v>175</v>
      </c>
      <c r="B27" s="41">
        <v>3.25</v>
      </c>
      <c r="C27" s="41">
        <v>7.06</v>
      </c>
      <c r="D27" s="41">
        <v>6.15</v>
      </c>
      <c r="E27" s="41">
        <v>5.72</v>
      </c>
      <c r="F27" s="41">
        <v>10.29</v>
      </c>
      <c r="G27" s="41">
        <v>51.72</v>
      </c>
      <c r="H27" s="41">
        <v>24.03</v>
      </c>
      <c r="I27" s="41">
        <v>5.74</v>
      </c>
      <c r="J27" s="41">
        <v>0.2</v>
      </c>
      <c r="K27" s="41">
        <v>169.15</v>
      </c>
      <c r="L27" s="41">
        <v>16.28</v>
      </c>
      <c r="M27" s="41">
        <v>22.95</v>
      </c>
      <c r="N27" s="41">
        <v>2.4</v>
      </c>
      <c r="O27" s="41">
        <v>0</v>
      </c>
      <c r="P27" s="41">
        <v>0.59</v>
      </c>
      <c r="Q27" s="41">
        <v>9.32</v>
      </c>
      <c r="R27" s="38"/>
      <c r="S27" s="38"/>
      <c r="T27" s="38"/>
      <c r="U27" s="38"/>
    </row>
    <row r="28" spans="1:21" customFormat="1">
      <c r="A28" s="40" t="s">
        <v>176</v>
      </c>
      <c r="B28" s="41">
        <v>3.83</v>
      </c>
      <c r="C28" s="41">
        <v>7.44</v>
      </c>
      <c r="D28" s="41">
        <v>6.96</v>
      </c>
      <c r="E28" s="41">
        <v>6.05</v>
      </c>
      <c r="F28" s="41">
        <v>10.29</v>
      </c>
      <c r="G28" s="41">
        <v>64.48</v>
      </c>
      <c r="H28" s="41">
        <v>24.98</v>
      </c>
      <c r="I28" s="41">
        <v>6.71</v>
      </c>
      <c r="J28" s="41">
        <v>0.18</v>
      </c>
      <c r="K28" s="41">
        <v>187.58</v>
      </c>
      <c r="L28" s="41">
        <v>18.53</v>
      </c>
      <c r="M28" s="41">
        <v>28.59</v>
      </c>
      <c r="N28" s="41">
        <v>2.4</v>
      </c>
      <c r="O28" s="41">
        <v>0</v>
      </c>
      <c r="P28" s="41">
        <v>0.65</v>
      </c>
      <c r="Q28" s="41">
        <v>9.32</v>
      </c>
      <c r="R28" s="38"/>
      <c r="S28" s="38"/>
      <c r="T28" s="38"/>
      <c r="U28" s="38"/>
    </row>
    <row r="29" spans="1:21" customFormat="1">
      <c r="A29" s="40" t="s">
        <v>177</v>
      </c>
      <c r="B29" s="41">
        <v>4.17</v>
      </c>
      <c r="C29" s="41">
        <v>8.99</v>
      </c>
      <c r="D29" s="41">
        <v>7.96</v>
      </c>
      <c r="E29" s="41">
        <v>6.2</v>
      </c>
      <c r="F29" s="41">
        <v>10.29</v>
      </c>
      <c r="G29" s="41">
        <v>71.260000000000005</v>
      </c>
      <c r="H29" s="41">
        <v>27.06</v>
      </c>
      <c r="I29" s="41">
        <v>7.3</v>
      </c>
      <c r="J29" s="41">
        <v>0.27</v>
      </c>
      <c r="K29" s="41">
        <v>246.3</v>
      </c>
      <c r="L29" s="41">
        <v>22.42</v>
      </c>
      <c r="M29" s="41">
        <v>38.28</v>
      </c>
      <c r="N29" s="41">
        <v>2.2999999999999998</v>
      </c>
      <c r="O29" s="41">
        <v>0</v>
      </c>
      <c r="P29" s="41">
        <v>0.66</v>
      </c>
      <c r="Q29" s="41">
        <v>9.32</v>
      </c>
      <c r="R29" s="38"/>
      <c r="S29" s="38"/>
      <c r="T29" s="38"/>
      <c r="U29" s="38"/>
    </row>
    <row r="30" spans="1:21" customFormat="1">
      <c r="A30" s="40" t="s">
        <v>178</v>
      </c>
      <c r="B30" s="41">
        <v>5.36</v>
      </c>
      <c r="C30" s="41">
        <v>10.53</v>
      </c>
      <c r="D30" s="41">
        <v>9.76</v>
      </c>
      <c r="E30" s="41">
        <v>6.23</v>
      </c>
      <c r="F30" s="41">
        <v>10.29</v>
      </c>
      <c r="G30" s="41">
        <v>71.260000000000005</v>
      </c>
      <c r="H30" s="41">
        <v>27.06</v>
      </c>
      <c r="I30" s="41">
        <v>7.22</v>
      </c>
      <c r="J30" s="41">
        <v>0.19</v>
      </c>
      <c r="K30" s="41">
        <v>297.54000000000002</v>
      </c>
      <c r="L30" s="41">
        <v>24.18</v>
      </c>
      <c r="M30" s="41">
        <v>42.33</v>
      </c>
      <c r="N30" s="41">
        <v>2.5</v>
      </c>
      <c r="O30" s="41">
        <v>0</v>
      </c>
      <c r="P30" s="41">
        <v>0.67</v>
      </c>
      <c r="Q30" s="41">
        <v>9.32</v>
      </c>
      <c r="R30" s="38"/>
      <c r="S30" s="38"/>
      <c r="T30" s="38"/>
      <c r="U30" s="38"/>
    </row>
    <row r="31" spans="1:21" customFormat="1">
      <c r="A31" s="40" t="s">
        <v>179</v>
      </c>
      <c r="B31" s="41">
        <v>7.16</v>
      </c>
      <c r="C31" s="41">
        <v>11.9</v>
      </c>
      <c r="D31" s="41">
        <v>11.96</v>
      </c>
      <c r="E31" s="41">
        <v>6.49</v>
      </c>
      <c r="F31" s="41">
        <v>10.29</v>
      </c>
      <c r="G31" s="41">
        <v>72.290000000000006</v>
      </c>
      <c r="H31" s="41">
        <v>28.7</v>
      </c>
      <c r="I31" s="41">
        <v>7.11</v>
      </c>
      <c r="J31" s="41">
        <v>0.31</v>
      </c>
      <c r="K31" s="41">
        <v>275.33</v>
      </c>
      <c r="L31" s="41">
        <v>22.58</v>
      </c>
      <c r="M31" s="41">
        <v>38.43</v>
      </c>
      <c r="N31" s="41">
        <v>2.2999999999999998</v>
      </c>
      <c r="O31" s="41">
        <v>0</v>
      </c>
      <c r="P31" s="41">
        <v>0.67</v>
      </c>
      <c r="Q31" s="41">
        <v>9.32</v>
      </c>
      <c r="R31" s="38"/>
      <c r="S31" s="38"/>
      <c r="T31" s="38"/>
      <c r="U31" s="38"/>
    </row>
    <row r="32" spans="1:21" customFormat="1">
      <c r="A32" s="40" t="s">
        <v>180</v>
      </c>
      <c r="B32" s="41">
        <v>9.51</v>
      </c>
      <c r="C32" s="41">
        <v>12.14</v>
      </c>
      <c r="D32" s="41">
        <v>13.97</v>
      </c>
      <c r="E32" s="41">
        <v>7.31</v>
      </c>
      <c r="F32" s="41">
        <v>10.29</v>
      </c>
      <c r="G32" s="41">
        <v>73.319999999999993</v>
      </c>
      <c r="H32" s="41">
        <v>29.87</v>
      </c>
      <c r="I32" s="41">
        <v>7.29</v>
      </c>
      <c r="J32" s="41">
        <v>0.17</v>
      </c>
      <c r="K32" s="41">
        <v>198.77</v>
      </c>
      <c r="L32" s="41">
        <v>19.14</v>
      </c>
      <c r="M32" s="41">
        <v>29.95</v>
      </c>
      <c r="N32" s="41">
        <v>2.4</v>
      </c>
      <c r="O32" s="41">
        <v>0</v>
      </c>
      <c r="P32" s="41">
        <v>0.68</v>
      </c>
      <c r="Q32" s="41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1.78</v>
      </c>
      <c r="C34" s="18">
        <f t="shared" si="0"/>
        <v>7.06</v>
      </c>
      <c r="D34" s="18">
        <f t="shared" si="0"/>
        <v>6.15</v>
      </c>
      <c r="E34" s="18">
        <f t="shared" si="0"/>
        <v>5.35</v>
      </c>
      <c r="F34" s="18">
        <f t="shared" si="0"/>
        <v>1.3</v>
      </c>
      <c r="G34" s="18">
        <f t="shared" si="0"/>
        <v>44.37</v>
      </c>
      <c r="H34" s="18">
        <f t="shared" si="0"/>
        <v>24.03</v>
      </c>
      <c r="I34" s="18">
        <f t="shared" si="0"/>
        <v>4.8099999999999996</v>
      </c>
      <c r="J34" s="18">
        <f t="shared" si="0"/>
        <v>0.12</v>
      </c>
      <c r="K34" s="18">
        <f t="shared" si="0"/>
        <v>162.19</v>
      </c>
      <c r="L34" s="18">
        <f t="shared" si="0"/>
        <v>14.82</v>
      </c>
      <c r="M34" s="18">
        <f t="shared" si="0"/>
        <v>19.170000000000002</v>
      </c>
      <c r="N34" s="18">
        <f t="shared" si="0"/>
        <v>2.1</v>
      </c>
      <c r="O34" s="18">
        <f t="shared" si="0"/>
        <v>0</v>
      </c>
      <c r="P34" s="18">
        <f t="shared" si="0"/>
        <v>0.56999999999999995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21.7</v>
      </c>
      <c r="C35" s="3">
        <f t="shared" si="1"/>
        <v>21.57</v>
      </c>
      <c r="D35" s="3">
        <f t="shared" si="1"/>
        <v>22.18</v>
      </c>
      <c r="E35" s="3">
        <f t="shared" si="1"/>
        <v>16.899999999999999</v>
      </c>
      <c r="F35" s="3">
        <f t="shared" si="1"/>
        <v>56.27</v>
      </c>
      <c r="G35" s="3">
        <f t="shared" si="1"/>
        <v>100.83</v>
      </c>
      <c r="H35" s="3">
        <f t="shared" si="1"/>
        <v>46.42</v>
      </c>
      <c r="I35" s="3">
        <f t="shared" si="1"/>
        <v>12.12</v>
      </c>
      <c r="J35" s="3">
        <f t="shared" si="1"/>
        <v>0.75</v>
      </c>
      <c r="K35" s="3">
        <f t="shared" si="1"/>
        <v>341.03</v>
      </c>
      <c r="L35" s="3">
        <f t="shared" si="1"/>
        <v>30.96</v>
      </c>
      <c r="M35" s="3">
        <f t="shared" si="1"/>
        <v>44.98</v>
      </c>
      <c r="N35" s="3">
        <f t="shared" si="1"/>
        <v>591</v>
      </c>
      <c r="O35" s="3">
        <f t="shared" si="1"/>
        <v>0</v>
      </c>
      <c r="P35" s="3">
        <f t="shared" si="1"/>
        <v>1.83</v>
      </c>
      <c r="Q35" s="3">
        <f t="shared" si="1"/>
        <v>14.49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10.132083333333334</v>
      </c>
      <c r="C36" s="18">
        <f t="shared" si="2"/>
        <v>10.958333333333334</v>
      </c>
      <c r="D36" s="18">
        <f t="shared" si="2"/>
        <v>13.721249999999998</v>
      </c>
      <c r="E36" s="18">
        <f t="shared" si="2"/>
        <v>7.675416666666667</v>
      </c>
      <c r="F36" s="18">
        <f t="shared" si="2"/>
        <v>13.582083333333339</v>
      </c>
      <c r="G36" s="18">
        <f t="shared" si="2"/>
        <v>76.952727272727273</v>
      </c>
      <c r="H36" s="18">
        <f t="shared" si="2"/>
        <v>32.473636363636359</v>
      </c>
      <c r="I36" s="18">
        <f t="shared" si="2"/>
        <v>8.7983333333333356</v>
      </c>
      <c r="J36" s="18">
        <f t="shared" si="2"/>
        <v>0.28875000000000001</v>
      </c>
      <c r="K36" s="18">
        <f t="shared" si="2"/>
        <v>242.19750000000002</v>
      </c>
      <c r="L36" s="18">
        <f t="shared" si="2"/>
        <v>21.99</v>
      </c>
      <c r="M36" s="18">
        <f t="shared" si="2"/>
        <v>34.082500000000003</v>
      </c>
      <c r="N36" s="18">
        <f t="shared" si="2"/>
        <v>145.7416666666667</v>
      </c>
      <c r="O36" s="18">
        <f t="shared" si="2"/>
        <v>0</v>
      </c>
      <c r="P36" s="18">
        <f t="shared" si="2"/>
        <v>0.72958333333333358</v>
      </c>
      <c r="Q36" s="18">
        <f t="shared" si="2"/>
        <v>9.8316666666666617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7.3550083375158364</v>
      </c>
      <c r="C37" s="18">
        <f t="shared" ref="C37:Q37" si="3">STDEV(C9:C32)</f>
        <v>3.5677732266921711</v>
      </c>
      <c r="D37" s="18">
        <f t="shared" si="3"/>
        <v>5.3100366923320896</v>
      </c>
      <c r="E37" s="18">
        <f t="shared" si="3"/>
        <v>3.0712028222444525</v>
      </c>
      <c r="F37" s="18">
        <f t="shared" si="3"/>
        <v>16.946177709125884</v>
      </c>
      <c r="G37" s="18">
        <f t="shared" si="3"/>
        <v>17.808775039240235</v>
      </c>
      <c r="H37" s="18">
        <f t="shared" si="3"/>
        <v>5.8737069867532758</v>
      </c>
      <c r="I37" s="18">
        <f t="shared" si="3"/>
        <v>2.402371412957844</v>
      </c>
      <c r="J37" s="18">
        <f t="shared" si="3"/>
        <v>0.19063537926126664</v>
      </c>
      <c r="K37" s="18">
        <f t="shared" si="3"/>
        <v>54.054899407916459</v>
      </c>
      <c r="L37" s="18">
        <f t="shared" si="3"/>
        <v>4.2827886080064026</v>
      </c>
      <c r="M37" s="18">
        <f t="shared" si="3"/>
        <v>7.0557298639505133</v>
      </c>
      <c r="N37" s="18">
        <f t="shared" si="3"/>
        <v>219.84081971847888</v>
      </c>
      <c r="O37" s="18">
        <f t="shared" si="3"/>
        <v>0</v>
      </c>
      <c r="P37" s="18">
        <f t="shared" si="3"/>
        <v>0.24210093415524089</v>
      </c>
      <c r="Q37" s="18">
        <f t="shared" si="3"/>
        <v>1.1843643191939706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>COUNT(G9:G32)+2</f>
        <v>24</v>
      </c>
      <c r="H38" s="34">
        <f>COUNT(H9:H32)+2</f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96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J36" sqref="J36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06/11/2025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181</v>
      </c>
      <c r="B9" s="41">
        <v>8.98</v>
      </c>
      <c r="C9" s="41">
        <v>10.82</v>
      </c>
      <c r="D9" s="41">
        <v>12.85</v>
      </c>
      <c r="E9" s="41">
        <v>7</v>
      </c>
      <c r="F9" s="27" t="s">
        <v>8</v>
      </c>
      <c r="G9" s="41">
        <v>76.2</v>
      </c>
      <c r="H9" s="41">
        <v>31.36</v>
      </c>
      <c r="I9" s="41">
        <v>7.31</v>
      </c>
      <c r="J9" s="41">
        <v>0.28999999999999998</v>
      </c>
      <c r="K9" s="41">
        <v>181.89</v>
      </c>
      <c r="L9" s="41">
        <v>17.3</v>
      </c>
      <c r="M9" s="41">
        <v>25.39</v>
      </c>
      <c r="N9" s="41">
        <v>2.5</v>
      </c>
      <c r="O9" s="41">
        <v>0</v>
      </c>
      <c r="P9" s="41">
        <v>0.67</v>
      </c>
      <c r="Q9" s="41">
        <v>11.87</v>
      </c>
      <c r="R9" s="38"/>
      <c r="S9" s="38"/>
      <c r="T9" s="38"/>
      <c r="U9" s="38"/>
    </row>
    <row r="10" spans="1:21" customFormat="1">
      <c r="A10" s="40" t="s">
        <v>182</v>
      </c>
      <c r="B10" s="41">
        <v>8.0299999999999994</v>
      </c>
      <c r="C10" s="41">
        <v>8</v>
      </c>
      <c r="D10" s="41">
        <v>10.62</v>
      </c>
      <c r="E10" s="41">
        <v>6.1</v>
      </c>
      <c r="F10" s="27" t="s">
        <v>8</v>
      </c>
      <c r="G10" s="41">
        <v>76.2</v>
      </c>
      <c r="H10" s="41">
        <v>31.36</v>
      </c>
      <c r="I10" s="41">
        <v>7.29</v>
      </c>
      <c r="J10" s="41">
        <v>0.14000000000000001</v>
      </c>
      <c r="K10" s="41">
        <v>206.82</v>
      </c>
      <c r="L10" s="41">
        <v>19.03</v>
      </c>
      <c r="M10" s="41">
        <v>29.5</v>
      </c>
      <c r="N10" s="41">
        <v>2.4</v>
      </c>
      <c r="O10" s="41">
        <v>0</v>
      </c>
      <c r="P10" s="41">
        <v>0.67</v>
      </c>
      <c r="Q10" s="41">
        <v>9.32</v>
      </c>
      <c r="R10" s="38"/>
      <c r="S10" s="38"/>
      <c r="T10" s="38"/>
      <c r="U10" s="38"/>
    </row>
    <row r="11" spans="1:21" customFormat="1">
      <c r="A11" s="40" t="s">
        <v>183</v>
      </c>
      <c r="B11" s="41">
        <v>8.9499999999999993</v>
      </c>
      <c r="C11" s="41">
        <v>7.1</v>
      </c>
      <c r="D11" s="41">
        <v>10.73</v>
      </c>
      <c r="E11" s="41">
        <v>6.1</v>
      </c>
      <c r="F11" s="27" t="s">
        <v>8</v>
      </c>
      <c r="G11" s="41">
        <v>72.72</v>
      </c>
      <c r="H11" s="41">
        <v>28.8</v>
      </c>
      <c r="I11" s="41">
        <v>7.61</v>
      </c>
      <c r="J11" s="41">
        <v>0.11</v>
      </c>
      <c r="K11" s="41">
        <v>178.09</v>
      </c>
      <c r="L11" s="41">
        <v>16.989999999999998</v>
      </c>
      <c r="M11" s="41">
        <v>24.74</v>
      </c>
      <c r="N11" s="41">
        <v>2.1</v>
      </c>
      <c r="O11" s="41">
        <v>0</v>
      </c>
      <c r="P11" s="41">
        <v>0.67</v>
      </c>
      <c r="Q11" s="41">
        <v>9.32</v>
      </c>
      <c r="R11" s="38"/>
      <c r="S11" s="38"/>
      <c r="T11" s="38"/>
      <c r="U11" s="38"/>
    </row>
    <row r="12" spans="1:21" customFormat="1">
      <c r="A12" s="40" t="s">
        <v>184</v>
      </c>
      <c r="B12" s="41">
        <v>9.99</v>
      </c>
      <c r="C12" s="41">
        <v>7.04</v>
      </c>
      <c r="D12" s="41">
        <v>11.66</v>
      </c>
      <c r="E12" s="41">
        <v>6.46</v>
      </c>
      <c r="F12" s="27" t="s">
        <v>8</v>
      </c>
      <c r="G12" s="41">
        <v>61.38</v>
      </c>
      <c r="H12" s="41">
        <v>23.97</v>
      </c>
      <c r="I12" s="41">
        <v>8.1199999999999992</v>
      </c>
      <c r="J12" s="41">
        <v>0.16</v>
      </c>
      <c r="K12" s="41">
        <v>221.45</v>
      </c>
      <c r="L12" s="41">
        <v>20.260000000000002</v>
      </c>
      <c r="M12" s="41">
        <v>32.94</v>
      </c>
      <c r="N12" s="41">
        <v>2.1</v>
      </c>
      <c r="O12" s="41">
        <v>0</v>
      </c>
      <c r="P12" s="41">
        <v>0.68</v>
      </c>
      <c r="Q12" s="41">
        <v>9.48</v>
      </c>
      <c r="R12" s="38"/>
      <c r="S12" s="38"/>
      <c r="T12" s="38"/>
      <c r="U12" s="38"/>
    </row>
    <row r="13" spans="1:21" customFormat="1">
      <c r="A13" s="40" t="s">
        <v>185</v>
      </c>
      <c r="B13" s="41">
        <v>11.38</v>
      </c>
      <c r="C13" s="41">
        <v>7.14</v>
      </c>
      <c r="D13" s="41">
        <v>12.86</v>
      </c>
      <c r="E13" s="41">
        <v>6.83</v>
      </c>
      <c r="F13" s="27" t="s">
        <v>8</v>
      </c>
      <c r="G13" s="41">
        <v>58.75</v>
      </c>
      <c r="H13" s="41">
        <v>23.97</v>
      </c>
      <c r="I13" s="41">
        <v>8.56</v>
      </c>
      <c r="J13" s="41">
        <v>0.1</v>
      </c>
      <c r="K13" s="41">
        <v>203.68</v>
      </c>
      <c r="L13" s="41">
        <v>19.2</v>
      </c>
      <c r="M13" s="41">
        <v>30.33</v>
      </c>
      <c r="N13" s="41">
        <v>2.1</v>
      </c>
      <c r="O13" s="41">
        <v>0</v>
      </c>
      <c r="P13" s="41">
        <v>0.67</v>
      </c>
      <c r="Q13" s="41">
        <v>9.32</v>
      </c>
      <c r="R13" s="38"/>
      <c r="S13" s="38"/>
      <c r="T13" s="38"/>
      <c r="U13" s="38"/>
    </row>
    <row r="14" spans="1:21" customFormat="1">
      <c r="A14" s="40" t="s">
        <v>186</v>
      </c>
      <c r="B14" s="41">
        <v>14.14</v>
      </c>
      <c r="C14" s="41">
        <v>7.64</v>
      </c>
      <c r="D14" s="41">
        <v>15.29</v>
      </c>
      <c r="E14" s="41">
        <v>7.03</v>
      </c>
      <c r="F14" s="27" t="s">
        <v>8</v>
      </c>
      <c r="G14" s="41">
        <v>59.36</v>
      </c>
      <c r="H14" s="41">
        <v>24.89</v>
      </c>
      <c r="I14" s="41">
        <v>8.86</v>
      </c>
      <c r="J14" s="41">
        <v>0.14000000000000001</v>
      </c>
      <c r="K14" s="41">
        <v>219.23</v>
      </c>
      <c r="L14" s="41">
        <v>19.32</v>
      </c>
      <c r="M14" s="41">
        <v>30.61</v>
      </c>
      <c r="N14" s="41">
        <v>2.2999999999999998</v>
      </c>
      <c r="O14" s="41">
        <v>0</v>
      </c>
      <c r="P14" s="41">
        <v>0.68</v>
      </c>
      <c r="Q14" s="41">
        <v>9.32</v>
      </c>
      <c r="R14" s="38"/>
      <c r="S14" s="38"/>
      <c r="T14" s="38"/>
      <c r="U14" s="38"/>
    </row>
    <row r="15" spans="1:21" customFormat="1">
      <c r="A15" s="40" t="s">
        <v>187</v>
      </c>
      <c r="B15" s="41">
        <v>16.98</v>
      </c>
      <c r="C15" s="41">
        <v>8.4499999999999993</v>
      </c>
      <c r="D15" s="41">
        <v>18.03</v>
      </c>
      <c r="E15" s="41">
        <v>7.22</v>
      </c>
      <c r="F15" s="27" t="s">
        <v>8</v>
      </c>
      <c r="G15" s="41">
        <v>65.53</v>
      </c>
      <c r="H15" s="41">
        <v>27.92</v>
      </c>
      <c r="I15" s="41">
        <v>9.0299999999999994</v>
      </c>
      <c r="J15" s="41">
        <v>0.19</v>
      </c>
      <c r="K15" s="41">
        <v>196.52</v>
      </c>
      <c r="L15" s="41">
        <v>18.940000000000001</v>
      </c>
      <c r="M15" s="41">
        <v>29.42</v>
      </c>
      <c r="N15" s="41">
        <v>26.6</v>
      </c>
      <c r="O15" s="41">
        <v>0</v>
      </c>
      <c r="P15" s="41">
        <v>0.68</v>
      </c>
      <c r="Q15" s="41">
        <v>9.32</v>
      </c>
      <c r="R15" s="38"/>
      <c r="S15" s="38"/>
      <c r="T15" s="38"/>
      <c r="U15" s="38"/>
    </row>
    <row r="16" spans="1:21" customFormat="1">
      <c r="A16" s="40" t="s">
        <v>188</v>
      </c>
      <c r="B16" s="41">
        <v>17.11</v>
      </c>
      <c r="C16" s="41">
        <v>9.34</v>
      </c>
      <c r="D16" s="41">
        <v>18.489999999999998</v>
      </c>
      <c r="E16" s="41">
        <v>7.56</v>
      </c>
      <c r="F16" s="27" t="s">
        <v>8</v>
      </c>
      <c r="G16" s="41">
        <v>72.650000000000006</v>
      </c>
      <c r="H16" s="41">
        <v>27.92</v>
      </c>
      <c r="I16" s="41">
        <v>9.49</v>
      </c>
      <c r="J16" s="41">
        <v>0.25</v>
      </c>
      <c r="K16" s="41">
        <v>357.53</v>
      </c>
      <c r="L16" s="41">
        <v>19.66</v>
      </c>
      <c r="M16" s="41">
        <v>28.88</v>
      </c>
      <c r="N16" s="41">
        <v>150.30000000000001</v>
      </c>
      <c r="O16" s="41">
        <v>0</v>
      </c>
      <c r="P16" s="41">
        <v>0.72</v>
      </c>
      <c r="Q16" s="41">
        <v>9.32</v>
      </c>
      <c r="R16" s="38"/>
      <c r="S16" s="38"/>
      <c r="T16" s="38"/>
      <c r="U16" s="38"/>
    </row>
    <row r="17" spans="1:21" customFormat="1">
      <c r="A17" s="40" t="s">
        <v>189</v>
      </c>
      <c r="B17" s="41">
        <v>16.82</v>
      </c>
      <c r="C17" s="41">
        <v>10.45</v>
      </c>
      <c r="D17" s="41">
        <v>18.66</v>
      </c>
      <c r="E17" s="41">
        <v>11.12</v>
      </c>
      <c r="F17" s="27" t="s">
        <v>8</v>
      </c>
      <c r="G17" s="41">
        <v>89.75</v>
      </c>
      <c r="H17" s="41">
        <v>34.86</v>
      </c>
      <c r="I17" s="41">
        <v>10.26</v>
      </c>
      <c r="J17" s="41">
        <v>0.61</v>
      </c>
      <c r="K17" s="41">
        <v>37.33</v>
      </c>
      <c r="L17" s="41">
        <v>16.79</v>
      </c>
      <c r="M17" s="41">
        <v>17.37</v>
      </c>
      <c r="N17" s="41">
        <v>318.10000000000002</v>
      </c>
      <c r="O17" s="41">
        <v>0</v>
      </c>
      <c r="P17" s="41">
        <v>0.76</v>
      </c>
      <c r="Q17" s="41">
        <v>9.32</v>
      </c>
      <c r="R17" s="38"/>
      <c r="S17" s="38"/>
      <c r="T17" s="38"/>
      <c r="U17" s="38"/>
    </row>
    <row r="18" spans="1:21" customFormat="1">
      <c r="A18" s="40" t="s">
        <v>190</v>
      </c>
      <c r="B18" s="41">
        <v>15.64</v>
      </c>
      <c r="C18" s="41">
        <v>11.46</v>
      </c>
      <c r="D18" s="41">
        <v>18.11</v>
      </c>
      <c r="E18" s="41">
        <v>9.2899999999999991</v>
      </c>
      <c r="F18" s="27" t="s">
        <v>8</v>
      </c>
      <c r="G18" s="41">
        <v>98.65</v>
      </c>
      <c r="H18" s="41">
        <v>34.86</v>
      </c>
      <c r="I18" s="41">
        <v>10.14</v>
      </c>
      <c r="J18" s="41">
        <v>0.85</v>
      </c>
      <c r="K18" s="41">
        <v>41.07</v>
      </c>
      <c r="L18" s="41">
        <v>17.78</v>
      </c>
      <c r="M18" s="41">
        <v>16.97</v>
      </c>
      <c r="N18" s="41">
        <v>398.6</v>
      </c>
      <c r="O18" s="41">
        <v>0</v>
      </c>
      <c r="P18" s="41">
        <v>0.73</v>
      </c>
      <c r="Q18" s="41">
        <v>9.32</v>
      </c>
      <c r="R18" s="38"/>
      <c r="S18" s="38"/>
      <c r="T18" s="38"/>
      <c r="U18" s="38"/>
    </row>
    <row r="19" spans="1:21" customFormat="1">
      <c r="A19" s="40" t="s">
        <v>191</v>
      </c>
      <c r="B19" s="41">
        <v>11.81</v>
      </c>
      <c r="C19" s="41">
        <v>11.11</v>
      </c>
      <c r="D19" s="41">
        <v>15.28</v>
      </c>
      <c r="E19" s="41">
        <v>7.57</v>
      </c>
      <c r="F19" s="27" t="s">
        <v>8</v>
      </c>
      <c r="G19" s="41">
        <v>98.65</v>
      </c>
      <c r="H19" s="41">
        <v>31.74</v>
      </c>
      <c r="I19" s="41">
        <v>9.2100000000000009</v>
      </c>
      <c r="J19" s="41">
        <v>1.1299999999999999</v>
      </c>
      <c r="K19" s="41">
        <v>36.979999999999997</v>
      </c>
      <c r="L19" s="41">
        <v>14.52</v>
      </c>
      <c r="M19" s="41">
        <v>6.89</v>
      </c>
      <c r="N19" s="41">
        <v>486.8</v>
      </c>
      <c r="O19" s="41">
        <v>0</v>
      </c>
      <c r="P19" s="41">
        <v>0.72</v>
      </c>
      <c r="Q19" s="41">
        <v>9.32</v>
      </c>
      <c r="R19" s="38"/>
      <c r="S19" s="38"/>
      <c r="T19" s="38"/>
      <c r="U19" s="38"/>
    </row>
    <row r="20" spans="1:21" customFormat="1">
      <c r="A20" s="40" t="s">
        <v>192</v>
      </c>
      <c r="B20" s="41">
        <v>7.02</v>
      </c>
      <c r="C20" s="41">
        <v>11.06</v>
      </c>
      <c r="D20" s="41">
        <v>11.41</v>
      </c>
      <c r="E20" s="41">
        <v>7.42</v>
      </c>
      <c r="F20" s="27" t="s">
        <v>8</v>
      </c>
      <c r="G20" s="41">
        <v>89.36</v>
      </c>
      <c r="H20" s="41">
        <v>29.86</v>
      </c>
      <c r="I20" s="41">
        <v>8.43</v>
      </c>
      <c r="J20" s="41">
        <v>1.1200000000000001</v>
      </c>
      <c r="K20" s="41">
        <v>45.78</v>
      </c>
      <c r="L20" s="41">
        <v>12.36</v>
      </c>
      <c r="M20" s="41">
        <v>3.33</v>
      </c>
      <c r="N20" s="41">
        <v>488.6</v>
      </c>
      <c r="O20" s="41">
        <v>0</v>
      </c>
      <c r="P20" s="41">
        <v>0.68</v>
      </c>
      <c r="Q20" s="41">
        <v>9.32</v>
      </c>
      <c r="R20" s="38"/>
      <c r="S20" s="38"/>
      <c r="T20" s="38"/>
      <c r="U20" s="38"/>
    </row>
    <row r="21" spans="1:21" customFormat="1">
      <c r="A21" s="40" t="s">
        <v>193</v>
      </c>
      <c r="B21" s="41">
        <v>4.57</v>
      </c>
      <c r="C21" s="41">
        <v>10.050000000000001</v>
      </c>
      <c r="D21" s="41">
        <v>8.92</v>
      </c>
      <c r="E21" s="41">
        <v>7.65</v>
      </c>
      <c r="F21" s="27" t="s">
        <v>8</v>
      </c>
      <c r="G21" s="41">
        <v>88.76</v>
      </c>
      <c r="H21" s="41">
        <v>28.28</v>
      </c>
      <c r="I21" s="41">
        <v>8.0299999999999994</v>
      </c>
      <c r="J21" s="41">
        <v>0.77</v>
      </c>
      <c r="K21" s="41">
        <v>49.51</v>
      </c>
      <c r="L21" s="41">
        <v>16.22</v>
      </c>
      <c r="M21" s="41">
        <v>14.17</v>
      </c>
      <c r="N21" s="41">
        <v>560.9</v>
      </c>
      <c r="O21" s="41">
        <v>0</v>
      </c>
      <c r="P21" s="41">
        <v>0.67</v>
      </c>
      <c r="Q21" s="41">
        <v>9.32</v>
      </c>
      <c r="R21" s="38"/>
      <c r="S21" s="38"/>
      <c r="T21" s="38"/>
      <c r="U21" s="38"/>
    </row>
    <row r="22" spans="1:21" customFormat="1">
      <c r="A22" s="40" t="s">
        <v>194</v>
      </c>
      <c r="B22" s="41">
        <v>3.42</v>
      </c>
      <c r="C22" s="41">
        <v>9.36</v>
      </c>
      <c r="D22" s="41">
        <v>7.6</v>
      </c>
      <c r="E22" s="41">
        <v>7.36</v>
      </c>
      <c r="F22" s="27" t="s">
        <v>8</v>
      </c>
      <c r="G22" s="41">
        <v>79.98</v>
      </c>
      <c r="H22" s="41">
        <v>28.28</v>
      </c>
      <c r="I22" s="41">
        <v>7.51</v>
      </c>
      <c r="J22" s="41">
        <v>0.79</v>
      </c>
      <c r="K22" s="41">
        <v>39.17</v>
      </c>
      <c r="L22" s="41">
        <v>16.38</v>
      </c>
      <c r="M22" s="41">
        <v>11.87</v>
      </c>
      <c r="N22" s="41">
        <v>469.7</v>
      </c>
      <c r="O22" s="41">
        <v>0</v>
      </c>
      <c r="P22" s="41">
        <v>0.64</v>
      </c>
      <c r="Q22" s="41">
        <v>9.32</v>
      </c>
      <c r="R22" s="38"/>
      <c r="S22" s="38"/>
      <c r="T22" s="38"/>
      <c r="U22" s="38"/>
    </row>
    <row r="23" spans="1:21" customFormat="1">
      <c r="A23" s="40" t="s">
        <v>195</v>
      </c>
      <c r="B23" s="41">
        <v>3.32</v>
      </c>
      <c r="C23" s="41">
        <v>10.4</v>
      </c>
      <c r="D23" s="41">
        <v>8.09</v>
      </c>
      <c r="E23" s="41">
        <v>7.6</v>
      </c>
      <c r="F23" s="27" t="s">
        <v>8</v>
      </c>
      <c r="G23" s="41">
        <v>72.23</v>
      </c>
      <c r="H23" s="41">
        <v>28.63</v>
      </c>
      <c r="I23" s="41">
        <v>7.03</v>
      </c>
      <c r="J23" s="41">
        <v>0.86</v>
      </c>
      <c r="K23" s="41">
        <v>42.43</v>
      </c>
      <c r="L23" s="41">
        <v>11.01</v>
      </c>
      <c r="M23" s="41">
        <v>6.92</v>
      </c>
      <c r="N23" s="41">
        <v>111</v>
      </c>
      <c r="O23" s="41">
        <v>0</v>
      </c>
      <c r="P23" s="41">
        <v>0.62</v>
      </c>
      <c r="Q23" s="41">
        <v>9.32</v>
      </c>
      <c r="R23" s="38"/>
      <c r="S23" s="38"/>
      <c r="T23" s="38"/>
      <c r="U23" s="38"/>
    </row>
    <row r="24" spans="1:21" customFormat="1">
      <c r="A24" s="40" t="s">
        <v>196</v>
      </c>
      <c r="B24" s="41">
        <v>3.41</v>
      </c>
      <c r="C24" s="41">
        <v>9.7899999999999991</v>
      </c>
      <c r="D24" s="41">
        <v>7.85</v>
      </c>
      <c r="E24" s="41">
        <v>7.5</v>
      </c>
      <c r="F24" s="27" t="s">
        <v>8</v>
      </c>
      <c r="G24" s="41">
        <v>55.33</v>
      </c>
      <c r="H24" s="41">
        <v>28.63</v>
      </c>
      <c r="I24" s="41">
        <v>6.77</v>
      </c>
      <c r="J24" s="41">
        <v>0.92</v>
      </c>
      <c r="K24" s="41">
        <v>84.94</v>
      </c>
      <c r="L24" s="41">
        <v>13.12</v>
      </c>
      <c r="M24" s="41">
        <v>13.69</v>
      </c>
      <c r="N24" s="41">
        <v>49.4</v>
      </c>
      <c r="O24" s="41">
        <v>0</v>
      </c>
      <c r="P24" s="41">
        <v>0.62</v>
      </c>
      <c r="Q24" s="41">
        <v>9.32</v>
      </c>
      <c r="R24" s="38"/>
      <c r="S24" s="38"/>
      <c r="T24" s="38"/>
      <c r="U24" s="38"/>
    </row>
    <row r="25" spans="1:21" customFormat="1">
      <c r="A25" s="40" t="s">
        <v>197</v>
      </c>
      <c r="B25" s="41">
        <v>5.37</v>
      </c>
      <c r="C25" s="41">
        <v>12.25</v>
      </c>
      <c r="D25" s="41">
        <v>10.19</v>
      </c>
      <c r="E25" s="41">
        <v>7.37</v>
      </c>
      <c r="F25" s="27" t="s">
        <v>8</v>
      </c>
      <c r="G25" s="41">
        <v>58.52</v>
      </c>
      <c r="H25" s="41">
        <v>23.5</v>
      </c>
      <c r="I25" s="41">
        <v>6.38</v>
      </c>
      <c r="J25" s="41">
        <v>0.68</v>
      </c>
      <c r="K25" s="41">
        <v>44.2</v>
      </c>
      <c r="L25" s="41">
        <v>7.24</v>
      </c>
      <c r="M25" s="41">
        <v>-0.21</v>
      </c>
      <c r="N25" s="41">
        <v>26.3</v>
      </c>
      <c r="O25" s="41">
        <v>0</v>
      </c>
      <c r="P25" s="41">
        <v>0.63</v>
      </c>
      <c r="Q25" s="41">
        <v>9.32</v>
      </c>
      <c r="R25" s="38"/>
      <c r="S25" s="38"/>
      <c r="T25" s="38"/>
      <c r="U25" s="38"/>
    </row>
    <row r="26" spans="1:21" customFormat="1">
      <c r="A26" s="40" t="s">
        <v>198</v>
      </c>
      <c r="B26" s="41">
        <v>5.29</v>
      </c>
      <c r="C26" s="41">
        <v>15.01</v>
      </c>
      <c r="D26" s="41">
        <v>12.09</v>
      </c>
      <c r="E26" s="41">
        <v>7.35</v>
      </c>
      <c r="F26" s="27" t="s">
        <v>8</v>
      </c>
      <c r="G26" s="41">
        <v>62.29</v>
      </c>
      <c r="H26" s="41">
        <v>23.61</v>
      </c>
      <c r="I26" s="41">
        <v>6.58</v>
      </c>
      <c r="J26" s="41">
        <v>0.35</v>
      </c>
      <c r="K26" s="41">
        <v>133.88999999999999</v>
      </c>
      <c r="L26" s="41">
        <v>13.42</v>
      </c>
      <c r="M26" s="41">
        <v>15.58</v>
      </c>
      <c r="N26" s="41">
        <v>5.8</v>
      </c>
      <c r="O26" s="41">
        <v>0</v>
      </c>
      <c r="P26" s="41">
        <v>0.68</v>
      </c>
      <c r="Q26" s="41">
        <v>9.32</v>
      </c>
      <c r="R26" s="38"/>
      <c r="S26" s="38"/>
      <c r="T26" s="38"/>
      <c r="U26" s="38"/>
    </row>
    <row r="27" spans="1:21" customFormat="1">
      <c r="A27" s="40" t="s">
        <v>199</v>
      </c>
      <c r="B27" s="41">
        <v>4.47</v>
      </c>
      <c r="C27" s="41">
        <v>12.78</v>
      </c>
      <c r="D27" s="41">
        <v>10.26</v>
      </c>
      <c r="E27" s="41">
        <v>6.09</v>
      </c>
      <c r="F27" s="27" t="s">
        <v>8</v>
      </c>
      <c r="G27" s="41">
        <v>86.41</v>
      </c>
      <c r="H27" s="41">
        <v>27.29</v>
      </c>
      <c r="I27" s="41">
        <v>7.51</v>
      </c>
      <c r="J27" s="41">
        <v>0.25</v>
      </c>
      <c r="K27" s="41">
        <v>172.88</v>
      </c>
      <c r="L27" s="41">
        <v>16.7</v>
      </c>
      <c r="M27" s="41">
        <v>23.91</v>
      </c>
      <c r="N27" s="41">
        <v>2.6</v>
      </c>
      <c r="O27" s="41">
        <v>0</v>
      </c>
      <c r="P27" s="41">
        <v>0.7</v>
      </c>
      <c r="Q27" s="41">
        <v>9.32</v>
      </c>
      <c r="R27" s="38"/>
      <c r="S27" s="38"/>
      <c r="T27" s="38"/>
      <c r="U27" s="38"/>
    </row>
    <row r="28" spans="1:21" customFormat="1">
      <c r="A28" s="40" t="s">
        <v>200</v>
      </c>
      <c r="B28" s="41">
        <v>4.51</v>
      </c>
      <c r="C28" s="41">
        <v>11.2</v>
      </c>
      <c r="D28" s="41">
        <v>9.4700000000000006</v>
      </c>
      <c r="E28" s="41">
        <v>5.91</v>
      </c>
      <c r="F28" s="27" t="s">
        <v>8</v>
      </c>
      <c r="G28" s="41">
        <v>107.72</v>
      </c>
      <c r="H28" s="41">
        <v>31.59</v>
      </c>
      <c r="I28" s="41">
        <v>8.1999999999999993</v>
      </c>
      <c r="J28" s="41">
        <v>0.26</v>
      </c>
      <c r="K28" s="41">
        <v>177.63</v>
      </c>
      <c r="L28" s="41">
        <v>17.16</v>
      </c>
      <c r="M28" s="41">
        <v>25</v>
      </c>
      <c r="N28" s="41">
        <v>2.2999999999999998</v>
      </c>
      <c r="O28" s="41">
        <v>0</v>
      </c>
      <c r="P28" s="41">
        <v>0.73</v>
      </c>
      <c r="Q28" s="41">
        <v>9.32</v>
      </c>
      <c r="R28" s="38"/>
      <c r="S28" s="38"/>
      <c r="T28" s="38"/>
      <c r="U28" s="38"/>
    </row>
    <row r="29" spans="1:21" customFormat="1">
      <c r="A29" s="40" t="s">
        <v>201</v>
      </c>
      <c r="B29" s="41">
        <v>4.42</v>
      </c>
      <c r="C29" s="41">
        <v>8.89</v>
      </c>
      <c r="D29" s="41">
        <v>8.16</v>
      </c>
      <c r="E29" s="41">
        <v>5.77</v>
      </c>
      <c r="F29" s="27" t="s">
        <v>8</v>
      </c>
      <c r="G29" s="41">
        <v>107.72</v>
      </c>
      <c r="H29" s="41">
        <v>34.200000000000003</v>
      </c>
      <c r="I29" s="41">
        <v>8.32</v>
      </c>
      <c r="J29" s="41">
        <v>0.21</v>
      </c>
      <c r="K29" s="41">
        <v>207.73</v>
      </c>
      <c r="L29" s="41">
        <v>19.11</v>
      </c>
      <c r="M29" s="41">
        <v>29.96</v>
      </c>
      <c r="N29" s="41">
        <v>2.2999999999999998</v>
      </c>
      <c r="O29" s="41">
        <v>0</v>
      </c>
      <c r="P29" s="41">
        <v>0.73</v>
      </c>
      <c r="Q29" s="41">
        <v>9.32</v>
      </c>
      <c r="R29" s="38"/>
      <c r="S29" s="38"/>
      <c r="T29" s="38"/>
      <c r="U29" s="38"/>
    </row>
    <row r="30" spans="1:21" customFormat="1">
      <c r="A30" s="40" t="s">
        <v>202</v>
      </c>
      <c r="B30" s="41">
        <v>5.09</v>
      </c>
      <c r="C30" s="41">
        <v>7.87</v>
      </c>
      <c r="D30" s="41">
        <v>7.88</v>
      </c>
      <c r="E30" s="41">
        <v>5.48</v>
      </c>
      <c r="F30" s="27" t="s">
        <v>8</v>
      </c>
      <c r="G30" s="41">
        <v>106.46</v>
      </c>
      <c r="H30" s="41">
        <v>34.200000000000003</v>
      </c>
      <c r="I30" s="41">
        <v>8.7200000000000006</v>
      </c>
      <c r="J30" s="41">
        <v>0.27</v>
      </c>
      <c r="K30" s="41">
        <v>239.39</v>
      </c>
      <c r="L30" s="41">
        <v>21.61</v>
      </c>
      <c r="M30" s="41">
        <v>36.31</v>
      </c>
      <c r="N30" s="41">
        <v>2.4</v>
      </c>
      <c r="O30" s="41">
        <v>0</v>
      </c>
      <c r="P30" s="41">
        <v>0.75</v>
      </c>
      <c r="Q30" s="41">
        <v>9.32</v>
      </c>
      <c r="R30" s="38"/>
      <c r="S30" s="38"/>
      <c r="T30" s="38"/>
      <c r="U30" s="38"/>
    </row>
    <row r="31" spans="1:21" customFormat="1">
      <c r="A31" s="40" t="s">
        <v>203</v>
      </c>
      <c r="B31" s="41">
        <v>7.26</v>
      </c>
      <c r="C31" s="41">
        <v>7.85</v>
      </c>
      <c r="D31" s="41">
        <v>9.92</v>
      </c>
      <c r="E31" s="41">
        <v>5.72</v>
      </c>
      <c r="F31" s="27" t="s">
        <v>8</v>
      </c>
      <c r="G31" s="41">
        <v>105.5</v>
      </c>
      <c r="H31" s="41">
        <v>32.049999999999997</v>
      </c>
      <c r="I31" s="41">
        <v>9.07</v>
      </c>
      <c r="J31" s="41">
        <v>0.28999999999999998</v>
      </c>
      <c r="K31" s="41">
        <v>313.79000000000002</v>
      </c>
      <c r="L31" s="41">
        <v>19.68</v>
      </c>
      <c r="M31" s="41">
        <v>31.37</v>
      </c>
      <c r="N31" s="41">
        <v>2.1</v>
      </c>
      <c r="O31" s="41">
        <v>0</v>
      </c>
      <c r="P31" s="41">
        <v>0.77</v>
      </c>
      <c r="Q31" s="41">
        <v>9.32</v>
      </c>
      <c r="R31" s="38"/>
      <c r="S31" s="38"/>
      <c r="T31" s="38"/>
      <c r="U31" s="38"/>
    </row>
    <row r="32" spans="1:21" customFormat="1">
      <c r="A32" s="40" t="s">
        <v>204</v>
      </c>
      <c r="B32" s="41">
        <v>9.27</v>
      </c>
      <c r="C32" s="41">
        <v>8.3800000000000008</v>
      </c>
      <c r="D32" s="41">
        <v>11.81</v>
      </c>
      <c r="E32" s="41">
        <v>5.97</v>
      </c>
      <c r="F32" s="27" t="s">
        <v>8</v>
      </c>
      <c r="G32" s="41">
        <v>105.67</v>
      </c>
      <c r="H32" s="41">
        <v>38.72</v>
      </c>
      <c r="I32" s="41">
        <v>9.36</v>
      </c>
      <c r="J32" s="41">
        <v>0.23</v>
      </c>
      <c r="K32" s="41">
        <v>190.31</v>
      </c>
      <c r="L32" s="41">
        <v>17.350000000000001</v>
      </c>
      <c r="M32" s="41">
        <v>25.7</v>
      </c>
      <c r="N32" s="41">
        <v>2.5</v>
      </c>
      <c r="O32" s="41">
        <v>0</v>
      </c>
      <c r="P32" s="41">
        <v>0.78</v>
      </c>
      <c r="Q32" s="41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3.32</v>
      </c>
      <c r="C34" s="18">
        <f t="shared" si="0"/>
        <v>7.04</v>
      </c>
      <c r="D34" s="18">
        <f t="shared" si="0"/>
        <v>7.6</v>
      </c>
      <c r="E34" s="18">
        <f t="shared" si="0"/>
        <v>5.48</v>
      </c>
      <c r="F34" s="18">
        <f t="shared" si="0"/>
        <v>0</v>
      </c>
      <c r="G34" s="18">
        <f t="shared" si="0"/>
        <v>55.33</v>
      </c>
      <c r="H34" s="18">
        <f t="shared" si="0"/>
        <v>23.5</v>
      </c>
      <c r="I34" s="18">
        <f t="shared" si="0"/>
        <v>6.38</v>
      </c>
      <c r="J34" s="18">
        <f t="shared" si="0"/>
        <v>0.1</v>
      </c>
      <c r="K34" s="18">
        <f t="shared" si="0"/>
        <v>36.979999999999997</v>
      </c>
      <c r="L34" s="18">
        <f t="shared" si="0"/>
        <v>7.24</v>
      </c>
      <c r="M34" s="18">
        <f t="shared" si="0"/>
        <v>-0.21</v>
      </c>
      <c r="N34" s="18">
        <f t="shared" si="0"/>
        <v>2.1</v>
      </c>
      <c r="O34" s="18">
        <f t="shared" si="0"/>
        <v>0</v>
      </c>
      <c r="P34" s="18">
        <f t="shared" si="0"/>
        <v>0.62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17.11</v>
      </c>
      <c r="C35" s="3">
        <f t="shared" si="1"/>
        <v>15.01</v>
      </c>
      <c r="D35" s="3">
        <f t="shared" si="1"/>
        <v>18.66</v>
      </c>
      <c r="E35" s="3">
        <f t="shared" si="1"/>
        <v>11.12</v>
      </c>
      <c r="F35" s="3">
        <f t="shared" si="1"/>
        <v>0</v>
      </c>
      <c r="G35" s="3">
        <f t="shared" si="1"/>
        <v>107.72</v>
      </c>
      <c r="H35" s="3">
        <f t="shared" si="1"/>
        <v>38.72</v>
      </c>
      <c r="I35" s="3">
        <f t="shared" si="1"/>
        <v>10.26</v>
      </c>
      <c r="J35" s="3">
        <f t="shared" si="1"/>
        <v>1.1299999999999999</v>
      </c>
      <c r="K35" s="3">
        <f t="shared" si="1"/>
        <v>357.53</v>
      </c>
      <c r="L35" s="3">
        <f t="shared" si="1"/>
        <v>21.61</v>
      </c>
      <c r="M35" s="3">
        <f t="shared" si="1"/>
        <v>36.31</v>
      </c>
      <c r="N35" s="3">
        <f t="shared" si="1"/>
        <v>560.9</v>
      </c>
      <c r="O35" s="3">
        <f t="shared" si="1"/>
        <v>0</v>
      </c>
      <c r="P35" s="3">
        <f t="shared" si="1"/>
        <v>0.78</v>
      </c>
      <c r="Q35" s="3">
        <f t="shared" si="1"/>
        <v>11.87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8.6354166666666643</v>
      </c>
      <c r="C36" s="18">
        <f t="shared" si="2"/>
        <v>9.7266666666666648</v>
      </c>
      <c r="D36" s="18">
        <f t="shared" si="2"/>
        <v>11.926250000000001</v>
      </c>
      <c r="E36" s="18">
        <f t="shared" si="2"/>
        <v>7.0612500000000002</v>
      </c>
      <c r="F36" s="18" t="e">
        <f t="shared" si="2"/>
        <v>#DIV/0!</v>
      </c>
      <c r="G36" s="18">
        <f t="shared" si="2"/>
        <v>81.491249999999994</v>
      </c>
      <c r="H36" s="18">
        <f t="shared" si="2"/>
        <v>29.603750000000005</v>
      </c>
      <c r="I36" s="18">
        <f t="shared" si="2"/>
        <v>8.2412499999999991</v>
      </c>
      <c r="J36" s="18">
        <f t="shared" si="2"/>
        <v>0.45708333333333329</v>
      </c>
      <c r="K36" s="18">
        <f t="shared" si="2"/>
        <v>150.92666666666665</v>
      </c>
      <c r="L36" s="18">
        <f t="shared" si="2"/>
        <v>16.714583333333334</v>
      </c>
      <c r="M36" s="18">
        <f t="shared" si="2"/>
        <v>21.276666666666667</v>
      </c>
      <c r="N36" s="18">
        <f t="shared" si="2"/>
        <v>129.9916666666667</v>
      </c>
      <c r="O36" s="18">
        <f t="shared" si="2"/>
        <v>0</v>
      </c>
      <c r="P36" s="18">
        <f t="shared" si="2"/>
        <v>0.69374999999999998</v>
      </c>
      <c r="Q36" s="18">
        <f t="shared" si="2"/>
        <v>9.432916666666662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4.6559340156375768</v>
      </c>
      <c r="C37" s="18">
        <f t="shared" ref="C37:Q37" si="3">STDEV(C9:C32)</f>
        <v>2.0247504766646323</v>
      </c>
      <c r="D37" s="18">
        <f t="shared" si="3"/>
        <v>3.594778595709879</v>
      </c>
      <c r="E37" s="18">
        <f t="shared" si="3"/>
        <v>1.2317090018415018</v>
      </c>
      <c r="F37" s="18" t="e">
        <f t="shared" si="3"/>
        <v>#DIV/0!</v>
      </c>
      <c r="G37" s="18">
        <f t="shared" si="3"/>
        <v>18.060855175597652</v>
      </c>
      <c r="H37" s="18">
        <f t="shared" si="3"/>
        <v>4.0501731712842668</v>
      </c>
      <c r="I37" s="18">
        <f t="shared" si="3"/>
        <v>1.0764527595200273</v>
      </c>
      <c r="J37" s="18">
        <f t="shared" si="3"/>
        <v>0.33964788885814845</v>
      </c>
      <c r="K37" s="18">
        <f t="shared" si="3"/>
        <v>93.697682522808066</v>
      </c>
      <c r="L37" s="18">
        <f t="shared" si="3"/>
        <v>3.3323421442983117</v>
      </c>
      <c r="M37" s="18">
        <f t="shared" si="3"/>
        <v>10.276753702734469</v>
      </c>
      <c r="N37" s="18">
        <f t="shared" si="3"/>
        <v>198.28627727007026</v>
      </c>
      <c r="O37" s="18">
        <f t="shared" si="3"/>
        <v>0</v>
      </c>
      <c r="P37" s="18">
        <f t="shared" si="3"/>
        <v>4.5570060728318193E-2</v>
      </c>
      <c r="Q37" s="18">
        <f t="shared" si="3"/>
        <v>0.52012104917711344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>COUNT(F9:F32)+24</f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96"/>
  <sheetViews>
    <sheetView zoomScale="85" zoomScaleNormal="85" workbookViewId="0">
      <pane xSplit="2" ySplit="8" topLeftCell="C30" activePane="bottomRight" state="frozen"/>
      <selection activeCell="G19" sqref="G19"/>
      <selection pane="topRight" activeCell="G19" sqref="G19"/>
      <selection pane="bottomLeft" activeCell="G19" sqref="G19"/>
      <selection pane="bottomRight" activeCell="F39" sqref="F3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07/11/2025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205</v>
      </c>
      <c r="B9" s="41">
        <v>9.89</v>
      </c>
      <c r="C9" s="41">
        <v>8.41</v>
      </c>
      <c r="D9" s="41">
        <v>12.05</v>
      </c>
      <c r="E9" s="41">
        <v>6.18</v>
      </c>
      <c r="F9" s="27" t="s">
        <v>8</v>
      </c>
      <c r="G9" s="41">
        <v>105.67</v>
      </c>
      <c r="H9" s="41">
        <v>38.72</v>
      </c>
      <c r="I9" s="41">
        <v>9.51</v>
      </c>
      <c r="J9" s="41">
        <v>0.14000000000000001</v>
      </c>
      <c r="K9" s="41">
        <v>186.05</v>
      </c>
      <c r="L9" s="41">
        <v>17.350000000000001</v>
      </c>
      <c r="M9" s="41">
        <v>25.74</v>
      </c>
      <c r="N9" s="41">
        <v>2.2999999999999998</v>
      </c>
      <c r="O9" s="41">
        <v>0</v>
      </c>
      <c r="P9" s="41">
        <v>0.79</v>
      </c>
      <c r="Q9" s="41">
        <v>9.32</v>
      </c>
      <c r="R9" s="38"/>
      <c r="S9" s="38"/>
      <c r="T9" s="38"/>
      <c r="U9" s="38"/>
    </row>
    <row r="10" spans="1:21" customFormat="1">
      <c r="A10" s="40" t="s">
        <v>206</v>
      </c>
      <c r="B10" s="41">
        <v>12.28</v>
      </c>
      <c r="C10" s="41">
        <v>8.19</v>
      </c>
      <c r="D10" s="41">
        <v>14.05</v>
      </c>
      <c r="E10" s="41">
        <v>6.4</v>
      </c>
      <c r="F10" s="27" t="s">
        <v>8</v>
      </c>
      <c r="G10" s="41">
        <v>105.05</v>
      </c>
      <c r="H10" s="41">
        <v>43.52</v>
      </c>
      <c r="I10" s="41">
        <v>9.7899999999999991</v>
      </c>
      <c r="J10" s="41">
        <v>0.19</v>
      </c>
      <c r="K10" s="41">
        <v>180.17</v>
      </c>
      <c r="L10" s="41">
        <v>17.39</v>
      </c>
      <c r="M10" s="41">
        <v>25.83</v>
      </c>
      <c r="N10" s="41">
        <v>2.2999999999999998</v>
      </c>
      <c r="O10" s="41">
        <v>0</v>
      </c>
      <c r="P10" s="41">
        <v>0.81</v>
      </c>
      <c r="Q10" s="41">
        <v>9.32</v>
      </c>
      <c r="R10" s="38"/>
      <c r="S10" s="38"/>
      <c r="T10" s="38"/>
      <c r="U10" s="38"/>
    </row>
    <row r="11" spans="1:21" customFormat="1">
      <c r="A11" s="40" t="s">
        <v>207</v>
      </c>
      <c r="B11" s="41">
        <v>14.36</v>
      </c>
      <c r="C11" s="41">
        <v>8.44</v>
      </c>
      <c r="D11" s="41">
        <v>15.93</v>
      </c>
      <c r="E11" s="41">
        <v>7.37</v>
      </c>
      <c r="F11" s="27" t="s">
        <v>8</v>
      </c>
      <c r="G11" s="41">
        <v>105.05</v>
      </c>
      <c r="H11" s="41">
        <v>43.52</v>
      </c>
      <c r="I11" s="41">
        <v>9.84</v>
      </c>
      <c r="J11" s="41">
        <v>0.14000000000000001</v>
      </c>
      <c r="K11" s="41">
        <v>161.77000000000001</v>
      </c>
      <c r="L11" s="41">
        <v>15.8</v>
      </c>
      <c r="M11" s="41">
        <v>21.83</v>
      </c>
      <c r="N11" s="41">
        <v>2.2000000000000002</v>
      </c>
      <c r="O11" s="41">
        <v>0</v>
      </c>
      <c r="P11" s="41">
        <v>0.82</v>
      </c>
      <c r="Q11" s="41">
        <v>9.32</v>
      </c>
      <c r="R11" s="38"/>
      <c r="S11" s="38"/>
      <c r="T11" s="38"/>
      <c r="U11" s="38"/>
    </row>
    <row r="12" spans="1:21" customFormat="1">
      <c r="A12" s="40" t="s">
        <v>208</v>
      </c>
      <c r="B12" s="41">
        <v>14.63</v>
      </c>
      <c r="C12" s="41">
        <v>8.64</v>
      </c>
      <c r="D12" s="41">
        <v>16.22</v>
      </c>
      <c r="E12" s="41">
        <v>7.56</v>
      </c>
      <c r="F12" s="27" t="s">
        <v>8</v>
      </c>
      <c r="G12" s="41">
        <v>111.94</v>
      </c>
      <c r="H12" s="41">
        <v>42.16</v>
      </c>
      <c r="I12" s="41">
        <v>9.83</v>
      </c>
      <c r="J12" s="41">
        <v>0.14000000000000001</v>
      </c>
      <c r="K12" s="41">
        <v>126.67</v>
      </c>
      <c r="L12" s="41">
        <v>17.559999999999999</v>
      </c>
      <c r="M12" s="41">
        <v>25.99</v>
      </c>
      <c r="N12" s="41">
        <v>2.1</v>
      </c>
      <c r="O12" s="41">
        <v>0</v>
      </c>
      <c r="P12" s="41">
        <v>0.81</v>
      </c>
      <c r="Q12" s="41">
        <v>9.32</v>
      </c>
      <c r="R12" s="38"/>
      <c r="S12" s="38"/>
      <c r="T12" s="38"/>
      <c r="U12" s="38"/>
    </row>
    <row r="13" spans="1:21" customFormat="1">
      <c r="A13" s="40" t="s">
        <v>209</v>
      </c>
      <c r="B13" s="41">
        <v>15.26</v>
      </c>
      <c r="C13" s="41">
        <v>8.6300000000000008</v>
      </c>
      <c r="D13" s="41">
        <v>16.7</v>
      </c>
      <c r="E13" s="41">
        <v>7.63</v>
      </c>
      <c r="F13" s="27" t="s">
        <v>8</v>
      </c>
      <c r="G13" s="41">
        <v>113.17</v>
      </c>
      <c r="H13" s="41">
        <v>39.33</v>
      </c>
      <c r="I13" s="41">
        <v>9.67</v>
      </c>
      <c r="J13" s="41">
        <v>0.21</v>
      </c>
      <c r="K13" s="41">
        <v>117.81</v>
      </c>
      <c r="L13" s="41">
        <v>17.78</v>
      </c>
      <c r="M13" s="41">
        <v>26.46</v>
      </c>
      <c r="N13" s="41">
        <v>2.2000000000000002</v>
      </c>
      <c r="O13" s="41">
        <v>0</v>
      </c>
      <c r="P13" s="41">
        <v>0.8</v>
      </c>
      <c r="Q13" s="41">
        <v>9.32</v>
      </c>
      <c r="R13" s="38"/>
      <c r="S13" s="38"/>
      <c r="T13" s="38"/>
      <c r="U13" s="38"/>
    </row>
    <row r="14" spans="1:21" customFormat="1">
      <c r="A14" s="40" t="s">
        <v>210</v>
      </c>
      <c r="B14" s="41">
        <v>15.55</v>
      </c>
      <c r="C14" s="41">
        <v>8.9499999999999993</v>
      </c>
      <c r="D14" s="41">
        <v>17.100000000000001</v>
      </c>
      <c r="E14" s="41">
        <v>7.67</v>
      </c>
      <c r="F14" s="27" t="s">
        <v>8</v>
      </c>
      <c r="G14" s="41">
        <v>113.17</v>
      </c>
      <c r="H14" s="41">
        <v>39.33</v>
      </c>
      <c r="I14" s="41">
        <v>9.49</v>
      </c>
      <c r="J14" s="41">
        <v>0.31</v>
      </c>
      <c r="K14" s="41">
        <v>46.07</v>
      </c>
      <c r="L14" s="41">
        <v>12.1</v>
      </c>
      <c r="M14" s="41">
        <v>12.73</v>
      </c>
      <c r="N14" s="41">
        <v>2.4</v>
      </c>
      <c r="O14" s="41">
        <v>0</v>
      </c>
      <c r="P14" s="41">
        <v>0.79</v>
      </c>
      <c r="Q14" s="41">
        <v>9.32</v>
      </c>
      <c r="R14" s="38"/>
      <c r="S14" s="38"/>
      <c r="T14" s="38"/>
      <c r="U14" s="38"/>
    </row>
    <row r="15" spans="1:21" customFormat="1">
      <c r="A15" s="40" t="s">
        <v>211</v>
      </c>
      <c r="B15" s="41">
        <v>15.79</v>
      </c>
      <c r="C15" s="41">
        <v>9.25</v>
      </c>
      <c r="D15" s="41">
        <v>17.5</v>
      </c>
      <c r="E15" s="41">
        <v>7.28</v>
      </c>
      <c r="F15" s="27" t="s">
        <v>8</v>
      </c>
      <c r="G15" s="41">
        <v>117.44</v>
      </c>
      <c r="H15" s="41">
        <v>36.6</v>
      </c>
      <c r="I15" s="41">
        <v>10.050000000000001</v>
      </c>
      <c r="J15" s="41">
        <v>0.28000000000000003</v>
      </c>
      <c r="K15" s="41">
        <v>49.15</v>
      </c>
      <c r="L15" s="41">
        <v>9.9700000000000006</v>
      </c>
      <c r="M15" s="41">
        <v>6.11</v>
      </c>
      <c r="N15" s="41">
        <v>27.9</v>
      </c>
      <c r="O15" s="41">
        <v>0</v>
      </c>
      <c r="P15" s="41">
        <v>0.78</v>
      </c>
      <c r="Q15" s="41">
        <v>9.32</v>
      </c>
      <c r="R15" s="38"/>
      <c r="S15" s="38"/>
      <c r="T15" s="38"/>
      <c r="U15" s="38"/>
    </row>
    <row r="16" spans="1:21" customFormat="1">
      <c r="A16" s="40" t="s">
        <v>212</v>
      </c>
      <c r="B16" s="41">
        <v>16.329999999999998</v>
      </c>
      <c r="C16" s="41">
        <v>9.43</v>
      </c>
      <c r="D16" s="41">
        <v>17.989999999999998</v>
      </c>
      <c r="E16" s="41">
        <v>7.52</v>
      </c>
      <c r="F16" s="27" t="s">
        <v>8</v>
      </c>
      <c r="G16" s="41">
        <v>118.93</v>
      </c>
      <c r="H16" s="41">
        <v>36.6</v>
      </c>
      <c r="I16" s="41">
        <v>10.66</v>
      </c>
      <c r="J16" s="41">
        <v>0.45</v>
      </c>
      <c r="K16" s="41">
        <v>44</v>
      </c>
      <c r="L16" s="41">
        <v>12.56</v>
      </c>
      <c r="M16" s="41">
        <v>11.1</v>
      </c>
      <c r="N16" s="41">
        <v>192.2</v>
      </c>
      <c r="O16" s="41">
        <v>0</v>
      </c>
      <c r="P16" s="41">
        <v>0.78</v>
      </c>
      <c r="Q16" s="41">
        <v>9.32</v>
      </c>
      <c r="R16" s="38"/>
      <c r="S16" s="38"/>
      <c r="T16" s="38"/>
      <c r="U16" s="38"/>
    </row>
    <row r="17" spans="1:21" customFormat="1">
      <c r="A17" s="40" t="s">
        <v>213</v>
      </c>
      <c r="B17" s="41">
        <v>16.239999999999998</v>
      </c>
      <c r="C17" s="41">
        <v>9.56</v>
      </c>
      <c r="D17" s="41">
        <v>17.920000000000002</v>
      </c>
      <c r="E17" s="41">
        <v>7.46</v>
      </c>
      <c r="F17" s="27" t="s">
        <v>8</v>
      </c>
      <c r="G17" s="41">
        <v>118.93</v>
      </c>
      <c r="H17" s="41">
        <v>35.68</v>
      </c>
      <c r="I17" s="41">
        <v>10.64</v>
      </c>
      <c r="J17" s="41">
        <v>0.8</v>
      </c>
      <c r="K17" s="41">
        <v>49.54</v>
      </c>
      <c r="L17" s="41">
        <v>12.48</v>
      </c>
      <c r="M17" s="41">
        <v>7.76</v>
      </c>
      <c r="N17" s="41">
        <v>371.1</v>
      </c>
      <c r="O17" s="41">
        <v>0</v>
      </c>
      <c r="P17" s="41">
        <v>0.78</v>
      </c>
      <c r="Q17" s="41">
        <v>9.32</v>
      </c>
      <c r="R17" s="38"/>
      <c r="S17" s="38"/>
      <c r="T17" s="38"/>
      <c r="U17" s="38"/>
    </row>
    <row r="18" spans="1:21" customFormat="1">
      <c r="A18" s="40" t="s">
        <v>214</v>
      </c>
      <c r="B18" s="41">
        <v>14.62</v>
      </c>
      <c r="C18" s="41">
        <v>10.48</v>
      </c>
      <c r="D18" s="41">
        <v>16.78</v>
      </c>
      <c r="E18" s="41">
        <v>7.48</v>
      </c>
      <c r="F18" s="27" t="s">
        <v>8</v>
      </c>
      <c r="G18" s="41">
        <v>115.85</v>
      </c>
      <c r="H18" s="41">
        <v>28.93</v>
      </c>
      <c r="I18" s="41">
        <v>10.36</v>
      </c>
      <c r="J18" s="41">
        <v>0.65</v>
      </c>
      <c r="K18" s="41">
        <v>55.01</v>
      </c>
      <c r="L18" s="41">
        <v>13.31</v>
      </c>
      <c r="M18" s="41">
        <v>6.1</v>
      </c>
      <c r="N18" s="41">
        <v>449.7</v>
      </c>
      <c r="O18" s="41">
        <v>0</v>
      </c>
      <c r="P18" s="41">
        <v>0.77</v>
      </c>
      <c r="Q18" s="41">
        <v>9.32</v>
      </c>
      <c r="R18" s="38"/>
      <c r="S18" s="38"/>
      <c r="T18" s="38"/>
      <c r="U18" s="38"/>
    </row>
    <row r="19" spans="1:21" customFormat="1">
      <c r="A19" s="40" t="s">
        <v>215</v>
      </c>
      <c r="B19" s="41">
        <v>12.65</v>
      </c>
      <c r="C19" s="41">
        <v>10.53</v>
      </c>
      <c r="D19" s="41">
        <v>15.58</v>
      </c>
      <c r="E19" s="41">
        <v>6.76</v>
      </c>
      <c r="F19" s="27" t="s">
        <v>8</v>
      </c>
      <c r="G19" s="41">
        <v>110.97</v>
      </c>
      <c r="H19" s="41">
        <v>31.24</v>
      </c>
      <c r="I19" s="41">
        <v>9.82</v>
      </c>
      <c r="J19" s="41">
        <v>0.74</v>
      </c>
      <c r="K19" s="41">
        <v>59.69</v>
      </c>
      <c r="L19" s="41">
        <v>16.75</v>
      </c>
      <c r="M19" s="41">
        <v>10.98</v>
      </c>
      <c r="N19" s="41">
        <v>595.1</v>
      </c>
      <c r="O19" s="41">
        <v>0</v>
      </c>
      <c r="P19" s="41">
        <v>0.75</v>
      </c>
      <c r="Q19" s="41">
        <v>9.32</v>
      </c>
      <c r="R19" s="38"/>
      <c r="S19" s="38"/>
      <c r="T19" s="38"/>
      <c r="U19" s="38"/>
    </row>
    <row r="20" spans="1:21" customFormat="1">
      <c r="A20" s="40" t="s">
        <v>216</v>
      </c>
      <c r="B20" s="41">
        <v>10.14</v>
      </c>
      <c r="C20" s="41">
        <v>11.06</v>
      </c>
      <c r="D20" s="41">
        <v>13.77</v>
      </c>
      <c r="E20" s="41">
        <v>7.33</v>
      </c>
      <c r="F20" s="27" t="s">
        <v>8</v>
      </c>
      <c r="G20" s="41">
        <v>107.4</v>
      </c>
      <c r="H20" s="41">
        <v>31.24</v>
      </c>
      <c r="I20" s="41">
        <v>9.25</v>
      </c>
      <c r="J20" s="41">
        <v>0.75</v>
      </c>
      <c r="K20" s="41">
        <v>53.03</v>
      </c>
      <c r="L20" s="41">
        <v>19.12</v>
      </c>
      <c r="M20" s="41">
        <v>14.77</v>
      </c>
      <c r="N20" s="41">
        <v>658.7</v>
      </c>
      <c r="O20" s="41">
        <v>0</v>
      </c>
      <c r="P20" s="41">
        <v>0.72</v>
      </c>
      <c r="Q20" s="41">
        <v>9.32</v>
      </c>
      <c r="R20" s="38"/>
      <c r="S20" s="38"/>
      <c r="T20" s="38"/>
      <c r="U20" s="38"/>
    </row>
    <row r="21" spans="1:21" customFormat="1">
      <c r="A21" s="40" t="s">
        <v>217</v>
      </c>
      <c r="B21" s="41">
        <v>6.96</v>
      </c>
      <c r="C21" s="41">
        <v>11.19</v>
      </c>
      <c r="D21" s="41">
        <v>11.43</v>
      </c>
      <c r="E21" s="41">
        <v>7.07</v>
      </c>
      <c r="F21" s="27" t="s">
        <v>8</v>
      </c>
      <c r="G21" s="41">
        <v>93.74</v>
      </c>
      <c r="H21" s="41">
        <v>29.15</v>
      </c>
      <c r="I21" s="41">
        <v>8.3699999999999992</v>
      </c>
      <c r="J21" s="41">
        <v>0.47</v>
      </c>
      <c r="K21" s="41">
        <v>319.07</v>
      </c>
      <c r="L21" s="41">
        <v>26.09</v>
      </c>
      <c r="M21" s="41">
        <v>37.549999999999997</v>
      </c>
      <c r="N21" s="41">
        <v>597</v>
      </c>
      <c r="O21" s="41">
        <v>0</v>
      </c>
      <c r="P21" s="41">
        <v>0.68</v>
      </c>
      <c r="Q21" s="41">
        <v>9.32</v>
      </c>
      <c r="R21" s="38"/>
      <c r="S21" s="38"/>
      <c r="T21" s="38"/>
      <c r="U21" s="38"/>
    </row>
    <row r="22" spans="1:21" customFormat="1">
      <c r="A22" s="40" t="s">
        <v>218</v>
      </c>
      <c r="B22" s="41">
        <v>4.57</v>
      </c>
      <c r="C22" s="41">
        <v>11.17</v>
      </c>
      <c r="D22" s="41">
        <v>9.5</v>
      </c>
      <c r="E22" s="41">
        <v>6.88</v>
      </c>
      <c r="F22" s="27" t="s">
        <v>8</v>
      </c>
      <c r="G22" s="41">
        <v>78.16</v>
      </c>
      <c r="H22" s="41">
        <v>26.91</v>
      </c>
      <c r="I22" s="41">
        <v>7.45</v>
      </c>
      <c r="J22" s="41">
        <v>0.44</v>
      </c>
      <c r="K22" s="41">
        <v>354.98</v>
      </c>
      <c r="L22" s="41">
        <v>22.08</v>
      </c>
      <c r="M22" s="41">
        <v>27.92</v>
      </c>
      <c r="N22" s="41">
        <v>455.3</v>
      </c>
      <c r="O22" s="41">
        <v>0</v>
      </c>
      <c r="P22" s="41">
        <v>0.64</v>
      </c>
      <c r="Q22" s="41">
        <v>9.32</v>
      </c>
      <c r="R22" s="38"/>
      <c r="S22" s="38"/>
      <c r="T22" s="38"/>
      <c r="U22" s="38"/>
    </row>
    <row r="23" spans="1:21" customFormat="1">
      <c r="A23" s="40" t="s">
        <v>219</v>
      </c>
      <c r="B23" s="41">
        <v>3.88</v>
      </c>
      <c r="C23" s="41">
        <v>23.83</v>
      </c>
      <c r="D23" s="41">
        <v>14.85</v>
      </c>
      <c r="E23" s="41">
        <v>20.49</v>
      </c>
      <c r="F23" s="41">
        <v>67.12</v>
      </c>
      <c r="G23" s="41">
        <v>68.510000000000005</v>
      </c>
      <c r="H23" s="41">
        <v>22.31</v>
      </c>
      <c r="I23" s="41">
        <v>6.69</v>
      </c>
      <c r="J23" s="41">
        <v>0.33</v>
      </c>
      <c r="K23" s="41">
        <v>304.58</v>
      </c>
      <c r="L23" s="41">
        <v>24.22</v>
      </c>
      <c r="M23" s="41">
        <v>40.85</v>
      </c>
      <c r="N23" s="41">
        <v>80.900000000000006</v>
      </c>
      <c r="O23" s="41">
        <v>0</v>
      </c>
      <c r="P23" s="41">
        <v>0.45</v>
      </c>
      <c r="Q23" s="41">
        <v>9.32</v>
      </c>
      <c r="R23" s="38"/>
      <c r="S23" s="38"/>
      <c r="T23" s="38"/>
      <c r="U23" s="38"/>
    </row>
    <row r="24" spans="1:21" customFormat="1">
      <c r="A24" s="40" t="s">
        <v>220</v>
      </c>
      <c r="B24" s="41">
        <v>4.09</v>
      </c>
      <c r="C24" s="41">
        <v>27.03</v>
      </c>
      <c r="D24" s="41">
        <v>17.399999999999999</v>
      </c>
      <c r="E24" s="41">
        <v>18.559999999999999</v>
      </c>
      <c r="F24" s="41">
        <v>56.2</v>
      </c>
      <c r="G24" s="41">
        <v>61.59</v>
      </c>
      <c r="H24" s="41">
        <v>20.68</v>
      </c>
      <c r="I24" s="41">
        <v>4.47</v>
      </c>
      <c r="J24" s="41">
        <v>0.63</v>
      </c>
      <c r="K24" s="41">
        <v>39.86</v>
      </c>
      <c r="L24" s="41">
        <v>17.72</v>
      </c>
      <c r="M24" s="41">
        <v>24.87</v>
      </c>
      <c r="N24" s="41">
        <v>56.8</v>
      </c>
      <c r="O24" s="41">
        <v>0</v>
      </c>
      <c r="P24" s="41">
        <v>0.44</v>
      </c>
      <c r="Q24" s="41">
        <v>9.32</v>
      </c>
      <c r="R24" s="38"/>
      <c r="S24" s="38"/>
      <c r="T24" s="38"/>
      <c r="U24" s="38"/>
    </row>
    <row r="25" spans="1:21" customFormat="1">
      <c r="A25" s="40" t="s">
        <v>221</v>
      </c>
      <c r="B25" s="41">
        <v>3.06</v>
      </c>
      <c r="C25" s="41">
        <v>25.44</v>
      </c>
      <c r="D25" s="41">
        <v>15.45</v>
      </c>
      <c r="E25" s="41">
        <v>11.46</v>
      </c>
      <c r="F25" s="41">
        <v>35.4</v>
      </c>
      <c r="G25" s="41">
        <v>61.59</v>
      </c>
      <c r="H25" s="41">
        <v>20.079999999999998</v>
      </c>
      <c r="I25" s="41">
        <v>4.12</v>
      </c>
      <c r="J25" s="41">
        <v>0.62</v>
      </c>
      <c r="K25" s="41">
        <v>52.41</v>
      </c>
      <c r="L25" s="41">
        <v>9.56</v>
      </c>
      <c r="M25" s="41">
        <v>5.19</v>
      </c>
      <c r="N25" s="41">
        <v>26.4</v>
      </c>
      <c r="O25" s="41">
        <v>0</v>
      </c>
      <c r="P25" s="41">
        <v>0.45</v>
      </c>
      <c r="Q25" s="41">
        <v>9.32</v>
      </c>
      <c r="R25" s="38"/>
      <c r="S25" s="38"/>
      <c r="T25" s="38"/>
      <c r="U25" s="38"/>
    </row>
    <row r="26" spans="1:21" customFormat="1">
      <c r="A26" s="40" t="s">
        <v>222</v>
      </c>
      <c r="B26" s="41">
        <v>4.3899999999999997</v>
      </c>
      <c r="C26" s="41">
        <v>17.7</v>
      </c>
      <c r="D26" s="41">
        <v>11.58</v>
      </c>
      <c r="E26" s="41">
        <v>4.24</v>
      </c>
      <c r="F26" s="41">
        <v>35.4</v>
      </c>
      <c r="G26" s="41">
        <v>53.27</v>
      </c>
      <c r="H26" s="41">
        <v>20.079999999999998</v>
      </c>
      <c r="I26" s="41">
        <v>4.41</v>
      </c>
      <c r="J26" s="41">
        <v>0.32</v>
      </c>
      <c r="K26" s="41">
        <v>138.74</v>
      </c>
      <c r="L26" s="41">
        <v>14.62</v>
      </c>
      <c r="M26" s="41">
        <v>18.54</v>
      </c>
      <c r="N26" s="41">
        <v>6.1</v>
      </c>
      <c r="O26" s="41">
        <v>0</v>
      </c>
      <c r="P26" s="41">
        <v>0.47</v>
      </c>
      <c r="Q26" s="41">
        <v>9.32</v>
      </c>
      <c r="R26" s="38"/>
      <c r="S26" s="38"/>
      <c r="T26" s="38"/>
      <c r="U26" s="38"/>
    </row>
    <row r="27" spans="1:21" customFormat="1">
      <c r="A27" s="40" t="s">
        <v>223</v>
      </c>
      <c r="B27" s="41">
        <v>4.4800000000000004</v>
      </c>
      <c r="C27" s="41">
        <v>11.92</v>
      </c>
      <c r="D27" s="41">
        <v>9.33</v>
      </c>
      <c r="E27" s="41">
        <v>4.7</v>
      </c>
      <c r="F27" s="41">
        <v>35.4</v>
      </c>
      <c r="G27" s="41">
        <v>58.12</v>
      </c>
      <c r="H27" s="41">
        <v>19.84</v>
      </c>
      <c r="I27" s="41">
        <v>5.97</v>
      </c>
      <c r="J27" s="41">
        <v>0.21</v>
      </c>
      <c r="K27" s="41">
        <v>194.3</v>
      </c>
      <c r="L27" s="41">
        <v>18.079999999999998</v>
      </c>
      <c r="M27" s="41">
        <v>27.55</v>
      </c>
      <c r="N27" s="41">
        <v>2.9</v>
      </c>
      <c r="O27" s="41">
        <v>0</v>
      </c>
      <c r="P27" s="41">
        <v>0.48</v>
      </c>
      <c r="Q27" s="41">
        <v>9.32</v>
      </c>
      <c r="R27" s="38"/>
      <c r="S27" s="38"/>
      <c r="T27" s="38"/>
      <c r="U27" s="38"/>
    </row>
    <row r="28" spans="1:21" customFormat="1">
      <c r="A28" s="40" t="s">
        <v>224</v>
      </c>
      <c r="B28" s="41">
        <v>6.96</v>
      </c>
      <c r="C28" s="41">
        <v>9.69</v>
      </c>
      <c r="D28" s="41">
        <v>10.52</v>
      </c>
      <c r="E28" s="41">
        <v>4.75</v>
      </c>
      <c r="F28" s="41">
        <v>35.4</v>
      </c>
      <c r="G28" s="41">
        <v>62.69</v>
      </c>
      <c r="H28" s="41">
        <v>27.07</v>
      </c>
      <c r="I28" s="41">
        <v>6.5</v>
      </c>
      <c r="J28" s="41">
        <v>0.2</v>
      </c>
      <c r="K28" s="41">
        <v>227.35</v>
      </c>
      <c r="L28" s="41">
        <v>20.86</v>
      </c>
      <c r="M28" s="41">
        <v>34.42</v>
      </c>
      <c r="N28" s="41">
        <v>2.2000000000000002</v>
      </c>
      <c r="O28" s="41">
        <v>0</v>
      </c>
      <c r="P28" s="41">
        <v>0.51</v>
      </c>
      <c r="Q28" s="41">
        <v>9.32</v>
      </c>
      <c r="R28" s="38"/>
      <c r="S28" s="38"/>
      <c r="T28" s="38"/>
      <c r="U28" s="38"/>
    </row>
    <row r="29" spans="1:21" customFormat="1">
      <c r="A29" s="40" t="s">
        <v>225</v>
      </c>
      <c r="B29" s="41">
        <v>10.99</v>
      </c>
      <c r="C29" s="41">
        <v>9.92</v>
      </c>
      <c r="D29" s="41">
        <v>13.98</v>
      </c>
      <c r="E29" s="41">
        <v>5.61</v>
      </c>
      <c r="F29" s="41">
        <v>35.4</v>
      </c>
      <c r="G29" s="41">
        <v>78.989999999999995</v>
      </c>
      <c r="H29" s="41">
        <v>27.07</v>
      </c>
      <c r="I29" s="41">
        <v>7.62</v>
      </c>
      <c r="J29" s="41">
        <v>0.26</v>
      </c>
      <c r="K29" s="41">
        <v>173.55</v>
      </c>
      <c r="L29" s="41">
        <v>17.43</v>
      </c>
      <c r="M29" s="41">
        <v>25.89</v>
      </c>
      <c r="N29" s="41">
        <v>2.2000000000000002</v>
      </c>
      <c r="O29" s="41">
        <v>0</v>
      </c>
      <c r="P29" s="41">
        <v>0.6</v>
      </c>
      <c r="Q29" s="41">
        <v>9.32</v>
      </c>
      <c r="R29" s="38"/>
      <c r="S29" s="38"/>
      <c r="T29" s="38"/>
      <c r="U29" s="38"/>
    </row>
    <row r="30" spans="1:21" customFormat="1">
      <c r="A30" s="40" t="s">
        <v>226</v>
      </c>
      <c r="B30" s="41">
        <v>12.12</v>
      </c>
      <c r="C30" s="41">
        <v>10.01</v>
      </c>
      <c r="D30" s="41">
        <v>14.8</v>
      </c>
      <c r="E30" s="41">
        <v>5.54</v>
      </c>
      <c r="F30" s="41">
        <v>35.4</v>
      </c>
      <c r="G30" s="41">
        <v>92.92</v>
      </c>
      <c r="H30" s="41">
        <v>34.28</v>
      </c>
      <c r="I30" s="41">
        <v>8.51</v>
      </c>
      <c r="J30" s="41">
        <v>0.27</v>
      </c>
      <c r="K30" s="41">
        <v>191.77</v>
      </c>
      <c r="L30" s="41">
        <v>17.98</v>
      </c>
      <c r="M30" s="41">
        <v>27.32</v>
      </c>
      <c r="N30" s="41">
        <v>2.2000000000000002</v>
      </c>
      <c r="O30" s="41">
        <v>0</v>
      </c>
      <c r="P30" s="41">
        <v>0.64</v>
      </c>
      <c r="Q30" s="41">
        <v>15.17</v>
      </c>
      <c r="R30" s="38"/>
      <c r="S30" s="38"/>
      <c r="T30" s="38"/>
      <c r="U30" s="38"/>
    </row>
    <row r="31" spans="1:21" customFormat="1">
      <c r="A31" s="40" t="s">
        <v>227</v>
      </c>
      <c r="B31" s="41">
        <v>11.82</v>
      </c>
      <c r="C31" s="41">
        <v>9.58</v>
      </c>
      <c r="D31" s="41">
        <v>14.49</v>
      </c>
      <c r="E31" s="41">
        <v>5.72</v>
      </c>
      <c r="F31" s="41">
        <v>35.4</v>
      </c>
      <c r="G31" s="41">
        <v>92.92</v>
      </c>
      <c r="H31" s="41">
        <v>34.28</v>
      </c>
      <c r="I31" s="41">
        <v>9</v>
      </c>
      <c r="J31" s="41">
        <v>0.17</v>
      </c>
      <c r="K31" s="41">
        <v>201.88</v>
      </c>
      <c r="L31" s="41">
        <v>19.18</v>
      </c>
      <c r="M31" s="41">
        <v>30.27</v>
      </c>
      <c r="N31" s="41">
        <v>2.1</v>
      </c>
      <c r="O31" s="41">
        <v>0</v>
      </c>
      <c r="P31" s="41">
        <v>0.66</v>
      </c>
      <c r="Q31" s="41">
        <v>9.32</v>
      </c>
      <c r="R31" s="38"/>
      <c r="S31" s="38"/>
      <c r="T31" s="38"/>
      <c r="U31" s="38"/>
    </row>
    <row r="32" spans="1:21" customFormat="1">
      <c r="A32" s="40" t="s">
        <v>228</v>
      </c>
      <c r="B32" s="41">
        <v>13.83</v>
      </c>
      <c r="C32" s="41">
        <v>9.7799999999999994</v>
      </c>
      <c r="D32" s="41">
        <v>16.21</v>
      </c>
      <c r="E32" s="41">
        <v>6.41</v>
      </c>
      <c r="F32" s="41">
        <v>35.4</v>
      </c>
      <c r="G32" s="41">
        <v>87.86</v>
      </c>
      <c r="H32" s="41">
        <v>34.299999999999997</v>
      </c>
      <c r="I32" s="41">
        <v>9.4</v>
      </c>
      <c r="J32" s="41">
        <v>0.2</v>
      </c>
      <c r="K32" s="41">
        <v>166.63</v>
      </c>
      <c r="L32" s="41">
        <v>16.71</v>
      </c>
      <c r="M32" s="41">
        <v>23.97</v>
      </c>
      <c r="N32" s="41">
        <v>2.1</v>
      </c>
      <c r="O32" s="41">
        <v>0</v>
      </c>
      <c r="P32" s="41">
        <v>0.68</v>
      </c>
      <c r="Q32" s="41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3.06</v>
      </c>
      <c r="C34" s="18">
        <f t="shared" si="0"/>
        <v>8.19</v>
      </c>
      <c r="D34" s="18">
        <f t="shared" si="0"/>
        <v>9.33</v>
      </c>
      <c r="E34" s="18">
        <f t="shared" si="0"/>
        <v>4.24</v>
      </c>
      <c r="F34" s="18">
        <f t="shared" si="0"/>
        <v>35.4</v>
      </c>
      <c r="G34" s="18">
        <f t="shared" si="0"/>
        <v>53.27</v>
      </c>
      <c r="H34" s="18">
        <f t="shared" si="0"/>
        <v>19.84</v>
      </c>
      <c r="I34" s="18">
        <f t="shared" si="0"/>
        <v>4.12</v>
      </c>
      <c r="J34" s="18">
        <f t="shared" si="0"/>
        <v>0.14000000000000001</v>
      </c>
      <c r="K34" s="18">
        <f t="shared" si="0"/>
        <v>39.86</v>
      </c>
      <c r="L34" s="18">
        <f t="shared" si="0"/>
        <v>9.56</v>
      </c>
      <c r="M34" s="18">
        <f t="shared" si="0"/>
        <v>5.19</v>
      </c>
      <c r="N34" s="18">
        <f t="shared" si="0"/>
        <v>2.1</v>
      </c>
      <c r="O34" s="18">
        <f t="shared" si="0"/>
        <v>0</v>
      </c>
      <c r="P34" s="18">
        <f t="shared" si="0"/>
        <v>0.44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16.329999999999998</v>
      </c>
      <c r="C35" s="3">
        <f t="shared" si="1"/>
        <v>27.03</v>
      </c>
      <c r="D35" s="3">
        <f t="shared" si="1"/>
        <v>17.989999999999998</v>
      </c>
      <c r="E35" s="3">
        <f t="shared" si="1"/>
        <v>20.49</v>
      </c>
      <c r="F35" s="3">
        <f t="shared" si="1"/>
        <v>67.12</v>
      </c>
      <c r="G35" s="3">
        <f t="shared" si="1"/>
        <v>118.93</v>
      </c>
      <c r="H35" s="3">
        <f t="shared" si="1"/>
        <v>43.52</v>
      </c>
      <c r="I35" s="3">
        <f t="shared" si="1"/>
        <v>10.66</v>
      </c>
      <c r="J35" s="3">
        <f t="shared" si="1"/>
        <v>0.8</v>
      </c>
      <c r="K35" s="3">
        <f t="shared" si="1"/>
        <v>354.98</v>
      </c>
      <c r="L35" s="3">
        <f t="shared" si="1"/>
        <v>26.09</v>
      </c>
      <c r="M35" s="3">
        <f t="shared" si="1"/>
        <v>40.85</v>
      </c>
      <c r="N35" s="3">
        <f t="shared" si="1"/>
        <v>658.7</v>
      </c>
      <c r="O35" s="3">
        <f t="shared" si="1"/>
        <v>0</v>
      </c>
      <c r="P35" s="3">
        <f t="shared" si="1"/>
        <v>0.82</v>
      </c>
      <c r="Q35" s="3">
        <f t="shared" si="1"/>
        <v>15.17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10.620416666666667</v>
      </c>
      <c r="C36" s="18">
        <f t="shared" si="2"/>
        <v>12.03458333333333</v>
      </c>
      <c r="D36" s="18">
        <f t="shared" si="2"/>
        <v>14.630416666666667</v>
      </c>
      <c r="E36" s="18">
        <f t="shared" si="2"/>
        <v>7.8362499999999997</v>
      </c>
      <c r="F36" s="18">
        <f t="shared" si="2"/>
        <v>40.651999999999994</v>
      </c>
      <c r="G36" s="18">
        <f t="shared" si="2"/>
        <v>93.080416666666679</v>
      </c>
      <c r="H36" s="18">
        <f t="shared" si="2"/>
        <v>31.788333333333338</v>
      </c>
      <c r="I36" s="18">
        <f t="shared" si="2"/>
        <v>8.3925000000000001</v>
      </c>
      <c r="J36" s="18">
        <f t="shared" si="2"/>
        <v>0.37166666666666659</v>
      </c>
      <c r="K36" s="18">
        <f t="shared" si="2"/>
        <v>145.5866666666667</v>
      </c>
      <c r="L36" s="18">
        <f t="shared" si="2"/>
        <v>16.945833333333336</v>
      </c>
      <c r="M36" s="18">
        <f t="shared" si="2"/>
        <v>21.655833333333334</v>
      </c>
      <c r="N36" s="18">
        <f t="shared" si="2"/>
        <v>147.68333333333331</v>
      </c>
      <c r="O36" s="18">
        <f t="shared" si="2"/>
        <v>0</v>
      </c>
      <c r="P36" s="18">
        <f t="shared" si="2"/>
        <v>0.67083333333333339</v>
      </c>
      <c r="Q36" s="18">
        <f t="shared" si="2"/>
        <v>9.5637499999999953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4.6143382201725203</v>
      </c>
      <c r="C37" s="18">
        <f t="shared" ref="C37:Q37" si="3">STDEV(C9:C32)</f>
        <v>5.5254596339731528</v>
      </c>
      <c r="D37" s="18">
        <f t="shared" si="3"/>
        <v>2.6409360645614841</v>
      </c>
      <c r="E37" s="18">
        <f t="shared" si="3"/>
        <v>3.8788577571238663</v>
      </c>
      <c r="F37" s="18">
        <f t="shared" si="3"/>
        <v>11.367416202071238</v>
      </c>
      <c r="G37" s="18">
        <f t="shared" si="3"/>
        <v>22.212229588609496</v>
      </c>
      <c r="H37" s="18">
        <f t="shared" si="3"/>
        <v>7.6301288761505193</v>
      </c>
      <c r="I37" s="18">
        <f t="shared" si="3"/>
        <v>2.0271724793094452</v>
      </c>
      <c r="J37" s="18">
        <f t="shared" si="3"/>
        <v>0.21608506108287179</v>
      </c>
      <c r="K37" s="18">
        <f t="shared" si="3"/>
        <v>93.677230617860801</v>
      </c>
      <c r="L37" s="18">
        <f t="shared" si="3"/>
        <v>4.0564558493802192</v>
      </c>
      <c r="M37" s="18">
        <f t="shared" si="3"/>
        <v>10.18078621576028</v>
      </c>
      <c r="N37" s="18">
        <f t="shared" si="3"/>
        <v>229.98297983653651</v>
      </c>
      <c r="O37" s="18">
        <f t="shared" si="3"/>
        <v>0</v>
      </c>
      <c r="P37" s="18">
        <f t="shared" si="3"/>
        <v>0.13529088361159353</v>
      </c>
      <c r="Q37" s="18">
        <f t="shared" si="3"/>
        <v>1.1941262496068354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>COUNT(F9:F32)+14</f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96"/>
  <sheetViews>
    <sheetView zoomScale="85" zoomScaleNormal="85" workbookViewId="0">
      <pane xSplit="2" ySplit="8" topLeftCell="C30" activePane="bottomRight" state="frozen"/>
      <selection activeCell="G19" sqref="G19"/>
      <selection pane="topRight" activeCell="G19" sqref="G19"/>
      <selection pane="bottomLeft" activeCell="G19" sqref="G19"/>
      <selection pane="bottomRight" activeCell="J17" sqref="J17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08/11/2025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229</v>
      </c>
      <c r="B9" s="41">
        <v>15.73</v>
      </c>
      <c r="C9" s="41">
        <v>9.8699999999999992</v>
      </c>
      <c r="D9" s="41">
        <v>17.77</v>
      </c>
      <c r="E9" s="41">
        <v>6.41</v>
      </c>
      <c r="F9" s="41">
        <v>2.4</v>
      </c>
      <c r="G9" s="41">
        <v>89.29</v>
      </c>
      <c r="H9" s="41">
        <v>34.299999999999997</v>
      </c>
      <c r="I9" s="41">
        <v>9.82</v>
      </c>
      <c r="J9" s="41">
        <v>0.15</v>
      </c>
      <c r="K9" s="41">
        <v>167.38</v>
      </c>
      <c r="L9" s="41">
        <v>16.170000000000002</v>
      </c>
      <c r="M9" s="41">
        <v>22.74</v>
      </c>
      <c r="N9" s="41">
        <v>2</v>
      </c>
      <c r="O9" s="41">
        <v>0</v>
      </c>
      <c r="P9" s="41">
        <v>0.74</v>
      </c>
      <c r="Q9" s="41">
        <v>13.89</v>
      </c>
      <c r="R9" s="38"/>
      <c r="S9" s="38"/>
      <c r="T9" s="38"/>
      <c r="U9" s="38"/>
    </row>
    <row r="10" spans="1:21" customFormat="1">
      <c r="A10" s="40" t="s">
        <v>230</v>
      </c>
      <c r="B10" s="41">
        <v>16.649999999999999</v>
      </c>
      <c r="C10" s="41">
        <v>10</v>
      </c>
      <c r="D10" s="41">
        <v>18.559999999999999</v>
      </c>
      <c r="E10" s="41">
        <v>6.35</v>
      </c>
      <c r="F10" s="41">
        <v>2.4</v>
      </c>
      <c r="G10" s="41">
        <v>111.88</v>
      </c>
      <c r="H10" s="41">
        <v>37.36</v>
      </c>
      <c r="I10" s="41">
        <v>10.01</v>
      </c>
      <c r="J10" s="41">
        <v>0.57999999999999996</v>
      </c>
      <c r="K10" s="41">
        <v>43.58</v>
      </c>
      <c r="L10" s="41">
        <v>8.23</v>
      </c>
      <c r="M10" s="41">
        <v>2.4700000000000002</v>
      </c>
      <c r="N10" s="41">
        <v>2.1</v>
      </c>
      <c r="O10" s="41">
        <v>0</v>
      </c>
      <c r="P10" s="41">
        <v>0.78</v>
      </c>
      <c r="Q10" s="41">
        <v>11.71</v>
      </c>
      <c r="R10" s="38"/>
      <c r="S10" s="38"/>
      <c r="T10" s="38"/>
      <c r="U10" s="38"/>
    </row>
    <row r="11" spans="1:21" customFormat="1">
      <c r="A11" s="40" t="s">
        <v>231</v>
      </c>
      <c r="B11" s="41">
        <v>15.92</v>
      </c>
      <c r="C11" s="41">
        <v>10.130000000000001</v>
      </c>
      <c r="D11" s="41">
        <v>17.920000000000002</v>
      </c>
      <c r="E11" s="41">
        <v>5.96</v>
      </c>
      <c r="F11" s="41">
        <v>2.4</v>
      </c>
      <c r="G11" s="41">
        <v>111.88</v>
      </c>
      <c r="H11" s="41">
        <v>37.36</v>
      </c>
      <c r="I11" s="41">
        <v>10</v>
      </c>
      <c r="J11" s="41">
        <v>0.6</v>
      </c>
      <c r="K11" s="41">
        <v>43.77</v>
      </c>
      <c r="L11" s="41">
        <v>10</v>
      </c>
      <c r="M11" s="41">
        <v>6.87</v>
      </c>
      <c r="N11" s="41">
        <v>2.1</v>
      </c>
      <c r="O11" s="41">
        <v>0</v>
      </c>
      <c r="P11" s="41">
        <v>0.78</v>
      </c>
      <c r="Q11" s="41">
        <v>9.65</v>
      </c>
      <c r="R11" s="38"/>
      <c r="S11" s="38"/>
      <c r="T11" s="38"/>
      <c r="U11" s="38"/>
    </row>
    <row r="12" spans="1:21" customFormat="1">
      <c r="A12" s="40" t="s">
        <v>232</v>
      </c>
      <c r="B12" s="41">
        <v>14.33</v>
      </c>
      <c r="C12" s="41">
        <v>10.25</v>
      </c>
      <c r="D12" s="41">
        <v>16.809999999999999</v>
      </c>
      <c r="E12" s="41">
        <v>5.96</v>
      </c>
      <c r="F12" s="41">
        <v>2.4</v>
      </c>
      <c r="G12" s="41">
        <v>110.65</v>
      </c>
      <c r="H12" s="41">
        <v>34.68</v>
      </c>
      <c r="I12" s="41">
        <v>9.4700000000000006</v>
      </c>
      <c r="J12" s="41">
        <v>0.63</v>
      </c>
      <c r="K12" s="41">
        <v>41.37</v>
      </c>
      <c r="L12" s="41">
        <v>7.53</v>
      </c>
      <c r="M12" s="41">
        <v>1.49</v>
      </c>
      <c r="N12" s="41">
        <v>2.1</v>
      </c>
      <c r="O12" s="41">
        <v>0</v>
      </c>
      <c r="P12" s="41">
        <v>0.75</v>
      </c>
      <c r="Q12" s="41">
        <v>9.4600000000000009</v>
      </c>
      <c r="R12" s="38"/>
      <c r="S12" s="38"/>
      <c r="T12" s="38"/>
      <c r="U12" s="38"/>
    </row>
    <row r="13" spans="1:21" customFormat="1">
      <c r="A13" s="40" t="s">
        <v>233</v>
      </c>
      <c r="B13" s="41">
        <v>13.13</v>
      </c>
      <c r="C13" s="41">
        <v>10.23</v>
      </c>
      <c r="D13" s="41">
        <v>15.86</v>
      </c>
      <c r="E13" s="41">
        <v>6</v>
      </c>
      <c r="F13" s="41">
        <v>2.4</v>
      </c>
      <c r="G13" s="41">
        <v>91.84</v>
      </c>
      <c r="H13" s="41">
        <v>32.81</v>
      </c>
      <c r="I13" s="41">
        <v>8.92</v>
      </c>
      <c r="J13" s="41">
        <v>0.63</v>
      </c>
      <c r="K13" s="41">
        <v>43.4</v>
      </c>
      <c r="L13" s="41">
        <v>10.79</v>
      </c>
      <c r="M13" s="41">
        <v>8.91</v>
      </c>
      <c r="N13" s="41">
        <v>2.1</v>
      </c>
      <c r="O13" s="41">
        <v>0</v>
      </c>
      <c r="P13" s="41">
        <v>0.7</v>
      </c>
      <c r="Q13" s="41">
        <v>9.4600000000000009</v>
      </c>
      <c r="R13" s="38"/>
      <c r="S13" s="38"/>
      <c r="T13" s="38"/>
      <c r="U13" s="38"/>
    </row>
    <row r="14" spans="1:21" customFormat="1">
      <c r="A14" s="40" t="s">
        <v>234</v>
      </c>
      <c r="B14" s="41">
        <v>12.49</v>
      </c>
      <c r="C14" s="41">
        <v>10.48</v>
      </c>
      <c r="D14" s="41">
        <v>15.49</v>
      </c>
      <c r="E14" s="41">
        <v>5.83</v>
      </c>
      <c r="F14" s="41">
        <v>2.4</v>
      </c>
      <c r="G14" s="41">
        <v>81.180000000000007</v>
      </c>
      <c r="H14" s="41">
        <v>27.42</v>
      </c>
      <c r="I14" s="41">
        <v>8.52</v>
      </c>
      <c r="J14" s="41">
        <v>0.43</v>
      </c>
      <c r="K14" s="41">
        <v>54.22</v>
      </c>
      <c r="L14" s="41">
        <v>12.63</v>
      </c>
      <c r="M14" s="41">
        <v>13.77</v>
      </c>
      <c r="N14" s="41">
        <v>2.2000000000000002</v>
      </c>
      <c r="O14" s="41">
        <v>0</v>
      </c>
      <c r="P14" s="41">
        <v>0.65</v>
      </c>
      <c r="Q14" s="41">
        <v>9.99</v>
      </c>
      <c r="R14" s="38"/>
      <c r="S14" s="38"/>
      <c r="T14" s="38"/>
      <c r="U14" s="38"/>
    </row>
    <row r="15" spans="1:21" customFormat="1">
      <c r="A15" s="40" t="s">
        <v>235</v>
      </c>
      <c r="B15" s="41">
        <v>13.95</v>
      </c>
      <c r="C15" s="41">
        <v>10.82</v>
      </c>
      <c r="D15" s="41">
        <v>16.84</v>
      </c>
      <c r="E15" s="41">
        <v>5.76</v>
      </c>
      <c r="F15" s="41">
        <v>2.4</v>
      </c>
      <c r="G15" s="41">
        <v>68.040000000000006</v>
      </c>
      <c r="H15" s="41">
        <v>26.83</v>
      </c>
      <c r="I15" s="41">
        <v>8.23</v>
      </c>
      <c r="J15" s="41">
        <v>0.15</v>
      </c>
      <c r="K15" s="41">
        <v>232.95</v>
      </c>
      <c r="L15" s="41">
        <v>20.71</v>
      </c>
      <c r="M15" s="41">
        <v>34</v>
      </c>
      <c r="N15" s="41">
        <v>25.5</v>
      </c>
      <c r="O15" s="41">
        <v>0</v>
      </c>
      <c r="P15" s="41">
        <v>0.62</v>
      </c>
      <c r="Q15" s="41">
        <v>10.039999999999999</v>
      </c>
      <c r="R15" s="38"/>
      <c r="S15" s="38"/>
      <c r="T15" s="38"/>
      <c r="U15" s="38"/>
    </row>
    <row r="16" spans="1:21" customFormat="1">
      <c r="A16" s="40" t="s">
        <v>236</v>
      </c>
      <c r="B16" s="41">
        <v>14.07</v>
      </c>
      <c r="C16" s="41">
        <v>10.89</v>
      </c>
      <c r="D16" s="41">
        <v>16.97</v>
      </c>
      <c r="E16" s="41">
        <v>5.95</v>
      </c>
      <c r="F16" s="41">
        <v>2.4</v>
      </c>
      <c r="G16" s="41">
        <v>72.3</v>
      </c>
      <c r="H16" s="41">
        <v>32.81</v>
      </c>
      <c r="I16" s="41">
        <v>8.11</v>
      </c>
      <c r="J16" s="41">
        <v>0.42</v>
      </c>
      <c r="K16" s="41">
        <v>274.64999999999998</v>
      </c>
      <c r="L16" s="41">
        <v>18.77</v>
      </c>
      <c r="M16" s="41">
        <v>28.03</v>
      </c>
      <c r="N16" s="41">
        <v>203.6</v>
      </c>
      <c r="O16" s="41">
        <v>0</v>
      </c>
      <c r="P16" s="41">
        <v>0.6</v>
      </c>
      <c r="Q16" s="41">
        <v>9.32</v>
      </c>
      <c r="R16" s="38"/>
      <c r="S16" s="38"/>
      <c r="T16" s="38"/>
      <c r="U16" s="38"/>
    </row>
    <row r="17" spans="1:21" customFormat="1">
      <c r="A17" s="40" t="s">
        <v>237</v>
      </c>
      <c r="B17" s="41">
        <v>13.21</v>
      </c>
      <c r="C17" s="41">
        <v>11.35</v>
      </c>
      <c r="D17" s="41">
        <v>16.23</v>
      </c>
      <c r="E17" s="41">
        <v>6.11</v>
      </c>
      <c r="F17" s="41">
        <v>2.4</v>
      </c>
      <c r="G17" s="41">
        <v>82.77</v>
      </c>
      <c r="H17" s="41">
        <v>36.42</v>
      </c>
      <c r="I17" s="41">
        <v>8.4</v>
      </c>
      <c r="J17" s="41">
        <v>0.68</v>
      </c>
      <c r="K17" s="41">
        <v>39.89</v>
      </c>
      <c r="L17" s="41">
        <v>12.01</v>
      </c>
      <c r="M17" s="41">
        <v>5.1100000000000003</v>
      </c>
      <c r="N17" s="41">
        <v>389.2</v>
      </c>
      <c r="O17" s="41">
        <v>0</v>
      </c>
      <c r="P17" s="41">
        <v>0.61</v>
      </c>
      <c r="Q17" s="41">
        <v>9.32</v>
      </c>
      <c r="R17" s="38"/>
      <c r="S17" s="38"/>
      <c r="T17" s="38"/>
      <c r="U17" s="38"/>
    </row>
    <row r="18" spans="1:21" customFormat="1">
      <c r="A18" s="40" t="s">
        <v>238</v>
      </c>
      <c r="B18" s="41">
        <v>10.75</v>
      </c>
      <c r="C18" s="41">
        <v>12.16</v>
      </c>
      <c r="D18" s="41">
        <v>14.72</v>
      </c>
      <c r="E18" s="41">
        <v>6.2</v>
      </c>
      <c r="F18" s="41">
        <v>2.4</v>
      </c>
      <c r="G18" s="41">
        <v>82.77</v>
      </c>
      <c r="H18" s="41">
        <v>36.42</v>
      </c>
      <c r="I18" s="41">
        <v>8.3699999999999992</v>
      </c>
      <c r="J18" s="41">
        <v>0.81</v>
      </c>
      <c r="K18" s="41">
        <v>40.590000000000003</v>
      </c>
      <c r="L18" s="41">
        <v>17.690000000000001</v>
      </c>
      <c r="M18" s="41">
        <v>18.91</v>
      </c>
      <c r="N18" s="41">
        <v>466.7</v>
      </c>
      <c r="O18" s="41">
        <v>0</v>
      </c>
      <c r="P18" s="41">
        <v>0.6</v>
      </c>
      <c r="Q18" s="41">
        <v>9.32</v>
      </c>
      <c r="R18" s="38"/>
      <c r="S18" s="38"/>
      <c r="T18" s="38"/>
      <c r="U18" s="38"/>
    </row>
    <row r="19" spans="1:21" customFormat="1">
      <c r="A19" s="40" t="s">
        <v>239</v>
      </c>
      <c r="B19" s="41">
        <v>6.98</v>
      </c>
      <c r="C19" s="41">
        <v>16.93</v>
      </c>
      <c r="D19" s="41">
        <v>12.38</v>
      </c>
      <c r="E19" s="41">
        <v>11.86</v>
      </c>
      <c r="F19" s="41">
        <v>2.4</v>
      </c>
      <c r="G19" s="41">
        <v>79.34</v>
      </c>
      <c r="H19" s="41">
        <v>31.26</v>
      </c>
      <c r="I19" s="41">
        <v>8.2799999999999994</v>
      </c>
      <c r="J19" s="41">
        <v>0.81</v>
      </c>
      <c r="K19" s="41">
        <v>29.68</v>
      </c>
      <c r="L19" s="41">
        <v>19.72</v>
      </c>
      <c r="M19" s="41">
        <v>17.68</v>
      </c>
      <c r="N19" s="41">
        <v>620</v>
      </c>
      <c r="O19" s="41">
        <v>0</v>
      </c>
      <c r="P19" s="41">
        <v>0.56999999999999995</v>
      </c>
      <c r="Q19" s="41">
        <v>9.32</v>
      </c>
      <c r="R19" s="38"/>
      <c r="S19" s="38"/>
      <c r="T19" s="38"/>
      <c r="U19" s="38"/>
    </row>
    <row r="20" spans="1:21" customFormat="1">
      <c r="A20" s="40" t="s">
        <v>240</v>
      </c>
      <c r="B20" s="41">
        <v>1.9</v>
      </c>
      <c r="C20" s="41">
        <v>18.07</v>
      </c>
      <c r="D20" s="41">
        <v>10.91</v>
      </c>
      <c r="E20" s="41">
        <v>13.32</v>
      </c>
      <c r="F20" s="41">
        <v>23.27</v>
      </c>
      <c r="G20" s="41">
        <v>80.33</v>
      </c>
      <c r="H20" s="41">
        <v>31.26</v>
      </c>
      <c r="I20" s="41">
        <v>6.4</v>
      </c>
      <c r="J20" s="41">
        <v>0.81</v>
      </c>
      <c r="K20" s="41">
        <v>337.6</v>
      </c>
      <c r="L20" s="41">
        <v>25.32</v>
      </c>
      <c r="M20" s="41">
        <v>30.72</v>
      </c>
      <c r="N20" s="41">
        <v>637.4</v>
      </c>
      <c r="O20" s="41">
        <v>0</v>
      </c>
      <c r="P20" s="41">
        <v>0.56000000000000005</v>
      </c>
      <c r="Q20" s="41">
        <v>9.32</v>
      </c>
      <c r="R20" s="38"/>
      <c r="S20" s="38"/>
      <c r="T20" s="38"/>
      <c r="U20" s="38"/>
    </row>
    <row r="21" spans="1:21" customFormat="1">
      <c r="A21" s="40" t="s">
        <v>241</v>
      </c>
      <c r="B21" s="41">
        <v>1.94</v>
      </c>
      <c r="C21" s="41">
        <v>16.55</v>
      </c>
      <c r="D21" s="41">
        <v>10.050000000000001</v>
      </c>
      <c r="E21" s="41">
        <v>11.3</v>
      </c>
      <c r="F21" s="41">
        <v>11.22</v>
      </c>
      <c r="G21" s="41">
        <v>80.33</v>
      </c>
      <c r="H21" s="41">
        <v>35.76</v>
      </c>
      <c r="I21" s="41">
        <v>6.26</v>
      </c>
      <c r="J21" s="41">
        <v>0.85</v>
      </c>
      <c r="K21" s="41">
        <v>331.73</v>
      </c>
      <c r="L21" s="41">
        <v>30.8</v>
      </c>
      <c r="M21" s="41">
        <v>44.28</v>
      </c>
      <c r="N21" s="41">
        <v>656.3</v>
      </c>
      <c r="O21" s="41">
        <v>0</v>
      </c>
      <c r="P21" s="41">
        <v>0.54</v>
      </c>
      <c r="Q21" s="41">
        <v>9.32</v>
      </c>
      <c r="R21" s="38"/>
      <c r="S21" s="38"/>
      <c r="T21" s="38"/>
      <c r="U21" s="38"/>
    </row>
    <row r="22" spans="1:21" customFormat="1">
      <c r="A22" s="40" t="s">
        <v>242</v>
      </c>
      <c r="B22" s="41">
        <v>1.99</v>
      </c>
      <c r="C22" s="41">
        <v>20.76</v>
      </c>
      <c r="D22" s="41">
        <v>12.2</v>
      </c>
      <c r="E22" s="41">
        <v>9.07</v>
      </c>
      <c r="F22" s="41">
        <v>44.07</v>
      </c>
      <c r="G22" s="41">
        <v>78.040000000000006</v>
      </c>
      <c r="H22" s="41">
        <v>35.76</v>
      </c>
      <c r="I22" s="41">
        <v>6</v>
      </c>
      <c r="J22" s="41">
        <v>0.74</v>
      </c>
      <c r="K22" s="41">
        <v>359.99</v>
      </c>
      <c r="L22" s="41">
        <v>24.45</v>
      </c>
      <c r="M22" s="41">
        <v>32.979999999999997</v>
      </c>
      <c r="N22" s="41">
        <v>468.3</v>
      </c>
      <c r="O22" s="41">
        <v>0</v>
      </c>
      <c r="P22" s="41">
        <v>0.46</v>
      </c>
      <c r="Q22" s="41">
        <v>9.32</v>
      </c>
      <c r="R22" s="38"/>
      <c r="S22" s="38"/>
      <c r="T22" s="38"/>
      <c r="U22" s="38"/>
    </row>
    <row r="23" spans="1:21" customFormat="1">
      <c r="A23" s="40" t="s">
        <v>243</v>
      </c>
      <c r="B23" s="41">
        <v>1.99</v>
      </c>
      <c r="C23" s="41">
        <v>16.329999999999998</v>
      </c>
      <c r="D23" s="41">
        <v>10.119999999999999</v>
      </c>
      <c r="E23" s="41">
        <v>8.49</v>
      </c>
      <c r="F23" s="41">
        <v>28.1</v>
      </c>
      <c r="G23" s="41">
        <v>67.349999999999994</v>
      </c>
      <c r="H23" s="41">
        <v>31.92</v>
      </c>
      <c r="I23" s="41">
        <v>4.2300000000000004</v>
      </c>
      <c r="J23" s="41">
        <v>0.5</v>
      </c>
      <c r="K23" s="41">
        <v>335.49</v>
      </c>
      <c r="L23" s="41">
        <v>20.41</v>
      </c>
      <c r="M23" s="41">
        <v>30.5</v>
      </c>
      <c r="N23" s="41">
        <v>112.3</v>
      </c>
      <c r="O23" s="41">
        <v>0</v>
      </c>
      <c r="P23" s="41">
        <v>0.44</v>
      </c>
      <c r="Q23" s="41">
        <v>9.32</v>
      </c>
      <c r="R23" s="38"/>
      <c r="S23" s="38"/>
      <c r="T23" s="38"/>
      <c r="U23" s="38"/>
    </row>
    <row r="24" spans="1:21" customFormat="1">
      <c r="A24" s="40" t="s">
        <v>244</v>
      </c>
      <c r="B24" s="41">
        <v>2.04</v>
      </c>
      <c r="C24" s="41">
        <v>18.899999999999999</v>
      </c>
      <c r="D24" s="41">
        <v>11.27</v>
      </c>
      <c r="E24" s="41">
        <v>9.24</v>
      </c>
      <c r="F24" s="41">
        <v>32.619999999999997</v>
      </c>
      <c r="G24" s="41">
        <v>63.49</v>
      </c>
      <c r="H24" s="41">
        <v>31.92</v>
      </c>
      <c r="I24" s="41">
        <v>4.8499999999999996</v>
      </c>
      <c r="J24" s="41">
        <v>0.59</v>
      </c>
      <c r="K24" s="41">
        <v>350.83</v>
      </c>
      <c r="L24" s="41">
        <v>18.510000000000002</v>
      </c>
      <c r="M24" s="41">
        <v>27.47</v>
      </c>
      <c r="N24" s="41">
        <v>41.9</v>
      </c>
      <c r="O24" s="41">
        <v>0</v>
      </c>
      <c r="P24" s="41">
        <v>0.49</v>
      </c>
      <c r="Q24" s="41">
        <v>9.32</v>
      </c>
      <c r="R24" s="38"/>
      <c r="S24" s="38"/>
      <c r="T24" s="38"/>
      <c r="U24" s="38"/>
    </row>
    <row r="25" spans="1:21" customFormat="1">
      <c r="A25" s="40" t="s">
        <v>245</v>
      </c>
      <c r="B25" s="41">
        <v>2.58</v>
      </c>
      <c r="C25" s="41">
        <v>14.58</v>
      </c>
      <c r="D25" s="41">
        <v>9.31</v>
      </c>
      <c r="E25" s="41">
        <v>6.91</v>
      </c>
      <c r="F25" s="41">
        <v>2.59</v>
      </c>
      <c r="G25" s="41">
        <v>60.05</v>
      </c>
      <c r="H25" s="41">
        <v>28.43</v>
      </c>
      <c r="I25" s="41">
        <v>5.03</v>
      </c>
      <c r="J25" s="41">
        <v>0.72</v>
      </c>
      <c r="K25" s="41">
        <v>44.23</v>
      </c>
      <c r="L25" s="41">
        <v>9.33</v>
      </c>
      <c r="M25" s="41">
        <v>5.45</v>
      </c>
      <c r="N25" s="41">
        <v>23.3</v>
      </c>
      <c r="O25" s="41">
        <v>0</v>
      </c>
      <c r="P25" s="41">
        <v>0.52</v>
      </c>
      <c r="Q25" s="41">
        <v>9.32</v>
      </c>
      <c r="R25" s="38"/>
      <c r="S25" s="38"/>
      <c r="T25" s="38"/>
      <c r="U25" s="38"/>
    </row>
    <row r="26" spans="1:21" customFormat="1">
      <c r="A26" s="40" t="s">
        <v>246</v>
      </c>
      <c r="B26" s="41">
        <v>3.95</v>
      </c>
      <c r="C26" s="41">
        <v>13.07</v>
      </c>
      <c r="D26" s="41">
        <v>9.6999999999999993</v>
      </c>
      <c r="E26" s="41">
        <v>6.69</v>
      </c>
      <c r="F26" s="41">
        <v>2</v>
      </c>
      <c r="G26" s="41">
        <v>72.430000000000007</v>
      </c>
      <c r="H26" s="41">
        <v>30.5</v>
      </c>
      <c r="I26" s="41">
        <v>5.95</v>
      </c>
      <c r="J26" s="41">
        <v>0.45</v>
      </c>
      <c r="K26" s="41">
        <v>151.63999999999999</v>
      </c>
      <c r="L26" s="41">
        <v>14.42</v>
      </c>
      <c r="M26" s="41">
        <v>18.260000000000002</v>
      </c>
      <c r="N26" s="41">
        <v>6.2</v>
      </c>
      <c r="O26" s="41">
        <v>0</v>
      </c>
      <c r="P26" s="41">
        <v>0.56000000000000005</v>
      </c>
      <c r="Q26" s="41">
        <v>9.32</v>
      </c>
      <c r="R26" s="38"/>
      <c r="S26" s="38"/>
      <c r="T26" s="38"/>
      <c r="U26" s="38"/>
    </row>
    <row r="27" spans="1:21" customFormat="1">
      <c r="A27" s="40" t="s">
        <v>247</v>
      </c>
      <c r="B27" s="41">
        <v>5.27</v>
      </c>
      <c r="C27" s="41">
        <v>12.52</v>
      </c>
      <c r="D27" s="41">
        <v>10.53</v>
      </c>
      <c r="E27" s="41">
        <v>4.17</v>
      </c>
      <c r="F27" s="41">
        <v>2</v>
      </c>
      <c r="G27" s="41">
        <v>85.21</v>
      </c>
      <c r="H27" s="41">
        <v>34</v>
      </c>
      <c r="I27" s="41">
        <v>6.36</v>
      </c>
      <c r="J27" s="41">
        <v>0.31</v>
      </c>
      <c r="K27" s="41">
        <v>160.32</v>
      </c>
      <c r="L27" s="41">
        <v>15.81</v>
      </c>
      <c r="M27" s="41">
        <v>21.67</v>
      </c>
      <c r="N27" s="41">
        <v>2.4</v>
      </c>
      <c r="O27" s="41">
        <v>0</v>
      </c>
      <c r="P27" s="41">
        <v>0.59</v>
      </c>
      <c r="Q27" s="41">
        <v>9.32</v>
      </c>
      <c r="R27" s="38"/>
      <c r="S27" s="38"/>
      <c r="T27" s="38"/>
      <c r="U27" s="38"/>
    </row>
    <row r="28" spans="1:21" customFormat="1">
      <c r="A28" s="40" t="s">
        <v>248</v>
      </c>
      <c r="B28" s="41">
        <v>6.44</v>
      </c>
      <c r="C28" s="41">
        <v>12.37</v>
      </c>
      <c r="D28" s="41">
        <v>11.43</v>
      </c>
      <c r="E28" s="41">
        <v>4.6399999999999997</v>
      </c>
      <c r="F28" s="41">
        <v>2</v>
      </c>
      <c r="G28" s="41">
        <v>90.66</v>
      </c>
      <c r="H28" s="41">
        <v>34</v>
      </c>
      <c r="I28" s="41">
        <v>7.3</v>
      </c>
      <c r="J28" s="41">
        <v>0.25</v>
      </c>
      <c r="K28" s="41">
        <v>149.26</v>
      </c>
      <c r="L28" s="41">
        <v>14.95</v>
      </c>
      <c r="M28" s="41">
        <v>19.420000000000002</v>
      </c>
      <c r="N28" s="41">
        <v>2.4</v>
      </c>
      <c r="O28" s="41">
        <v>0</v>
      </c>
      <c r="P28" s="41">
        <v>0.64</v>
      </c>
      <c r="Q28" s="41">
        <v>9.32</v>
      </c>
      <c r="R28" s="38"/>
      <c r="S28" s="38"/>
      <c r="T28" s="38"/>
      <c r="U28" s="38"/>
    </row>
    <row r="29" spans="1:21" customFormat="1">
      <c r="A29" s="40" t="s">
        <v>249</v>
      </c>
      <c r="B29" s="41">
        <v>6.48</v>
      </c>
      <c r="C29" s="41">
        <v>11.81</v>
      </c>
      <c r="D29" s="41">
        <v>11.35</v>
      </c>
      <c r="E29" s="41">
        <v>4.78</v>
      </c>
      <c r="F29" s="41">
        <v>2</v>
      </c>
      <c r="G29" s="41">
        <v>90.66</v>
      </c>
      <c r="H29" s="41">
        <v>36.53</v>
      </c>
      <c r="I29" s="41">
        <v>7.88</v>
      </c>
      <c r="J29" s="41">
        <v>0.21</v>
      </c>
      <c r="K29" s="41">
        <v>193.53</v>
      </c>
      <c r="L29" s="41">
        <v>18.27</v>
      </c>
      <c r="M29" s="41">
        <v>27.79</v>
      </c>
      <c r="N29" s="41">
        <v>2.2999999999999998</v>
      </c>
      <c r="O29" s="41">
        <v>0</v>
      </c>
      <c r="P29" s="41">
        <v>0.67</v>
      </c>
      <c r="Q29" s="41">
        <v>9.32</v>
      </c>
      <c r="R29" s="38"/>
      <c r="S29" s="38"/>
      <c r="T29" s="38"/>
      <c r="U29" s="38"/>
    </row>
    <row r="30" spans="1:21" customFormat="1">
      <c r="A30" s="40" t="s">
        <v>250</v>
      </c>
      <c r="B30" s="41">
        <v>6.84</v>
      </c>
      <c r="C30" s="41">
        <v>10.86</v>
      </c>
      <c r="D30" s="41">
        <v>11.02</v>
      </c>
      <c r="E30" s="41">
        <v>5.14</v>
      </c>
      <c r="F30" s="41">
        <v>2</v>
      </c>
      <c r="G30" s="41">
        <v>90.03</v>
      </c>
      <c r="H30" s="41">
        <v>36.82</v>
      </c>
      <c r="I30" s="41">
        <v>8.24</v>
      </c>
      <c r="J30" s="41">
        <v>0.21</v>
      </c>
      <c r="K30" s="41">
        <v>274.82</v>
      </c>
      <c r="L30" s="41">
        <v>22.77</v>
      </c>
      <c r="M30" s="41">
        <v>38.82</v>
      </c>
      <c r="N30" s="41">
        <v>2.2999999999999998</v>
      </c>
      <c r="O30" s="41">
        <v>0</v>
      </c>
      <c r="P30" s="41">
        <v>0.7</v>
      </c>
      <c r="Q30" s="41">
        <v>9.32</v>
      </c>
      <c r="R30" s="38"/>
      <c r="S30" s="38"/>
      <c r="T30" s="38"/>
      <c r="U30" s="38"/>
    </row>
    <row r="31" spans="1:21" customFormat="1">
      <c r="A31" s="40" t="s">
        <v>251</v>
      </c>
      <c r="B31" s="41">
        <v>10.19</v>
      </c>
      <c r="C31" s="41">
        <v>11.43</v>
      </c>
      <c r="D31" s="41">
        <v>14.14</v>
      </c>
      <c r="E31" s="41">
        <v>5.47</v>
      </c>
      <c r="F31" s="41">
        <v>2</v>
      </c>
      <c r="G31" s="41">
        <v>100.79</v>
      </c>
      <c r="H31" s="41">
        <v>37.42</v>
      </c>
      <c r="I31" s="41">
        <v>10.3</v>
      </c>
      <c r="J31" s="41">
        <v>0.32</v>
      </c>
      <c r="K31" s="41">
        <v>171.65</v>
      </c>
      <c r="L31" s="41">
        <v>15.7</v>
      </c>
      <c r="M31" s="41">
        <v>21.37</v>
      </c>
      <c r="N31" s="41">
        <v>2</v>
      </c>
      <c r="O31" s="41">
        <v>0</v>
      </c>
      <c r="P31" s="41">
        <v>0.77</v>
      </c>
      <c r="Q31" s="41">
        <v>9.32</v>
      </c>
      <c r="R31" s="38"/>
      <c r="S31" s="38"/>
      <c r="T31" s="38"/>
      <c r="U31" s="38"/>
    </row>
    <row r="32" spans="1:21" customFormat="1">
      <c r="A32" s="40" t="s">
        <v>252</v>
      </c>
      <c r="B32" s="41">
        <v>13.2</v>
      </c>
      <c r="C32" s="41">
        <v>11.87</v>
      </c>
      <c r="D32" s="41">
        <v>16.78</v>
      </c>
      <c r="E32" s="41">
        <v>5.36</v>
      </c>
      <c r="F32" s="41">
        <v>2</v>
      </c>
      <c r="G32" s="41">
        <v>129.54</v>
      </c>
      <c r="H32" s="41">
        <v>49.83</v>
      </c>
      <c r="I32" s="41">
        <v>11.03</v>
      </c>
      <c r="J32" s="41">
        <v>0.26</v>
      </c>
      <c r="K32" s="41">
        <v>43.95</v>
      </c>
      <c r="L32" s="41">
        <v>11.82</v>
      </c>
      <c r="M32" s="41">
        <v>11.5</v>
      </c>
      <c r="N32" s="41">
        <v>2.1</v>
      </c>
      <c r="O32" s="41">
        <v>0</v>
      </c>
      <c r="P32" s="41">
        <v>0.81</v>
      </c>
      <c r="Q32" s="41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1.9</v>
      </c>
      <c r="C34" s="18">
        <f t="shared" si="0"/>
        <v>9.8699999999999992</v>
      </c>
      <c r="D34" s="18">
        <f t="shared" si="0"/>
        <v>9.31</v>
      </c>
      <c r="E34" s="18">
        <f t="shared" si="0"/>
        <v>4.17</v>
      </c>
      <c r="F34" s="18">
        <f t="shared" si="0"/>
        <v>2</v>
      </c>
      <c r="G34" s="18">
        <f t="shared" si="0"/>
        <v>60.05</v>
      </c>
      <c r="H34" s="18">
        <f t="shared" si="0"/>
        <v>26.83</v>
      </c>
      <c r="I34" s="18">
        <f t="shared" si="0"/>
        <v>4.2300000000000004</v>
      </c>
      <c r="J34" s="18">
        <f t="shared" si="0"/>
        <v>0.15</v>
      </c>
      <c r="K34" s="18">
        <f t="shared" si="0"/>
        <v>29.68</v>
      </c>
      <c r="L34" s="18">
        <f t="shared" si="0"/>
        <v>7.53</v>
      </c>
      <c r="M34" s="18">
        <f t="shared" si="0"/>
        <v>1.49</v>
      </c>
      <c r="N34" s="18">
        <f t="shared" si="0"/>
        <v>2</v>
      </c>
      <c r="O34" s="18">
        <f t="shared" si="0"/>
        <v>0</v>
      </c>
      <c r="P34" s="18">
        <f t="shared" si="0"/>
        <v>0.44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16.649999999999999</v>
      </c>
      <c r="C35" s="3">
        <f t="shared" si="1"/>
        <v>20.76</v>
      </c>
      <c r="D35" s="3">
        <f t="shared" si="1"/>
        <v>18.559999999999999</v>
      </c>
      <c r="E35" s="3">
        <f t="shared" si="1"/>
        <v>13.32</v>
      </c>
      <c r="F35" s="3">
        <f t="shared" si="1"/>
        <v>44.07</v>
      </c>
      <c r="G35" s="3">
        <f t="shared" si="1"/>
        <v>129.54</v>
      </c>
      <c r="H35" s="3">
        <f t="shared" si="1"/>
        <v>49.83</v>
      </c>
      <c r="I35" s="3">
        <f t="shared" si="1"/>
        <v>11.03</v>
      </c>
      <c r="J35" s="3">
        <f t="shared" si="1"/>
        <v>0.85</v>
      </c>
      <c r="K35" s="3">
        <f t="shared" si="1"/>
        <v>359.99</v>
      </c>
      <c r="L35" s="3">
        <f t="shared" si="1"/>
        <v>30.8</v>
      </c>
      <c r="M35" s="3">
        <f t="shared" si="1"/>
        <v>44.28</v>
      </c>
      <c r="N35" s="3">
        <f t="shared" si="1"/>
        <v>656.3</v>
      </c>
      <c r="O35" s="3">
        <f t="shared" si="1"/>
        <v>0</v>
      </c>
      <c r="P35" s="3">
        <f t="shared" si="1"/>
        <v>0.81</v>
      </c>
      <c r="Q35" s="3">
        <f t="shared" si="1"/>
        <v>13.89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8.8341666666666665</v>
      </c>
      <c r="C36" s="18">
        <f t="shared" si="2"/>
        <v>13.009583333333333</v>
      </c>
      <c r="D36" s="18">
        <f t="shared" si="2"/>
        <v>13.681666666666667</v>
      </c>
      <c r="E36" s="18">
        <f t="shared" si="2"/>
        <v>6.9570833333333324</v>
      </c>
      <c r="F36" s="18">
        <f t="shared" si="2"/>
        <v>7.5945833333333335</v>
      </c>
      <c r="G36" s="18">
        <f t="shared" si="2"/>
        <v>86.285416666666663</v>
      </c>
      <c r="H36" s="18">
        <f t="shared" si="2"/>
        <v>34.2425</v>
      </c>
      <c r="I36" s="18">
        <f t="shared" si="2"/>
        <v>7.8316666666666679</v>
      </c>
      <c r="J36" s="18">
        <f t="shared" si="2"/>
        <v>0.50458333333333349</v>
      </c>
      <c r="K36" s="18">
        <f t="shared" si="2"/>
        <v>163.18833333333333</v>
      </c>
      <c r="L36" s="18">
        <f t="shared" si="2"/>
        <v>16.533749999999998</v>
      </c>
      <c r="M36" s="18">
        <f t="shared" si="2"/>
        <v>20.425416666666671</v>
      </c>
      <c r="N36" s="18">
        <f t="shared" si="2"/>
        <v>153.20000000000005</v>
      </c>
      <c r="O36" s="18">
        <f t="shared" si="2"/>
        <v>0</v>
      </c>
      <c r="P36" s="18">
        <f t="shared" si="2"/>
        <v>0.63124999999999998</v>
      </c>
      <c r="Q36" s="18">
        <f t="shared" si="2"/>
        <v>9.693333333333328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5.3078898752268966</v>
      </c>
      <c r="C37" s="18">
        <f t="shared" ref="C37:Q37" si="3">STDEV(C9:C32)</f>
        <v>3.1895542542147992</v>
      </c>
      <c r="D37" s="18">
        <f t="shared" si="3"/>
        <v>3.0941707699516572</v>
      </c>
      <c r="E37" s="18">
        <f t="shared" si="3"/>
        <v>2.3774895037790884</v>
      </c>
      <c r="F37" s="18">
        <f t="shared" si="3"/>
        <v>11.752934870903951</v>
      </c>
      <c r="G37" s="18">
        <f t="shared" si="3"/>
        <v>16.944092975882917</v>
      </c>
      <c r="H37" s="18">
        <f t="shared" si="3"/>
        <v>4.5718764580669085</v>
      </c>
      <c r="I37" s="18">
        <f t="shared" si="3"/>
        <v>1.8516659165914964</v>
      </c>
      <c r="J37" s="18">
        <f t="shared" si="3"/>
        <v>0.23055658867121984</v>
      </c>
      <c r="K37" s="18">
        <f t="shared" si="3"/>
        <v>121.51353263934334</v>
      </c>
      <c r="L37" s="18">
        <f t="shared" si="3"/>
        <v>5.830963685361116</v>
      </c>
      <c r="M37" s="18">
        <f t="shared" si="3"/>
        <v>11.83560104062119</v>
      </c>
      <c r="N37" s="18">
        <f t="shared" si="3"/>
        <v>238.09219441946905</v>
      </c>
      <c r="O37" s="18">
        <f t="shared" si="3"/>
        <v>0</v>
      </c>
      <c r="P37" s="18">
        <f t="shared" si="3"/>
        <v>0.10580180404478173</v>
      </c>
      <c r="Q37" s="18">
        <f t="shared" si="3"/>
        <v>1.0292955238231773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96"/>
  <sheetViews>
    <sheetView zoomScale="85" zoomScaleNormal="85" workbookViewId="0">
      <pane xSplit="2" ySplit="8" topLeftCell="C30" activePane="bottomRight" state="frozen"/>
      <selection activeCell="G19" sqref="G19"/>
      <selection pane="topRight" activeCell="G19" sqref="G19"/>
      <selection pane="bottomLeft" activeCell="G19" sqref="G19"/>
      <selection pane="bottomRight" activeCell="G14" sqref="G1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09/11/2025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253</v>
      </c>
      <c r="B9" s="41">
        <v>14.46</v>
      </c>
      <c r="C9" s="41">
        <v>12.28</v>
      </c>
      <c r="D9" s="41">
        <v>18.010000000000002</v>
      </c>
      <c r="E9" s="41">
        <v>5.54</v>
      </c>
      <c r="F9" s="41">
        <v>2</v>
      </c>
      <c r="G9" s="41">
        <v>134.05000000000001</v>
      </c>
      <c r="H9" s="41">
        <v>49.83</v>
      </c>
      <c r="I9" s="41">
        <v>11.18</v>
      </c>
      <c r="J9" s="41">
        <v>0.16</v>
      </c>
      <c r="K9" s="41">
        <v>65.349999999999994</v>
      </c>
      <c r="L9" s="41">
        <v>11.85</v>
      </c>
      <c r="M9" s="41">
        <v>11.47</v>
      </c>
      <c r="N9" s="41">
        <v>2.1</v>
      </c>
      <c r="O9" s="41">
        <v>0</v>
      </c>
      <c r="P9" s="41">
        <v>0.82</v>
      </c>
      <c r="Q9" s="41">
        <v>9.32</v>
      </c>
      <c r="R9" s="38"/>
      <c r="S9" s="38"/>
      <c r="T9" s="38"/>
      <c r="U9" s="38"/>
    </row>
    <row r="10" spans="1:21" customFormat="1">
      <c r="A10" s="40" t="s">
        <v>254</v>
      </c>
      <c r="B10" s="41">
        <v>14.61</v>
      </c>
      <c r="C10" s="41">
        <v>12.31</v>
      </c>
      <c r="D10" s="41">
        <v>18.149999999999999</v>
      </c>
      <c r="E10" s="41">
        <v>5.44</v>
      </c>
      <c r="F10" s="41">
        <v>2</v>
      </c>
      <c r="G10" s="41">
        <v>134.05000000000001</v>
      </c>
      <c r="H10" s="41">
        <v>49.14</v>
      </c>
      <c r="I10" s="41">
        <v>11.06</v>
      </c>
      <c r="J10" s="41">
        <v>0.26</v>
      </c>
      <c r="K10" s="41">
        <v>56.97</v>
      </c>
      <c r="L10" s="41">
        <v>12.04</v>
      </c>
      <c r="M10" s="41">
        <v>11.96</v>
      </c>
      <c r="N10" s="41">
        <v>2.1</v>
      </c>
      <c r="O10" s="41">
        <v>0</v>
      </c>
      <c r="P10" s="41">
        <v>0.81</v>
      </c>
      <c r="Q10" s="41">
        <v>9.32</v>
      </c>
      <c r="R10" s="38"/>
      <c r="S10" s="38"/>
      <c r="T10" s="38"/>
      <c r="U10" s="38"/>
    </row>
    <row r="11" spans="1:21" customFormat="1">
      <c r="A11" s="40" t="s">
        <v>255</v>
      </c>
      <c r="B11" s="41">
        <v>14.37</v>
      </c>
      <c r="C11" s="41">
        <v>12.35</v>
      </c>
      <c r="D11" s="41">
        <v>17.98</v>
      </c>
      <c r="E11" s="41">
        <v>6.42</v>
      </c>
      <c r="F11" s="41">
        <v>2</v>
      </c>
      <c r="G11" s="41">
        <v>123.33</v>
      </c>
      <c r="H11" s="41">
        <v>48.11</v>
      </c>
      <c r="I11" s="41">
        <v>10.7</v>
      </c>
      <c r="J11" s="41">
        <v>0.28000000000000003</v>
      </c>
      <c r="K11" s="41">
        <v>59.2</v>
      </c>
      <c r="L11" s="41">
        <v>9.59</v>
      </c>
      <c r="M11" s="41">
        <v>6.04</v>
      </c>
      <c r="N11" s="41">
        <v>2.1</v>
      </c>
      <c r="O11" s="41">
        <v>0</v>
      </c>
      <c r="P11" s="41">
        <v>0.84</v>
      </c>
      <c r="Q11" s="41">
        <v>9.32</v>
      </c>
      <c r="R11" s="38"/>
      <c r="S11" s="38"/>
      <c r="T11" s="38"/>
      <c r="U11" s="38"/>
    </row>
    <row r="12" spans="1:21" customFormat="1">
      <c r="A12" s="40" t="s">
        <v>256</v>
      </c>
      <c r="B12" s="41">
        <v>14.65</v>
      </c>
      <c r="C12" s="41">
        <v>12.35</v>
      </c>
      <c r="D12" s="41">
        <v>18.21</v>
      </c>
      <c r="E12" s="41">
        <v>6.18</v>
      </c>
      <c r="F12" s="41">
        <v>2</v>
      </c>
      <c r="G12" s="41">
        <v>145.46</v>
      </c>
      <c r="H12" s="41">
        <v>59.67</v>
      </c>
      <c r="I12" s="41">
        <v>11.2</v>
      </c>
      <c r="J12" s="41">
        <v>0.25</v>
      </c>
      <c r="K12" s="41">
        <v>54.16</v>
      </c>
      <c r="L12" s="41">
        <v>18.47</v>
      </c>
      <c r="M12" s="41">
        <v>28.18</v>
      </c>
      <c r="N12" s="41">
        <v>2.1</v>
      </c>
      <c r="O12" s="41">
        <v>0</v>
      </c>
      <c r="P12" s="41">
        <v>0.89</v>
      </c>
      <c r="Q12" s="41">
        <v>9.32</v>
      </c>
      <c r="R12" s="38"/>
      <c r="S12" s="38"/>
      <c r="T12" s="38"/>
      <c r="U12" s="38"/>
    </row>
    <row r="13" spans="1:21" customFormat="1">
      <c r="A13" s="40" t="s">
        <v>257</v>
      </c>
      <c r="B13" s="41">
        <v>15.09</v>
      </c>
      <c r="C13" s="41">
        <v>12.19</v>
      </c>
      <c r="D13" s="41">
        <v>18.41</v>
      </c>
      <c r="E13" s="41">
        <v>6.41</v>
      </c>
      <c r="F13" s="41">
        <v>2</v>
      </c>
      <c r="G13" s="41">
        <v>178.25</v>
      </c>
      <c r="H13" s="41">
        <v>63</v>
      </c>
      <c r="I13" s="41">
        <v>11.41</v>
      </c>
      <c r="J13" s="41">
        <v>0.37</v>
      </c>
      <c r="K13" s="41">
        <v>56.6</v>
      </c>
      <c r="L13" s="41">
        <v>13.4</v>
      </c>
      <c r="M13" s="41">
        <v>15.39</v>
      </c>
      <c r="N13" s="41">
        <v>2</v>
      </c>
      <c r="O13" s="41">
        <v>0</v>
      </c>
      <c r="P13" s="41">
        <v>0.97</v>
      </c>
      <c r="Q13" s="41">
        <v>9.32</v>
      </c>
      <c r="R13" s="38"/>
      <c r="S13" s="38"/>
      <c r="T13" s="38"/>
      <c r="U13" s="38"/>
    </row>
    <row r="14" spans="1:21" customFormat="1">
      <c r="A14" s="40" t="s">
        <v>258</v>
      </c>
      <c r="B14" s="41">
        <v>15.92</v>
      </c>
      <c r="C14" s="41">
        <v>12.21</v>
      </c>
      <c r="D14" s="41">
        <v>19.149999999999999</v>
      </c>
      <c r="E14" s="41">
        <v>6.67</v>
      </c>
      <c r="F14" s="41">
        <v>2</v>
      </c>
      <c r="G14" s="41">
        <v>192.3</v>
      </c>
      <c r="H14" s="41">
        <v>70.540000000000006</v>
      </c>
      <c r="I14" s="41">
        <v>11.85</v>
      </c>
      <c r="J14" s="41">
        <v>0.15</v>
      </c>
      <c r="K14" s="41">
        <v>143.38</v>
      </c>
      <c r="L14" s="41">
        <v>15.44</v>
      </c>
      <c r="M14" s="41">
        <v>20.66</v>
      </c>
      <c r="N14" s="41">
        <v>2.1</v>
      </c>
      <c r="O14" s="41">
        <v>0</v>
      </c>
      <c r="P14" s="41">
        <v>1.01</v>
      </c>
      <c r="Q14" s="41">
        <v>9.32</v>
      </c>
      <c r="R14" s="38"/>
      <c r="S14" s="38"/>
      <c r="T14" s="38"/>
      <c r="U14" s="38"/>
    </row>
    <row r="15" spans="1:21" customFormat="1">
      <c r="A15" s="40" t="s">
        <v>259</v>
      </c>
      <c r="B15" s="41">
        <v>17.77</v>
      </c>
      <c r="C15" s="41">
        <v>12.8</v>
      </c>
      <c r="D15" s="41">
        <v>20.93</v>
      </c>
      <c r="E15" s="41">
        <v>7.02</v>
      </c>
      <c r="F15" s="41">
        <v>2</v>
      </c>
      <c r="G15" s="41">
        <v>192.3</v>
      </c>
      <c r="H15" s="41">
        <v>72.150000000000006</v>
      </c>
      <c r="I15" s="41">
        <v>12.52</v>
      </c>
      <c r="J15" s="41">
        <v>0.32</v>
      </c>
      <c r="K15" s="41">
        <v>159.1</v>
      </c>
      <c r="L15" s="41">
        <v>15.63</v>
      </c>
      <c r="M15" s="41">
        <v>20.94</v>
      </c>
      <c r="N15" s="41">
        <v>24.7</v>
      </c>
      <c r="O15" s="41">
        <v>0</v>
      </c>
      <c r="P15" s="41">
        <v>1.04</v>
      </c>
      <c r="Q15" s="41">
        <v>9.32</v>
      </c>
      <c r="R15" s="38"/>
      <c r="S15" s="38"/>
      <c r="T15" s="38"/>
      <c r="U15" s="38"/>
    </row>
    <row r="16" spans="1:21" customFormat="1">
      <c r="A16" s="40" t="s">
        <v>260</v>
      </c>
      <c r="B16" s="41">
        <v>17.95</v>
      </c>
      <c r="C16" s="41">
        <v>13.3</v>
      </c>
      <c r="D16" s="41">
        <v>21.16</v>
      </c>
      <c r="E16" s="41">
        <v>7.31</v>
      </c>
      <c r="F16" s="41">
        <v>2</v>
      </c>
      <c r="G16" s="41">
        <v>199.67</v>
      </c>
      <c r="H16" s="41">
        <v>81.16</v>
      </c>
      <c r="I16" s="41">
        <v>13.49</v>
      </c>
      <c r="J16" s="41">
        <v>0.35</v>
      </c>
      <c r="K16" s="41">
        <v>156.83000000000001</v>
      </c>
      <c r="L16" s="41">
        <v>19.96</v>
      </c>
      <c r="M16" s="41">
        <v>27.76</v>
      </c>
      <c r="N16" s="41">
        <v>176.9</v>
      </c>
      <c r="O16" s="41">
        <v>0</v>
      </c>
      <c r="P16" s="41">
        <v>1.07</v>
      </c>
      <c r="Q16" s="41">
        <v>9.32</v>
      </c>
      <c r="R16" s="38"/>
      <c r="S16" s="38"/>
      <c r="T16" s="38"/>
      <c r="U16" s="38"/>
    </row>
    <row r="17" spans="1:21" customFormat="1">
      <c r="A17" s="40" t="s">
        <v>261</v>
      </c>
      <c r="B17" s="41">
        <v>15.91</v>
      </c>
      <c r="C17" s="41">
        <v>13.57</v>
      </c>
      <c r="D17" s="41">
        <v>19.760000000000002</v>
      </c>
      <c r="E17" s="41">
        <v>6.92</v>
      </c>
      <c r="F17" s="41">
        <v>2</v>
      </c>
      <c r="G17" s="41">
        <v>199.67</v>
      </c>
      <c r="H17" s="41">
        <v>81.16</v>
      </c>
      <c r="I17" s="41">
        <v>13.56</v>
      </c>
      <c r="J17" s="41">
        <v>0.46</v>
      </c>
      <c r="K17" s="41">
        <v>49.39</v>
      </c>
      <c r="L17" s="41">
        <v>17.100000000000001</v>
      </c>
      <c r="M17" s="41">
        <v>18.77</v>
      </c>
      <c r="N17" s="41">
        <v>333.2</v>
      </c>
      <c r="O17" s="41">
        <v>0</v>
      </c>
      <c r="P17" s="41">
        <v>1.06</v>
      </c>
      <c r="Q17" s="41">
        <v>9.32</v>
      </c>
      <c r="R17" s="38"/>
      <c r="S17" s="38"/>
      <c r="T17" s="38"/>
      <c r="U17" s="38"/>
    </row>
    <row r="18" spans="1:21" customFormat="1">
      <c r="A18" s="40" t="s">
        <v>262</v>
      </c>
      <c r="B18" s="41">
        <v>12.73</v>
      </c>
      <c r="C18" s="41">
        <v>13.53</v>
      </c>
      <c r="D18" s="41">
        <v>17.23</v>
      </c>
      <c r="E18" s="41">
        <v>6.79</v>
      </c>
      <c r="F18" s="41">
        <v>2</v>
      </c>
      <c r="G18" s="41">
        <v>167.11</v>
      </c>
      <c r="H18" s="41">
        <v>76.680000000000007</v>
      </c>
      <c r="I18" s="41">
        <v>12.96</v>
      </c>
      <c r="J18" s="41">
        <v>0.62</v>
      </c>
      <c r="K18" s="41">
        <v>51</v>
      </c>
      <c r="L18" s="41">
        <v>17.350000000000001</v>
      </c>
      <c r="M18" s="41">
        <v>15.79</v>
      </c>
      <c r="N18" s="41">
        <v>410.6</v>
      </c>
      <c r="O18" s="41">
        <v>0</v>
      </c>
      <c r="P18" s="41">
        <v>1.03</v>
      </c>
      <c r="Q18" s="41">
        <v>9.32</v>
      </c>
      <c r="R18" s="38"/>
      <c r="S18" s="38"/>
      <c r="T18" s="38"/>
      <c r="U18" s="38"/>
    </row>
    <row r="19" spans="1:21" customFormat="1">
      <c r="A19" s="40" t="s">
        <v>263</v>
      </c>
      <c r="B19" s="41">
        <v>9.1999999999999993</v>
      </c>
      <c r="C19" s="41">
        <v>13.5</v>
      </c>
      <c r="D19" s="41">
        <v>14.43</v>
      </c>
      <c r="E19" s="41">
        <v>6.2</v>
      </c>
      <c r="F19" s="41">
        <v>2</v>
      </c>
      <c r="G19" s="41">
        <v>133.35</v>
      </c>
      <c r="H19" s="41">
        <v>70.63</v>
      </c>
      <c r="I19" s="41">
        <v>12.72</v>
      </c>
      <c r="J19" s="41">
        <v>0.59</v>
      </c>
      <c r="K19" s="41">
        <v>76.48</v>
      </c>
      <c r="L19" s="41">
        <v>16.010000000000002</v>
      </c>
      <c r="M19" s="41">
        <v>9.74</v>
      </c>
      <c r="N19" s="41">
        <v>544.79999999999995</v>
      </c>
      <c r="O19" s="41">
        <v>0</v>
      </c>
      <c r="P19" s="41">
        <v>0.96</v>
      </c>
      <c r="Q19" s="41">
        <v>9.32</v>
      </c>
      <c r="R19" s="38"/>
      <c r="S19" s="38"/>
      <c r="T19" s="38"/>
      <c r="U19" s="38"/>
    </row>
    <row r="20" spans="1:21" customFormat="1">
      <c r="A20" s="40" t="s">
        <v>264</v>
      </c>
      <c r="B20" s="41">
        <v>5.23</v>
      </c>
      <c r="C20" s="41">
        <v>13.18</v>
      </c>
      <c r="D20" s="41">
        <v>11.09</v>
      </c>
      <c r="E20" s="41">
        <v>5.91</v>
      </c>
      <c r="F20" s="41">
        <v>2</v>
      </c>
      <c r="G20" s="41">
        <v>115.87</v>
      </c>
      <c r="H20" s="41">
        <v>68.45</v>
      </c>
      <c r="I20" s="41">
        <v>12.15</v>
      </c>
      <c r="J20" s="41">
        <v>0.48</v>
      </c>
      <c r="K20" s="41">
        <v>81.319999999999993</v>
      </c>
      <c r="L20" s="41">
        <v>20.52</v>
      </c>
      <c r="M20" s="41">
        <v>19.12</v>
      </c>
      <c r="N20" s="41">
        <v>610.1</v>
      </c>
      <c r="O20" s="41">
        <v>0</v>
      </c>
      <c r="P20" s="41">
        <v>0.92</v>
      </c>
      <c r="Q20" s="41">
        <v>9.32</v>
      </c>
      <c r="R20" s="38"/>
      <c r="S20" s="38"/>
      <c r="T20" s="38"/>
      <c r="U20" s="38"/>
    </row>
    <row r="21" spans="1:21" customFormat="1">
      <c r="A21" s="40" t="s">
        <v>265</v>
      </c>
      <c r="B21" s="41">
        <v>2.84</v>
      </c>
      <c r="C21" s="41">
        <v>12.17</v>
      </c>
      <c r="D21" s="41">
        <v>8.64</v>
      </c>
      <c r="E21" s="41">
        <v>5.42</v>
      </c>
      <c r="F21" s="41">
        <v>2</v>
      </c>
      <c r="G21" s="41">
        <v>102.87</v>
      </c>
      <c r="H21" s="41">
        <v>63.71</v>
      </c>
      <c r="I21" s="41">
        <v>11.51</v>
      </c>
      <c r="J21" s="41">
        <v>0.4</v>
      </c>
      <c r="K21" s="41">
        <v>306.04000000000002</v>
      </c>
      <c r="L21" s="41">
        <v>28.3</v>
      </c>
      <c r="M21" s="41">
        <v>38.83</v>
      </c>
      <c r="N21" s="41">
        <v>608.1</v>
      </c>
      <c r="O21" s="41">
        <v>0</v>
      </c>
      <c r="P21" s="41">
        <v>0.87</v>
      </c>
      <c r="Q21" s="41">
        <v>9.32</v>
      </c>
      <c r="R21" s="38"/>
      <c r="S21" s="38"/>
      <c r="T21" s="38"/>
      <c r="U21" s="38"/>
    </row>
    <row r="22" spans="1:21" customFormat="1">
      <c r="A22" s="40" t="s">
        <v>266</v>
      </c>
      <c r="B22" s="41">
        <v>1.92</v>
      </c>
      <c r="C22" s="41">
        <v>10.67</v>
      </c>
      <c r="D22" s="41">
        <v>7.12</v>
      </c>
      <c r="E22" s="41">
        <v>6.46</v>
      </c>
      <c r="F22" s="41">
        <v>3.31</v>
      </c>
      <c r="G22" s="41">
        <v>85.32</v>
      </c>
      <c r="H22" s="41">
        <v>54.63</v>
      </c>
      <c r="I22" s="41">
        <v>10.84</v>
      </c>
      <c r="J22" s="41">
        <v>0.42</v>
      </c>
      <c r="K22" s="41">
        <v>340.31</v>
      </c>
      <c r="L22" s="41">
        <v>24.79</v>
      </c>
      <c r="M22" s="41">
        <v>32.58</v>
      </c>
      <c r="N22" s="41">
        <v>489.7</v>
      </c>
      <c r="O22" s="41">
        <v>0</v>
      </c>
      <c r="P22" s="41">
        <v>0.81</v>
      </c>
      <c r="Q22" s="41">
        <v>9.32</v>
      </c>
      <c r="R22" s="38"/>
      <c r="S22" s="38"/>
      <c r="T22" s="38"/>
      <c r="U22" s="38"/>
    </row>
    <row r="23" spans="1:21" customFormat="1">
      <c r="A23" s="40" t="s">
        <v>267</v>
      </c>
      <c r="B23" s="41">
        <v>1.75</v>
      </c>
      <c r="C23" s="41">
        <v>11.34</v>
      </c>
      <c r="D23" s="41">
        <v>7.29</v>
      </c>
      <c r="E23" s="41">
        <v>10.1</v>
      </c>
      <c r="F23" s="41">
        <v>8.35</v>
      </c>
      <c r="G23" s="41">
        <v>84.15</v>
      </c>
      <c r="H23" s="41">
        <v>49.81</v>
      </c>
      <c r="I23" s="41">
        <v>9.93</v>
      </c>
      <c r="J23" s="41">
        <v>0.45</v>
      </c>
      <c r="K23" s="41">
        <v>351.43</v>
      </c>
      <c r="L23" s="41">
        <v>19.87</v>
      </c>
      <c r="M23" s="41">
        <v>29.88</v>
      </c>
      <c r="N23" s="41">
        <v>87</v>
      </c>
      <c r="O23" s="41">
        <v>0</v>
      </c>
      <c r="P23" s="41">
        <v>0.76</v>
      </c>
      <c r="Q23" s="41">
        <v>9.32</v>
      </c>
      <c r="R23" s="38"/>
      <c r="S23" s="38"/>
      <c r="T23" s="38"/>
      <c r="U23" s="38"/>
    </row>
    <row r="24" spans="1:21" customFormat="1">
      <c r="A24" s="40" t="s">
        <v>268</v>
      </c>
      <c r="B24" s="41">
        <v>2.0499999999999998</v>
      </c>
      <c r="C24" s="41">
        <v>13.55</v>
      </c>
      <c r="D24" s="41">
        <v>8.7200000000000006</v>
      </c>
      <c r="E24" s="41">
        <v>10.98</v>
      </c>
      <c r="F24" s="41">
        <v>5.77</v>
      </c>
      <c r="G24" s="41">
        <v>91.57</v>
      </c>
      <c r="H24" s="41">
        <v>49.07</v>
      </c>
      <c r="I24" s="41">
        <v>9.32</v>
      </c>
      <c r="J24" s="41">
        <v>0.49</v>
      </c>
      <c r="K24" s="41">
        <v>16.940000000000001</v>
      </c>
      <c r="L24" s="41">
        <v>16.13</v>
      </c>
      <c r="M24" s="41">
        <v>21.12</v>
      </c>
      <c r="N24" s="41">
        <v>42.2</v>
      </c>
      <c r="O24" s="41">
        <v>0</v>
      </c>
      <c r="P24" s="41">
        <v>0.75</v>
      </c>
      <c r="Q24" s="41">
        <v>9.32</v>
      </c>
      <c r="R24" s="38"/>
      <c r="S24" s="38"/>
      <c r="T24" s="38"/>
      <c r="U24" s="38"/>
    </row>
    <row r="25" spans="1:21" customFormat="1">
      <c r="A25" s="40" t="s">
        <v>269</v>
      </c>
      <c r="B25" s="41">
        <v>2.38</v>
      </c>
      <c r="C25" s="41">
        <v>14.11</v>
      </c>
      <c r="D25" s="41">
        <v>9.2799999999999994</v>
      </c>
      <c r="E25" s="41">
        <v>10.119999999999999</v>
      </c>
      <c r="F25" s="41">
        <v>2.81</v>
      </c>
      <c r="G25" s="41">
        <v>104.05</v>
      </c>
      <c r="H25" s="41">
        <v>50.77</v>
      </c>
      <c r="I25" s="41">
        <v>9.33</v>
      </c>
      <c r="J25" s="41">
        <v>0.49</v>
      </c>
      <c r="K25" s="41">
        <v>47.18</v>
      </c>
      <c r="L25" s="41">
        <v>12.38</v>
      </c>
      <c r="M25" s="41">
        <v>12.32</v>
      </c>
      <c r="N25" s="41">
        <v>22.5</v>
      </c>
      <c r="O25" s="41">
        <v>0</v>
      </c>
      <c r="P25" s="41">
        <v>0.75</v>
      </c>
      <c r="Q25" s="41">
        <v>9.32</v>
      </c>
      <c r="R25" s="38"/>
      <c r="S25" s="38"/>
      <c r="T25" s="38"/>
      <c r="U25" s="38"/>
    </row>
    <row r="26" spans="1:21" customFormat="1">
      <c r="A26" s="40" t="s">
        <v>270</v>
      </c>
      <c r="B26" s="41">
        <v>2.82</v>
      </c>
      <c r="C26" s="41">
        <v>13.06</v>
      </c>
      <c r="D26" s="41">
        <v>8.8800000000000008</v>
      </c>
      <c r="E26" s="41">
        <v>6.98</v>
      </c>
      <c r="F26" s="41">
        <v>2</v>
      </c>
      <c r="G26" s="41">
        <v>104.05</v>
      </c>
      <c r="H26" s="41">
        <v>50.77</v>
      </c>
      <c r="I26" s="41">
        <v>9.2200000000000006</v>
      </c>
      <c r="J26" s="41">
        <v>0.17</v>
      </c>
      <c r="K26" s="41">
        <v>158.63999999999999</v>
      </c>
      <c r="L26" s="41">
        <v>15.3</v>
      </c>
      <c r="M26" s="41">
        <v>20.38</v>
      </c>
      <c r="N26" s="41">
        <v>6.1</v>
      </c>
      <c r="O26" s="41">
        <v>0</v>
      </c>
      <c r="P26" s="41">
        <v>0.77</v>
      </c>
      <c r="Q26" s="41">
        <v>9.32</v>
      </c>
      <c r="R26" s="38"/>
      <c r="S26" s="38"/>
      <c r="T26" s="38"/>
      <c r="U26" s="38"/>
    </row>
    <row r="27" spans="1:21" customFormat="1">
      <c r="A27" s="40" t="s">
        <v>271</v>
      </c>
      <c r="B27" s="41">
        <v>4.63</v>
      </c>
      <c r="C27" s="41">
        <v>12.67</v>
      </c>
      <c r="D27" s="41">
        <v>10.3</v>
      </c>
      <c r="E27" s="41">
        <v>6.63</v>
      </c>
      <c r="F27" s="41">
        <v>2</v>
      </c>
      <c r="G27" s="41">
        <v>102.02</v>
      </c>
      <c r="H27" s="41">
        <v>51.06</v>
      </c>
      <c r="I27" s="41">
        <v>9.6300000000000008</v>
      </c>
      <c r="J27" s="41">
        <v>0.19</v>
      </c>
      <c r="K27" s="41">
        <v>184.1</v>
      </c>
      <c r="L27" s="41">
        <v>17.03</v>
      </c>
      <c r="M27" s="41">
        <v>24.87</v>
      </c>
      <c r="N27" s="41">
        <v>2.4</v>
      </c>
      <c r="O27" s="41">
        <v>0</v>
      </c>
      <c r="P27" s="41">
        <v>0.82</v>
      </c>
      <c r="Q27" s="41">
        <v>9.32</v>
      </c>
      <c r="R27" s="38"/>
      <c r="S27" s="38"/>
      <c r="T27" s="38"/>
      <c r="U27" s="38"/>
    </row>
    <row r="28" spans="1:21" customFormat="1">
      <c r="A28" s="40" t="s">
        <v>272</v>
      </c>
      <c r="B28" s="41">
        <v>5.7</v>
      </c>
      <c r="C28" s="41">
        <v>12.52</v>
      </c>
      <c r="D28" s="41">
        <v>10.73</v>
      </c>
      <c r="E28" s="41">
        <v>6.35</v>
      </c>
      <c r="F28" s="41">
        <v>2</v>
      </c>
      <c r="G28" s="41">
        <v>113.91</v>
      </c>
      <c r="H28" s="41">
        <v>51.56</v>
      </c>
      <c r="I28" s="41">
        <v>10.33</v>
      </c>
      <c r="J28" s="41">
        <v>0.19</v>
      </c>
      <c r="K28" s="41">
        <v>210.39</v>
      </c>
      <c r="L28" s="41">
        <v>19.25</v>
      </c>
      <c r="M28" s="41">
        <v>30.45</v>
      </c>
      <c r="N28" s="41">
        <v>2.4</v>
      </c>
      <c r="O28" s="41">
        <v>0</v>
      </c>
      <c r="P28" s="41">
        <v>0.84</v>
      </c>
      <c r="Q28" s="41">
        <v>9.32</v>
      </c>
      <c r="R28" s="38"/>
      <c r="S28" s="38"/>
      <c r="T28" s="38"/>
      <c r="U28" s="38"/>
    </row>
    <row r="29" spans="1:21" customFormat="1">
      <c r="A29" s="40" t="s">
        <v>273</v>
      </c>
      <c r="B29" s="41">
        <v>6.47</v>
      </c>
      <c r="C29" s="41">
        <v>11.64</v>
      </c>
      <c r="D29" s="41">
        <v>11.04</v>
      </c>
      <c r="E29" s="41">
        <v>6.2</v>
      </c>
      <c r="F29" s="41">
        <v>2</v>
      </c>
      <c r="G29" s="41">
        <v>113.91</v>
      </c>
      <c r="H29" s="41">
        <v>51.56</v>
      </c>
      <c r="I29" s="41">
        <v>10.5</v>
      </c>
      <c r="J29" s="41">
        <v>0.13</v>
      </c>
      <c r="K29" s="41">
        <v>205.81</v>
      </c>
      <c r="L29" s="41">
        <v>18.89</v>
      </c>
      <c r="M29" s="41">
        <v>29.54</v>
      </c>
      <c r="N29" s="41">
        <v>2</v>
      </c>
      <c r="O29" s="41">
        <v>0</v>
      </c>
      <c r="P29" s="41">
        <v>0.84</v>
      </c>
      <c r="Q29" s="41">
        <v>9.32</v>
      </c>
      <c r="R29" s="38"/>
      <c r="S29" s="38"/>
      <c r="T29" s="38"/>
      <c r="U29" s="38"/>
    </row>
    <row r="30" spans="1:21" customFormat="1">
      <c r="A30" s="40" t="s">
        <v>274</v>
      </c>
      <c r="B30" s="41">
        <v>6.97</v>
      </c>
      <c r="C30" s="41">
        <v>11.02</v>
      </c>
      <c r="D30" s="41">
        <v>11.17</v>
      </c>
      <c r="E30" s="41">
        <v>6.11</v>
      </c>
      <c r="F30" s="41">
        <v>2</v>
      </c>
      <c r="G30" s="41">
        <v>85.38</v>
      </c>
      <c r="H30" s="41">
        <v>42.69</v>
      </c>
      <c r="I30" s="41">
        <v>10.61</v>
      </c>
      <c r="J30" s="41">
        <v>0.14000000000000001</v>
      </c>
      <c r="K30" s="41">
        <v>213.89</v>
      </c>
      <c r="L30" s="41">
        <v>19.34</v>
      </c>
      <c r="M30" s="41">
        <v>30.65</v>
      </c>
      <c r="N30" s="41">
        <v>2.1</v>
      </c>
      <c r="O30" s="41">
        <v>0</v>
      </c>
      <c r="P30" s="41">
        <v>0.83</v>
      </c>
      <c r="Q30" s="41">
        <v>9.32</v>
      </c>
      <c r="R30" s="38"/>
      <c r="S30" s="38"/>
      <c r="T30" s="38"/>
      <c r="U30" s="38"/>
    </row>
    <row r="31" spans="1:21" customFormat="1">
      <c r="A31" s="40" t="s">
        <v>275</v>
      </c>
      <c r="B31" s="41">
        <v>7.44</v>
      </c>
      <c r="C31" s="41">
        <v>10.59</v>
      </c>
      <c r="D31" s="41">
        <v>11.44</v>
      </c>
      <c r="E31" s="41">
        <v>6.21</v>
      </c>
      <c r="F31" s="41">
        <v>2</v>
      </c>
      <c r="G31" s="41">
        <v>81.98</v>
      </c>
      <c r="H31" s="41">
        <v>39.74</v>
      </c>
      <c r="I31" s="41">
        <v>10.8</v>
      </c>
      <c r="J31" s="41">
        <v>0.16</v>
      </c>
      <c r="K31" s="41">
        <v>200.07</v>
      </c>
      <c r="L31" s="41">
        <v>18.48</v>
      </c>
      <c r="M31" s="41">
        <v>28.53</v>
      </c>
      <c r="N31" s="41">
        <v>2.1</v>
      </c>
      <c r="O31" s="41">
        <v>0</v>
      </c>
      <c r="P31" s="41">
        <v>0.83</v>
      </c>
      <c r="Q31" s="41">
        <v>9.32</v>
      </c>
      <c r="R31" s="38"/>
      <c r="S31" s="38"/>
      <c r="T31" s="38"/>
      <c r="U31" s="38"/>
    </row>
    <row r="32" spans="1:21" customFormat="1">
      <c r="A32" s="40" t="s">
        <v>276</v>
      </c>
      <c r="B32" s="41">
        <v>7.37</v>
      </c>
      <c r="C32" s="41">
        <v>10.3</v>
      </c>
      <c r="D32" s="41">
        <v>11.29</v>
      </c>
      <c r="E32" s="41">
        <v>6.4</v>
      </c>
      <c r="F32" s="41">
        <v>2</v>
      </c>
      <c r="G32" s="41">
        <v>79.510000000000005</v>
      </c>
      <c r="H32" s="41">
        <v>39.58</v>
      </c>
      <c r="I32" s="41">
        <v>10.96</v>
      </c>
      <c r="J32" s="41">
        <v>0.13</v>
      </c>
      <c r="K32" s="41">
        <v>185.34</v>
      </c>
      <c r="L32" s="41">
        <v>16.84</v>
      </c>
      <c r="M32" s="41">
        <v>24.19</v>
      </c>
      <c r="N32" s="41">
        <v>2.1</v>
      </c>
      <c r="O32" s="41">
        <v>0</v>
      </c>
      <c r="P32" s="41">
        <v>0.81</v>
      </c>
      <c r="Q32" s="41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1.75</v>
      </c>
      <c r="C34" s="18">
        <f t="shared" si="0"/>
        <v>10.3</v>
      </c>
      <c r="D34" s="18">
        <f t="shared" si="0"/>
        <v>7.12</v>
      </c>
      <c r="E34" s="18">
        <f t="shared" si="0"/>
        <v>5.42</v>
      </c>
      <c r="F34" s="18">
        <f t="shared" si="0"/>
        <v>2</v>
      </c>
      <c r="G34" s="18">
        <f t="shared" si="0"/>
        <v>79.510000000000005</v>
      </c>
      <c r="H34" s="18">
        <f t="shared" si="0"/>
        <v>39.58</v>
      </c>
      <c r="I34" s="18">
        <f t="shared" si="0"/>
        <v>9.2200000000000006</v>
      </c>
      <c r="J34" s="18">
        <f t="shared" si="0"/>
        <v>0.13</v>
      </c>
      <c r="K34" s="18">
        <f t="shared" si="0"/>
        <v>16.940000000000001</v>
      </c>
      <c r="L34" s="18">
        <f t="shared" si="0"/>
        <v>9.59</v>
      </c>
      <c r="M34" s="18">
        <f t="shared" si="0"/>
        <v>6.04</v>
      </c>
      <c r="N34" s="18">
        <f t="shared" si="0"/>
        <v>2</v>
      </c>
      <c r="O34" s="18">
        <f t="shared" si="0"/>
        <v>0</v>
      </c>
      <c r="P34" s="18">
        <f t="shared" si="0"/>
        <v>0.75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17.95</v>
      </c>
      <c r="C35" s="3">
        <f t="shared" si="1"/>
        <v>14.11</v>
      </c>
      <c r="D35" s="3">
        <f t="shared" si="1"/>
        <v>21.16</v>
      </c>
      <c r="E35" s="3">
        <f t="shared" si="1"/>
        <v>10.98</v>
      </c>
      <c r="F35" s="3">
        <f t="shared" si="1"/>
        <v>8.35</v>
      </c>
      <c r="G35" s="3">
        <f t="shared" si="1"/>
        <v>199.67</v>
      </c>
      <c r="H35" s="3">
        <f t="shared" si="1"/>
        <v>81.16</v>
      </c>
      <c r="I35" s="3">
        <f t="shared" si="1"/>
        <v>13.56</v>
      </c>
      <c r="J35" s="3">
        <f t="shared" si="1"/>
        <v>0.62</v>
      </c>
      <c r="K35" s="3">
        <f t="shared" si="1"/>
        <v>351.43</v>
      </c>
      <c r="L35" s="3">
        <f t="shared" si="1"/>
        <v>28.3</v>
      </c>
      <c r="M35" s="3">
        <f t="shared" si="1"/>
        <v>38.83</v>
      </c>
      <c r="N35" s="3">
        <f t="shared" si="1"/>
        <v>610.1</v>
      </c>
      <c r="O35" s="3">
        <f t="shared" si="1"/>
        <v>0</v>
      </c>
      <c r="P35" s="3">
        <f t="shared" si="1"/>
        <v>1.07</v>
      </c>
      <c r="Q35" s="3">
        <f t="shared" si="1"/>
        <v>9.32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9.1762499999999978</v>
      </c>
      <c r="C36" s="18">
        <f t="shared" si="2"/>
        <v>12.383749999999997</v>
      </c>
      <c r="D36" s="18">
        <f t="shared" si="2"/>
        <v>13.767083333333337</v>
      </c>
      <c r="E36" s="18">
        <f t="shared" si="2"/>
        <v>6.8654166666666674</v>
      </c>
      <c r="F36" s="18">
        <f t="shared" si="2"/>
        <v>2.5099999999999998</v>
      </c>
      <c r="G36" s="18">
        <f t="shared" si="2"/>
        <v>127.67208333333336</v>
      </c>
      <c r="H36" s="18">
        <f t="shared" si="2"/>
        <v>57.727916666666665</v>
      </c>
      <c r="I36" s="18">
        <f t="shared" si="2"/>
        <v>11.157499999999999</v>
      </c>
      <c r="J36" s="18">
        <f t="shared" si="2"/>
        <v>0.31875000000000003</v>
      </c>
      <c r="K36" s="18">
        <f t="shared" si="2"/>
        <v>142.91333333333333</v>
      </c>
      <c r="L36" s="18">
        <f t="shared" si="2"/>
        <v>17.248333333333331</v>
      </c>
      <c r="M36" s="18">
        <f t="shared" si="2"/>
        <v>22.048333333333332</v>
      </c>
      <c r="N36" s="18">
        <f t="shared" si="2"/>
        <v>140.89583333333329</v>
      </c>
      <c r="O36" s="18">
        <f t="shared" si="2"/>
        <v>0</v>
      </c>
      <c r="P36" s="18">
        <f t="shared" si="2"/>
        <v>0.87916666666666643</v>
      </c>
      <c r="Q36" s="18">
        <f t="shared" si="2"/>
        <v>9.319999999999995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5.732267031994148</v>
      </c>
      <c r="C37" s="18">
        <f t="shared" ref="C37:Q37" si="3">STDEV(C9:C32)</f>
        <v>1.0350921509071378</v>
      </c>
      <c r="D37" s="18">
        <f t="shared" si="3"/>
        <v>4.7347012018726602</v>
      </c>
      <c r="E37" s="18">
        <f t="shared" si="3"/>
        <v>1.4524371696855127</v>
      </c>
      <c r="F37" s="18">
        <f t="shared" si="3"/>
        <v>1.4841949948065098</v>
      </c>
      <c r="G37" s="18">
        <f t="shared" si="3"/>
        <v>40.312760842881481</v>
      </c>
      <c r="H37" s="18">
        <f t="shared" si="3"/>
        <v>12.59837566450768</v>
      </c>
      <c r="I37" s="18">
        <f t="shared" si="3"/>
        <v>1.2619455304168901</v>
      </c>
      <c r="J37" s="18">
        <f t="shared" si="3"/>
        <v>0.15515244957362298</v>
      </c>
      <c r="K37" s="18">
        <f t="shared" si="3"/>
        <v>96.962914455528562</v>
      </c>
      <c r="L37" s="18">
        <f t="shared" si="3"/>
        <v>4.0869757785547147</v>
      </c>
      <c r="M37" s="18">
        <f t="shared" si="3"/>
        <v>8.3537539942891268</v>
      </c>
      <c r="N37" s="18">
        <f t="shared" si="3"/>
        <v>221.02998907125834</v>
      </c>
      <c r="O37" s="18">
        <f t="shared" si="3"/>
        <v>0</v>
      </c>
      <c r="P37" s="18">
        <f t="shared" si="3"/>
        <v>0.10252959982649014</v>
      </c>
      <c r="Q37" s="18">
        <f t="shared" si="3"/>
        <v>5.4436872977907584E-15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96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H16" sqref="H16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10/11/2025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277</v>
      </c>
      <c r="B9" s="41">
        <v>7.13</v>
      </c>
      <c r="C9" s="41">
        <v>9.52</v>
      </c>
      <c r="D9" s="41">
        <v>10.6</v>
      </c>
      <c r="E9" s="41">
        <v>6.52</v>
      </c>
      <c r="F9" s="41">
        <v>2</v>
      </c>
      <c r="G9" s="41">
        <v>79.5</v>
      </c>
      <c r="H9" s="41">
        <v>39.22</v>
      </c>
      <c r="I9" s="41">
        <v>10.86</v>
      </c>
      <c r="J9" s="41">
        <v>0.14000000000000001</v>
      </c>
      <c r="K9" s="41">
        <v>192.81</v>
      </c>
      <c r="L9" s="41">
        <v>18.12</v>
      </c>
      <c r="M9" s="41">
        <v>27.37</v>
      </c>
      <c r="N9" s="41">
        <v>2</v>
      </c>
      <c r="O9" s="41">
        <v>0</v>
      </c>
      <c r="P9" s="41">
        <v>0.8</v>
      </c>
      <c r="Q9" s="41">
        <v>9.32</v>
      </c>
      <c r="R9" s="38"/>
      <c r="S9" s="38"/>
      <c r="T9" s="38"/>
      <c r="U9" s="38"/>
    </row>
    <row r="10" spans="1:21" customFormat="1">
      <c r="A10" s="40" t="s">
        <v>278</v>
      </c>
      <c r="B10" s="41">
        <v>8.68</v>
      </c>
      <c r="C10" s="41">
        <v>10.75</v>
      </c>
      <c r="D10" s="41">
        <v>12.57</v>
      </c>
      <c r="E10" s="41">
        <v>6.75</v>
      </c>
      <c r="F10" s="41">
        <v>2</v>
      </c>
      <c r="G10" s="41">
        <v>68.37</v>
      </c>
      <c r="H10" s="41">
        <v>39.1</v>
      </c>
      <c r="I10" s="41">
        <v>10.79</v>
      </c>
      <c r="J10" s="41">
        <v>0.16</v>
      </c>
      <c r="K10" s="41">
        <v>209.87</v>
      </c>
      <c r="L10" s="41">
        <v>19.84</v>
      </c>
      <c r="M10" s="41">
        <v>31.63</v>
      </c>
      <c r="N10" s="41">
        <v>2</v>
      </c>
      <c r="O10" s="41">
        <v>0</v>
      </c>
      <c r="P10" s="41">
        <v>0.8</v>
      </c>
      <c r="Q10" s="41">
        <v>9.32</v>
      </c>
      <c r="R10" s="38"/>
      <c r="S10" s="38"/>
      <c r="T10" s="38"/>
      <c r="U10" s="38"/>
    </row>
    <row r="11" spans="1:21" customFormat="1">
      <c r="A11" s="40" t="s">
        <v>279</v>
      </c>
      <c r="B11" s="41">
        <v>10.36</v>
      </c>
      <c r="C11" s="41">
        <v>10.82</v>
      </c>
      <c r="D11" s="41">
        <v>13.96</v>
      </c>
      <c r="E11" s="41">
        <v>6.85</v>
      </c>
      <c r="F11" s="41">
        <v>2</v>
      </c>
      <c r="G11" s="41">
        <v>68.37</v>
      </c>
      <c r="H11" s="41">
        <v>38.950000000000003</v>
      </c>
      <c r="I11" s="41">
        <v>11.07</v>
      </c>
      <c r="J11" s="41">
        <v>0.11</v>
      </c>
      <c r="K11" s="41">
        <v>203.71</v>
      </c>
      <c r="L11" s="41">
        <v>19.34</v>
      </c>
      <c r="M11" s="41">
        <v>30.39</v>
      </c>
      <c r="N11" s="41">
        <v>1.9</v>
      </c>
      <c r="O11" s="41">
        <v>0</v>
      </c>
      <c r="P11" s="41">
        <v>0.83</v>
      </c>
      <c r="Q11" s="41">
        <v>9.32</v>
      </c>
      <c r="R11" s="38"/>
      <c r="S11" s="38"/>
      <c r="T11" s="38"/>
      <c r="U11" s="38"/>
    </row>
    <row r="12" spans="1:21" customFormat="1">
      <c r="A12" s="40" t="s">
        <v>280</v>
      </c>
      <c r="B12" s="41">
        <v>15.5</v>
      </c>
      <c r="C12" s="41">
        <v>11.52</v>
      </c>
      <c r="D12" s="41">
        <v>18.45</v>
      </c>
      <c r="E12" s="41">
        <v>7.26</v>
      </c>
      <c r="F12" s="41">
        <v>2</v>
      </c>
      <c r="G12" s="41">
        <v>78.959999999999994</v>
      </c>
      <c r="H12" s="41">
        <v>46.17</v>
      </c>
      <c r="I12" s="41">
        <v>11.98</v>
      </c>
      <c r="J12" s="41">
        <v>0.14000000000000001</v>
      </c>
      <c r="K12" s="41">
        <v>165.51</v>
      </c>
      <c r="L12" s="41">
        <v>15.25</v>
      </c>
      <c r="M12" s="41">
        <v>20.27</v>
      </c>
      <c r="N12" s="41">
        <v>1.9</v>
      </c>
      <c r="O12" s="41">
        <v>0</v>
      </c>
      <c r="P12" s="41">
        <v>0.89</v>
      </c>
      <c r="Q12" s="41">
        <v>9.32</v>
      </c>
      <c r="R12" s="38"/>
      <c r="S12" s="38"/>
      <c r="T12" s="38"/>
      <c r="U12" s="38"/>
    </row>
    <row r="13" spans="1:21" customFormat="1">
      <c r="A13" s="40" t="s">
        <v>281</v>
      </c>
      <c r="B13" s="41">
        <v>19.52</v>
      </c>
      <c r="C13" s="41">
        <v>12.62</v>
      </c>
      <c r="D13" s="41">
        <v>22.24</v>
      </c>
      <c r="E13" s="41">
        <v>7.27</v>
      </c>
      <c r="F13" s="41">
        <v>2</v>
      </c>
      <c r="G13" s="41">
        <v>107.42</v>
      </c>
      <c r="H13" s="41">
        <v>55.92</v>
      </c>
      <c r="I13" s="41">
        <v>13.5</v>
      </c>
      <c r="J13" s="41">
        <v>0.1</v>
      </c>
      <c r="K13" s="41">
        <v>164.06</v>
      </c>
      <c r="L13" s="41">
        <v>15.67</v>
      </c>
      <c r="M13" s="41">
        <v>21.5</v>
      </c>
      <c r="N13" s="41">
        <v>2.1</v>
      </c>
      <c r="O13" s="41">
        <v>0</v>
      </c>
      <c r="P13" s="41">
        <v>1.03</v>
      </c>
      <c r="Q13" s="41">
        <v>9.32</v>
      </c>
      <c r="R13" s="38"/>
      <c r="S13" s="38"/>
      <c r="T13" s="38"/>
      <c r="U13" s="38"/>
    </row>
    <row r="14" spans="1:21" customFormat="1">
      <c r="A14" s="40" t="s">
        <v>282</v>
      </c>
      <c r="B14" s="41">
        <v>22.42</v>
      </c>
      <c r="C14" s="41">
        <v>12.97</v>
      </c>
      <c r="D14" s="41">
        <v>24.75</v>
      </c>
      <c r="E14" s="41">
        <v>7.12</v>
      </c>
      <c r="F14" s="41">
        <v>2</v>
      </c>
      <c r="G14" s="41">
        <v>140.47</v>
      </c>
      <c r="H14" s="41">
        <v>67.44</v>
      </c>
      <c r="I14" s="41">
        <v>14.68</v>
      </c>
      <c r="J14" s="41">
        <v>0.14000000000000001</v>
      </c>
      <c r="K14" s="41">
        <v>192.75</v>
      </c>
      <c r="L14" s="41">
        <v>18.09</v>
      </c>
      <c r="M14" s="41">
        <v>27.51</v>
      </c>
      <c r="N14" s="41">
        <v>2.1</v>
      </c>
      <c r="O14" s="41">
        <v>0</v>
      </c>
      <c r="P14" s="41">
        <v>1.1399999999999999</v>
      </c>
      <c r="Q14" s="41">
        <v>9.32</v>
      </c>
      <c r="R14" s="38"/>
      <c r="S14" s="38"/>
      <c r="T14" s="38"/>
      <c r="U14" s="38"/>
    </row>
    <row r="15" spans="1:21" customFormat="1">
      <c r="A15" s="40" t="s">
        <v>283</v>
      </c>
      <c r="B15" s="41">
        <v>23.34</v>
      </c>
      <c r="C15" s="41">
        <v>14.15</v>
      </c>
      <c r="D15" s="41">
        <v>26.08</v>
      </c>
      <c r="E15" s="41">
        <v>7.14</v>
      </c>
      <c r="F15" s="41">
        <v>2</v>
      </c>
      <c r="G15" s="41">
        <v>140.47</v>
      </c>
      <c r="H15" s="41">
        <v>67.44</v>
      </c>
      <c r="I15" s="41">
        <v>14.99</v>
      </c>
      <c r="J15" s="41">
        <v>0.15</v>
      </c>
      <c r="K15" s="41">
        <v>214.91</v>
      </c>
      <c r="L15" s="41">
        <v>19.39</v>
      </c>
      <c r="M15" s="41">
        <v>30.48</v>
      </c>
      <c r="N15" s="41">
        <v>24.2</v>
      </c>
      <c r="O15" s="41">
        <v>0</v>
      </c>
      <c r="P15" s="41">
        <v>1.1499999999999999</v>
      </c>
      <c r="Q15" s="41">
        <v>9.32</v>
      </c>
      <c r="R15" s="38"/>
      <c r="S15" s="38"/>
      <c r="T15" s="38"/>
      <c r="U15" s="38"/>
    </row>
    <row r="16" spans="1:21" customFormat="1">
      <c r="A16" s="40" t="s">
        <v>284</v>
      </c>
      <c r="B16" s="41">
        <v>23.14</v>
      </c>
      <c r="C16" s="41">
        <v>14.51</v>
      </c>
      <c r="D16" s="41">
        <v>25.94</v>
      </c>
      <c r="E16" s="41">
        <v>7.14</v>
      </c>
      <c r="F16" s="41">
        <v>2</v>
      </c>
      <c r="G16" s="41">
        <v>138.56</v>
      </c>
      <c r="H16" s="41">
        <v>66.599999999999994</v>
      </c>
      <c r="I16" s="41">
        <v>14.71</v>
      </c>
      <c r="J16" s="41">
        <v>0.38</v>
      </c>
      <c r="K16" s="41">
        <v>105.93</v>
      </c>
      <c r="L16" s="41">
        <v>12.55</v>
      </c>
      <c r="M16" s="41">
        <v>12.73</v>
      </c>
      <c r="N16" s="41">
        <v>175.3</v>
      </c>
      <c r="O16" s="41">
        <v>0</v>
      </c>
      <c r="P16" s="41">
        <v>1.1299999999999999</v>
      </c>
      <c r="Q16" s="41">
        <v>9.32</v>
      </c>
      <c r="R16" s="38"/>
      <c r="S16" s="38"/>
      <c r="T16" s="38"/>
      <c r="U16" s="38"/>
    </row>
    <row r="17" spans="1:21" customFormat="1">
      <c r="A17" s="40" t="s">
        <v>285</v>
      </c>
      <c r="B17" s="41">
        <v>22.47</v>
      </c>
      <c r="C17" s="41">
        <v>15.11</v>
      </c>
      <c r="D17" s="41">
        <v>25.76</v>
      </c>
      <c r="E17" s="41">
        <v>6.95</v>
      </c>
      <c r="F17" s="41">
        <v>2</v>
      </c>
      <c r="G17" s="41">
        <v>120.05</v>
      </c>
      <c r="H17" s="41">
        <v>66.599999999999994</v>
      </c>
      <c r="I17" s="41">
        <v>14.26</v>
      </c>
      <c r="J17" s="41">
        <v>0.55000000000000004</v>
      </c>
      <c r="K17" s="41">
        <v>56.81</v>
      </c>
      <c r="L17" s="41">
        <v>12.65</v>
      </c>
      <c r="M17" s="41">
        <v>5.81</v>
      </c>
      <c r="N17" s="41">
        <v>336.1</v>
      </c>
      <c r="O17" s="41">
        <v>0</v>
      </c>
      <c r="P17" s="41">
        <v>1.08</v>
      </c>
      <c r="Q17" s="41">
        <v>9.32</v>
      </c>
      <c r="R17" s="38"/>
      <c r="S17" s="38"/>
      <c r="T17" s="38"/>
      <c r="U17" s="38"/>
    </row>
    <row r="18" spans="1:21" customFormat="1">
      <c r="A18" s="40" t="s">
        <v>286</v>
      </c>
      <c r="B18" s="41">
        <v>18.77</v>
      </c>
      <c r="C18" s="41">
        <v>16.04</v>
      </c>
      <c r="D18" s="41">
        <v>22.88</v>
      </c>
      <c r="E18" s="41">
        <v>7.08</v>
      </c>
      <c r="F18" s="41">
        <v>2</v>
      </c>
      <c r="G18" s="41">
        <v>101.99</v>
      </c>
      <c r="H18" s="41">
        <v>58.73</v>
      </c>
      <c r="I18" s="41">
        <v>13.67</v>
      </c>
      <c r="J18" s="41">
        <v>0.81</v>
      </c>
      <c r="K18" s="41">
        <v>46.56</v>
      </c>
      <c r="L18" s="41">
        <v>11.92</v>
      </c>
      <c r="M18" s="41">
        <v>2.13</v>
      </c>
      <c r="N18" s="41">
        <v>407.6</v>
      </c>
      <c r="O18" s="41">
        <v>0</v>
      </c>
      <c r="P18" s="41">
        <v>1.01</v>
      </c>
      <c r="Q18" s="41">
        <v>9.32</v>
      </c>
      <c r="R18" s="38"/>
      <c r="S18" s="38"/>
      <c r="T18" s="38"/>
      <c r="U18" s="38"/>
    </row>
    <row r="19" spans="1:21" customFormat="1">
      <c r="A19" s="40" t="s">
        <v>287</v>
      </c>
      <c r="B19" s="41">
        <v>13.95</v>
      </c>
      <c r="C19" s="41">
        <v>16.98</v>
      </c>
      <c r="D19" s="41">
        <v>19.82</v>
      </c>
      <c r="E19" s="41">
        <v>5.9</v>
      </c>
      <c r="F19" s="41">
        <v>2</v>
      </c>
      <c r="G19" s="41">
        <v>89.25</v>
      </c>
      <c r="H19" s="41">
        <v>57</v>
      </c>
      <c r="I19" s="41">
        <v>12.87</v>
      </c>
      <c r="J19" s="41">
        <v>0.51</v>
      </c>
      <c r="K19" s="41">
        <v>81.58</v>
      </c>
      <c r="L19" s="41">
        <v>16.190000000000001</v>
      </c>
      <c r="M19" s="41">
        <v>9.65</v>
      </c>
      <c r="N19" s="41">
        <v>557</v>
      </c>
      <c r="O19" s="41">
        <v>0</v>
      </c>
      <c r="P19" s="41">
        <v>0.97</v>
      </c>
      <c r="Q19" s="41">
        <v>9.32</v>
      </c>
      <c r="R19" s="38"/>
      <c r="S19" s="38"/>
      <c r="T19" s="38"/>
      <c r="U19" s="38"/>
    </row>
    <row r="20" spans="1:21" customFormat="1">
      <c r="A20" s="40" t="s">
        <v>288</v>
      </c>
      <c r="B20" s="41">
        <v>8.0299999999999994</v>
      </c>
      <c r="C20" s="41">
        <v>16.690000000000001</v>
      </c>
      <c r="D20" s="41">
        <v>15.16</v>
      </c>
      <c r="E20" s="41">
        <v>6.09</v>
      </c>
      <c r="F20" s="41">
        <v>2.13</v>
      </c>
      <c r="G20" s="41">
        <v>86.8</v>
      </c>
      <c r="H20" s="41">
        <v>53.54</v>
      </c>
      <c r="I20" s="41">
        <v>11.83</v>
      </c>
      <c r="J20" s="41">
        <v>0.4</v>
      </c>
      <c r="K20" s="41">
        <v>75.150000000000006</v>
      </c>
      <c r="L20" s="41">
        <v>21.21</v>
      </c>
      <c r="M20" s="41">
        <v>21.1</v>
      </c>
      <c r="N20" s="41">
        <v>595.29999999999995</v>
      </c>
      <c r="O20" s="41">
        <v>0</v>
      </c>
      <c r="P20" s="41">
        <v>0.9</v>
      </c>
      <c r="Q20" s="41">
        <v>9.32</v>
      </c>
      <c r="R20" s="38"/>
      <c r="S20" s="38"/>
      <c r="T20" s="38"/>
      <c r="U20" s="38"/>
    </row>
    <row r="21" spans="1:21" customFormat="1">
      <c r="A21" s="40" t="s">
        <v>289</v>
      </c>
      <c r="B21" s="41">
        <v>3.68</v>
      </c>
      <c r="C21" s="41">
        <v>15.36</v>
      </c>
      <c r="D21" s="41">
        <v>10.98</v>
      </c>
      <c r="E21" s="41">
        <v>5.73</v>
      </c>
      <c r="F21" s="41">
        <v>2.0499999999999998</v>
      </c>
      <c r="G21" s="41">
        <v>72.77</v>
      </c>
      <c r="H21" s="41">
        <v>46.49</v>
      </c>
      <c r="I21" s="41">
        <v>10.86</v>
      </c>
      <c r="J21" s="41">
        <v>0.44</v>
      </c>
      <c r="K21" s="41">
        <v>65.62</v>
      </c>
      <c r="L21" s="41">
        <v>22.59</v>
      </c>
      <c r="M21" s="41">
        <v>25.33</v>
      </c>
      <c r="N21" s="41">
        <v>588.1</v>
      </c>
      <c r="O21" s="41">
        <v>0</v>
      </c>
      <c r="P21" s="41">
        <v>0.84</v>
      </c>
      <c r="Q21" s="41">
        <v>9.32</v>
      </c>
      <c r="R21" s="38"/>
      <c r="S21" s="38"/>
      <c r="T21" s="38"/>
      <c r="U21" s="38"/>
    </row>
    <row r="22" spans="1:21" customFormat="1">
      <c r="A22" s="40" t="s">
        <v>290</v>
      </c>
      <c r="B22" s="41">
        <v>2.06</v>
      </c>
      <c r="C22" s="41">
        <v>14</v>
      </c>
      <c r="D22" s="41">
        <v>8.9700000000000006</v>
      </c>
      <c r="E22" s="41">
        <v>6.25</v>
      </c>
      <c r="F22" s="41">
        <v>4.8899999999999997</v>
      </c>
      <c r="G22" s="41">
        <v>65.52</v>
      </c>
      <c r="H22" s="41">
        <v>43.94</v>
      </c>
      <c r="I22" s="41">
        <v>10.16</v>
      </c>
      <c r="J22" s="41">
        <v>0.33</v>
      </c>
      <c r="K22" s="41">
        <v>289.45</v>
      </c>
      <c r="L22" s="41">
        <v>26.66</v>
      </c>
      <c r="M22" s="41">
        <v>38.340000000000003</v>
      </c>
      <c r="N22" s="41">
        <v>454</v>
      </c>
      <c r="O22" s="41">
        <v>0</v>
      </c>
      <c r="P22" s="41">
        <v>0.8</v>
      </c>
      <c r="Q22" s="41">
        <v>9.32</v>
      </c>
      <c r="R22" s="38"/>
      <c r="S22" s="38"/>
      <c r="T22" s="38"/>
      <c r="U22" s="38"/>
    </row>
    <row r="23" spans="1:21" customFormat="1">
      <c r="A23" s="40" t="s">
        <v>291</v>
      </c>
      <c r="B23" s="41">
        <v>1.99</v>
      </c>
      <c r="C23" s="41">
        <v>16.850000000000001</v>
      </c>
      <c r="D23" s="41">
        <v>10.26</v>
      </c>
      <c r="E23" s="41">
        <v>25.29</v>
      </c>
      <c r="F23" s="41">
        <v>32.979999999999997</v>
      </c>
      <c r="G23" s="41">
        <v>61.13</v>
      </c>
      <c r="H23" s="41">
        <v>42.22</v>
      </c>
      <c r="I23" s="41">
        <v>9.49</v>
      </c>
      <c r="J23" s="41">
        <v>0.39</v>
      </c>
      <c r="K23" s="41">
        <v>77.2</v>
      </c>
      <c r="L23" s="41">
        <v>15.63</v>
      </c>
      <c r="M23" s="41">
        <v>20</v>
      </c>
      <c r="N23" s="41">
        <v>109.4</v>
      </c>
      <c r="O23" s="41">
        <v>0</v>
      </c>
      <c r="P23" s="41">
        <v>0.69</v>
      </c>
      <c r="Q23" s="41">
        <v>9.32</v>
      </c>
      <c r="R23" s="38"/>
      <c r="S23" s="38"/>
      <c r="T23" s="38"/>
      <c r="U23" s="38"/>
    </row>
    <row r="24" spans="1:21" customFormat="1">
      <c r="A24" s="40" t="s">
        <v>292</v>
      </c>
      <c r="B24" s="41">
        <v>2.36</v>
      </c>
      <c r="C24" s="41">
        <v>26.44</v>
      </c>
      <c r="D24" s="41">
        <v>15.64</v>
      </c>
      <c r="E24" s="41">
        <v>21.03</v>
      </c>
      <c r="F24" s="41">
        <v>22.33</v>
      </c>
      <c r="G24" s="41">
        <v>67.040000000000006</v>
      </c>
      <c r="H24" s="41">
        <v>41.74</v>
      </c>
      <c r="I24" s="41">
        <v>8.36</v>
      </c>
      <c r="J24" s="41">
        <v>0.53</v>
      </c>
      <c r="K24" s="41">
        <v>44.33</v>
      </c>
      <c r="L24" s="41">
        <v>11.54</v>
      </c>
      <c r="M24" s="41">
        <v>10.050000000000001</v>
      </c>
      <c r="N24" s="41">
        <v>40.5</v>
      </c>
      <c r="O24" s="41">
        <v>0</v>
      </c>
      <c r="P24" s="41">
        <v>0.64</v>
      </c>
      <c r="Q24" s="41">
        <v>9.32</v>
      </c>
      <c r="R24" s="38"/>
      <c r="S24" s="38"/>
      <c r="T24" s="38"/>
      <c r="U24" s="38"/>
    </row>
    <row r="25" spans="1:21" customFormat="1">
      <c r="A25" s="40" t="s">
        <v>293</v>
      </c>
      <c r="B25" s="41">
        <v>2.35</v>
      </c>
      <c r="C25" s="41">
        <v>29.18</v>
      </c>
      <c r="D25" s="41">
        <v>17.13</v>
      </c>
      <c r="E25" s="41">
        <v>18.7</v>
      </c>
      <c r="F25" s="41">
        <v>19.170000000000002</v>
      </c>
      <c r="G25" s="41">
        <v>70.87</v>
      </c>
      <c r="H25" s="41">
        <v>41.74</v>
      </c>
      <c r="I25" s="41">
        <v>8.01</v>
      </c>
      <c r="J25" s="41">
        <v>0.52</v>
      </c>
      <c r="K25" s="41">
        <v>45.25</v>
      </c>
      <c r="L25" s="41">
        <v>11.61</v>
      </c>
      <c r="M25" s="41">
        <v>10.32</v>
      </c>
      <c r="N25" s="41">
        <v>22.8</v>
      </c>
      <c r="O25" s="41">
        <v>0</v>
      </c>
      <c r="P25" s="41">
        <v>0.64</v>
      </c>
      <c r="Q25" s="41">
        <v>9.32</v>
      </c>
      <c r="R25" s="38"/>
      <c r="S25" s="38"/>
      <c r="T25" s="38"/>
      <c r="U25" s="38"/>
    </row>
    <row r="26" spans="1:21" customFormat="1">
      <c r="A26" s="40" t="s">
        <v>294</v>
      </c>
      <c r="B26" s="41">
        <v>3.32</v>
      </c>
      <c r="C26" s="41">
        <v>27.33</v>
      </c>
      <c r="D26" s="41">
        <v>16.12</v>
      </c>
      <c r="E26" s="41">
        <v>5.25</v>
      </c>
      <c r="F26" s="41">
        <v>2</v>
      </c>
      <c r="G26" s="41">
        <v>73.98</v>
      </c>
      <c r="H26" s="41">
        <v>39.369999999999997</v>
      </c>
      <c r="I26" s="41">
        <v>7.96</v>
      </c>
      <c r="J26" s="41">
        <v>0.44</v>
      </c>
      <c r="K26" s="41">
        <v>148.88</v>
      </c>
      <c r="L26" s="41">
        <v>14.02</v>
      </c>
      <c r="M26" s="41">
        <v>17.28</v>
      </c>
      <c r="N26" s="41">
        <v>5.7</v>
      </c>
      <c r="O26" s="41">
        <v>0</v>
      </c>
      <c r="P26" s="41">
        <v>0.67</v>
      </c>
      <c r="Q26" s="41">
        <v>9.32</v>
      </c>
      <c r="R26" s="38"/>
      <c r="S26" s="38"/>
      <c r="T26" s="38"/>
      <c r="U26" s="38"/>
    </row>
    <row r="27" spans="1:21" customFormat="1">
      <c r="A27" s="40" t="s">
        <v>295</v>
      </c>
      <c r="B27" s="41">
        <v>4.68</v>
      </c>
      <c r="C27" s="41">
        <v>19.27</v>
      </c>
      <c r="D27" s="41">
        <v>13.03</v>
      </c>
      <c r="E27" s="41">
        <v>5.49</v>
      </c>
      <c r="F27" s="41">
        <v>2</v>
      </c>
      <c r="G27" s="41">
        <v>87.14</v>
      </c>
      <c r="H27" s="41">
        <v>39.68</v>
      </c>
      <c r="I27" s="41">
        <v>7.89</v>
      </c>
      <c r="J27" s="41">
        <v>0.25</v>
      </c>
      <c r="K27" s="41">
        <v>193.68</v>
      </c>
      <c r="L27" s="41">
        <v>17.82</v>
      </c>
      <c r="M27" s="41">
        <v>26.79</v>
      </c>
      <c r="N27" s="41">
        <v>2.8</v>
      </c>
      <c r="O27" s="41">
        <v>0</v>
      </c>
      <c r="P27" s="41">
        <v>0.69</v>
      </c>
      <c r="Q27" s="41">
        <v>9.32</v>
      </c>
      <c r="R27" s="38"/>
      <c r="S27" s="38"/>
      <c r="T27" s="38"/>
      <c r="U27" s="38"/>
    </row>
    <row r="28" spans="1:21" customFormat="1">
      <c r="A28" s="40" t="s">
        <v>296</v>
      </c>
      <c r="B28" s="41">
        <v>5.25</v>
      </c>
      <c r="C28" s="41">
        <v>16.05</v>
      </c>
      <c r="D28" s="41">
        <v>12.23</v>
      </c>
      <c r="E28" s="41">
        <v>5.92</v>
      </c>
      <c r="F28" s="41">
        <v>2</v>
      </c>
      <c r="G28" s="41">
        <v>87.76</v>
      </c>
      <c r="H28" s="41">
        <v>39.950000000000003</v>
      </c>
      <c r="I28" s="41">
        <v>8.4</v>
      </c>
      <c r="J28" s="41">
        <v>0.24</v>
      </c>
      <c r="K28" s="41">
        <v>174.44</v>
      </c>
      <c r="L28" s="41">
        <v>16.96</v>
      </c>
      <c r="M28" s="41">
        <v>24.45</v>
      </c>
      <c r="N28" s="41">
        <v>2.1</v>
      </c>
      <c r="O28" s="41">
        <v>0</v>
      </c>
      <c r="P28" s="41">
        <v>0.7</v>
      </c>
      <c r="Q28" s="41">
        <v>9.32</v>
      </c>
      <c r="R28" s="38"/>
      <c r="S28" s="38"/>
      <c r="T28" s="38"/>
      <c r="U28" s="38"/>
    </row>
    <row r="29" spans="1:21" customFormat="1">
      <c r="A29" s="40" t="s">
        <v>297</v>
      </c>
      <c r="B29" s="41">
        <v>6.51</v>
      </c>
      <c r="C29" s="41">
        <v>14.12</v>
      </c>
      <c r="D29" s="41">
        <v>12.29</v>
      </c>
      <c r="E29" s="41">
        <v>5.73</v>
      </c>
      <c r="F29" s="41">
        <v>2</v>
      </c>
      <c r="G29" s="41">
        <v>87.76</v>
      </c>
      <c r="H29" s="41">
        <v>39.950000000000003</v>
      </c>
      <c r="I29" s="41">
        <v>9.2100000000000009</v>
      </c>
      <c r="J29" s="41">
        <v>0.18</v>
      </c>
      <c r="K29" s="41">
        <v>203.39</v>
      </c>
      <c r="L29" s="41">
        <v>18.989999999999998</v>
      </c>
      <c r="M29" s="41">
        <v>29.52</v>
      </c>
      <c r="N29" s="41">
        <v>2.2000000000000002</v>
      </c>
      <c r="O29" s="41">
        <v>0</v>
      </c>
      <c r="P29" s="41">
        <v>0.72</v>
      </c>
      <c r="Q29" s="41">
        <v>9.32</v>
      </c>
      <c r="R29" s="38"/>
      <c r="S29" s="38"/>
      <c r="T29" s="38"/>
      <c r="U29" s="38"/>
    </row>
    <row r="30" spans="1:21" customFormat="1">
      <c r="A30" s="40" t="s">
        <v>298</v>
      </c>
      <c r="B30" s="41">
        <v>6.79</v>
      </c>
      <c r="C30" s="41">
        <v>12.75</v>
      </c>
      <c r="D30" s="41">
        <v>11.92</v>
      </c>
      <c r="E30" s="41">
        <v>6.17</v>
      </c>
      <c r="F30" s="41">
        <v>2</v>
      </c>
      <c r="G30" s="41">
        <v>85.86</v>
      </c>
      <c r="H30" s="41">
        <v>39.42</v>
      </c>
      <c r="I30" s="41">
        <v>10.07</v>
      </c>
      <c r="J30" s="41">
        <v>0.18</v>
      </c>
      <c r="K30" s="41">
        <v>205.73</v>
      </c>
      <c r="L30" s="41">
        <v>19.600000000000001</v>
      </c>
      <c r="M30" s="41">
        <v>31.12</v>
      </c>
      <c r="N30" s="41">
        <v>2</v>
      </c>
      <c r="O30" s="41">
        <v>0</v>
      </c>
      <c r="P30" s="41">
        <v>0.74</v>
      </c>
      <c r="Q30" s="41">
        <v>9.32</v>
      </c>
      <c r="R30" s="38"/>
      <c r="S30" s="38"/>
      <c r="T30" s="38"/>
      <c r="U30" s="38"/>
    </row>
    <row r="31" spans="1:21" customFormat="1">
      <c r="A31" s="40" t="s">
        <v>299</v>
      </c>
      <c r="B31" s="41">
        <v>6.83</v>
      </c>
      <c r="C31" s="41">
        <v>11.88</v>
      </c>
      <c r="D31" s="41">
        <v>11.67</v>
      </c>
      <c r="E31" s="41">
        <v>6.42</v>
      </c>
      <c r="F31" s="41">
        <v>2</v>
      </c>
      <c r="G31" s="41">
        <v>90.51</v>
      </c>
      <c r="H31" s="41">
        <v>41.5</v>
      </c>
      <c r="I31" s="41">
        <v>10.6</v>
      </c>
      <c r="J31" s="41">
        <v>0.14000000000000001</v>
      </c>
      <c r="K31" s="41">
        <v>217.35</v>
      </c>
      <c r="L31" s="41">
        <v>19.72</v>
      </c>
      <c r="M31" s="41">
        <v>31.37</v>
      </c>
      <c r="N31" s="41">
        <v>2</v>
      </c>
      <c r="O31" s="41">
        <v>0</v>
      </c>
      <c r="P31" s="41">
        <v>0.75</v>
      </c>
      <c r="Q31" s="41">
        <v>9.32</v>
      </c>
      <c r="R31" s="38"/>
      <c r="S31" s="38"/>
      <c r="T31" s="38"/>
      <c r="U31" s="38"/>
    </row>
    <row r="32" spans="1:21" customFormat="1">
      <c r="A32" s="40" t="s">
        <v>300</v>
      </c>
      <c r="B32" s="41">
        <v>10.4</v>
      </c>
      <c r="C32" s="41">
        <v>12.29</v>
      </c>
      <c r="D32" s="41">
        <v>14.76</v>
      </c>
      <c r="E32" s="41">
        <v>6.56</v>
      </c>
      <c r="F32" s="41">
        <v>2</v>
      </c>
      <c r="G32" s="41">
        <v>90.51</v>
      </c>
      <c r="H32" s="41">
        <v>41.5</v>
      </c>
      <c r="I32" s="41">
        <v>10.71</v>
      </c>
      <c r="J32" s="41">
        <v>0.13</v>
      </c>
      <c r="K32" s="41">
        <v>228.38</v>
      </c>
      <c r="L32" s="41">
        <v>20.29</v>
      </c>
      <c r="M32" s="41">
        <v>32.85</v>
      </c>
      <c r="N32" s="41">
        <v>1.9</v>
      </c>
      <c r="O32" s="41">
        <v>0</v>
      </c>
      <c r="P32" s="41">
        <v>0.79</v>
      </c>
      <c r="Q32" s="41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1.99</v>
      </c>
      <c r="C34" s="18">
        <f t="shared" si="0"/>
        <v>9.52</v>
      </c>
      <c r="D34" s="18">
        <f t="shared" si="0"/>
        <v>8.9700000000000006</v>
      </c>
      <c r="E34" s="18">
        <f t="shared" si="0"/>
        <v>5.25</v>
      </c>
      <c r="F34" s="18">
        <f t="shared" si="0"/>
        <v>2</v>
      </c>
      <c r="G34" s="18">
        <f t="shared" si="0"/>
        <v>61.13</v>
      </c>
      <c r="H34" s="18">
        <f t="shared" si="0"/>
        <v>38.950000000000003</v>
      </c>
      <c r="I34" s="18">
        <f t="shared" si="0"/>
        <v>7.89</v>
      </c>
      <c r="J34" s="18">
        <f t="shared" si="0"/>
        <v>0.1</v>
      </c>
      <c r="K34" s="18">
        <f t="shared" si="0"/>
        <v>44.33</v>
      </c>
      <c r="L34" s="18">
        <f t="shared" si="0"/>
        <v>11.54</v>
      </c>
      <c r="M34" s="18">
        <f t="shared" si="0"/>
        <v>2.13</v>
      </c>
      <c r="N34" s="18">
        <f t="shared" si="0"/>
        <v>1.9</v>
      </c>
      <c r="O34" s="18">
        <f t="shared" si="0"/>
        <v>0</v>
      </c>
      <c r="P34" s="18">
        <f t="shared" si="0"/>
        <v>0.64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23.34</v>
      </c>
      <c r="C35" s="3">
        <f t="shared" si="1"/>
        <v>29.18</v>
      </c>
      <c r="D35" s="3">
        <f t="shared" si="1"/>
        <v>26.08</v>
      </c>
      <c r="E35" s="3">
        <f t="shared" si="1"/>
        <v>25.29</v>
      </c>
      <c r="F35" s="3">
        <f t="shared" si="1"/>
        <v>32.979999999999997</v>
      </c>
      <c r="G35" s="3">
        <f t="shared" si="1"/>
        <v>140.47</v>
      </c>
      <c r="H35" s="3">
        <f t="shared" si="1"/>
        <v>67.44</v>
      </c>
      <c r="I35" s="3">
        <f t="shared" si="1"/>
        <v>14.99</v>
      </c>
      <c r="J35" s="3">
        <f t="shared" si="1"/>
        <v>0.81</v>
      </c>
      <c r="K35" s="3">
        <f t="shared" si="1"/>
        <v>289.45</v>
      </c>
      <c r="L35" s="3">
        <f t="shared" si="1"/>
        <v>26.66</v>
      </c>
      <c r="M35" s="3">
        <f t="shared" si="1"/>
        <v>38.340000000000003</v>
      </c>
      <c r="N35" s="3">
        <f t="shared" si="1"/>
        <v>595.29999999999995</v>
      </c>
      <c r="O35" s="3">
        <f t="shared" si="1"/>
        <v>0</v>
      </c>
      <c r="P35" s="3">
        <f t="shared" si="1"/>
        <v>1.1499999999999999</v>
      </c>
      <c r="Q35" s="3">
        <f t="shared" si="1"/>
        <v>9.32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10.397083333333335</v>
      </c>
      <c r="C36" s="18">
        <f t="shared" si="2"/>
        <v>15.716666666666667</v>
      </c>
      <c r="D36" s="18">
        <f t="shared" si="2"/>
        <v>16.383749999999999</v>
      </c>
      <c r="E36" s="18">
        <f t="shared" si="2"/>
        <v>8.3587499999999988</v>
      </c>
      <c r="F36" s="18">
        <f t="shared" si="2"/>
        <v>4.9812500000000002</v>
      </c>
      <c r="G36" s="18">
        <f t="shared" si="2"/>
        <v>90.044166666666683</v>
      </c>
      <c r="H36" s="18">
        <f t="shared" si="2"/>
        <v>48.092083333333342</v>
      </c>
      <c r="I36" s="18">
        <f t="shared" si="2"/>
        <v>11.122083333333331</v>
      </c>
      <c r="J36" s="18">
        <f t="shared" si="2"/>
        <v>0.3066666666666667</v>
      </c>
      <c r="K36" s="18">
        <f t="shared" si="2"/>
        <v>150.13958333333332</v>
      </c>
      <c r="L36" s="18">
        <f t="shared" si="2"/>
        <v>17.318750000000001</v>
      </c>
      <c r="M36" s="18">
        <f t="shared" si="2"/>
        <v>22.416250000000002</v>
      </c>
      <c r="N36" s="18">
        <f t="shared" si="2"/>
        <v>139.20833333333334</v>
      </c>
      <c r="O36" s="18">
        <f t="shared" si="2"/>
        <v>0</v>
      </c>
      <c r="P36" s="18">
        <f t="shared" si="2"/>
        <v>0.85000000000000009</v>
      </c>
      <c r="Q36" s="18">
        <f t="shared" si="2"/>
        <v>9.319999999999995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7.5070763597431469</v>
      </c>
      <c r="C37" s="18">
        <f t="shared" ref="C37:Q37" si="3">STDEV(C9:C32)</f>
        <v>5.1699168832496856</v>
      </c>
      <c r="D37" s="18">
        <f t="shared" si="3"/>
        <v>5.53280871552675</v>
      </c>
      <c r="E37" s="18">
        <f t="shared" si="3"/>
        <v>5.2668729378520514</v>
      </c>
      <c r="F37" s="18">
        <f t="shared" si="3"/>
        <v>7.9753458763758998</v>
      </c>
      <c r="G37" s="18">
        <f t="shared" si="3"/>
        <v>23.679553814220764</v>
      </c>
      <c r="H37" s="18">
        <f t="shared" si="3"/>
        <v>10.510062250742912</v>
      </c>
      <c r="I37" s="18">
        <f t="shared" si="3"/>
        <v>2.2935826904585541</v>
      </c>
      <c r="J37" s="18">
        <f t="shared" si="3"/>
        <v>0.1883490438490214</v>
      </c>
      <c r="K37" s="18">
        <f t="shared" si="3"/>
        <v>72.092283219626523</v>
      </c>
      <c r="L37" s="18">
        <f t="shared" si="3"/>
        <v>3.7924505241678279</v>
      </c>
      <c r="M37" s="18">
        <f t="shared" si="3"/>
        <v>9.6623382769524699</v>
      </c>
      <c r="N37" s="18">
        <f t="shared" si="3"/>
        <v>216.30735362415228</v>
      </c>
      <c r="O37" s="18">
        <f t="shared" si="3"/>
        <v>0</v>
      </c>
      <c r="P37" s="18">
        <f t="shared" si="3"/>
        <v>0.1650823246536203</v>
      </c>
      <c r="Q37" s="18">
        <f t="shared" si="3"/>
        <v>5.4436872977907584E-15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96"/>
  <sheetViews>
    <sheetView zoomScale="85" zoomScaleNormal="85" workbookViewId="0">
      <pane xSplit="2" ySplit="8" topLeftCell="C30" activePane="bottomRight" state="frozen"/>
      <selection activeCell="G19" sqref="G19"/>
      <selection pane="topRight" activeCell="G19" sqref="G19"/>
      <selection pane="bottomLeft" activeCell="G19" sqref="G19"/>
      <selection pane="bottomRight" activeCell="J12" sqref="J1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 ht="25.5" customHeight="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11/11/2025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301</v>
      </c>
      <c r="B9" s="41">
        <v>19.559999999999999</v>
      </c>
      <c r="C9" s="41">
        <v>14.49</v>
      </c>
      <c r="D9" s="41">
        <v>23.26</v>
      </c>
      <c r="E9" s="41">
        <v>6.76</v>
      </c>
      <c r="F9" s="41">
        <v>2</v>
      </c>
      <c r="G9" s="41">
        <v>89.63</v>
      </c>
      <c r="H9" s="41">
        <v>45.63</v>
      </c>
      <c r="I9" s="41">
        <v>11.31</v>
      </c>
      <c r="J9" s="41">
        <v>0.14000000000000001</v>
      </c>
      <c r="K9" s="41">
        <v>265.05</v>
      </c>
      <c r="L9" s="41">
        <v>21.92</v>
      </c>
      <c r="M9" s="41">
        <v>37</v>
      </c>
      <c r="N9" s="41">
        <v>2</v>
      </c>
      <c r="O9" s="41">
        <v>0</v>
      </c>
      <c r="P9" s="41">
        <v>0.83</v>
      </c>
      <c r="Q9" s="41">
        <v>9.32</v>
      </c>
      <c r="R9" s="38"/>
      <c r="S9" s="38"/>
      <c r="T9" s="38"/>
      <c r="U9" s="38"/>
    </row>
    <row r="10" spans="1:21" customFormat="1">
      <c r="A10" s="40" t="s">
        <v>302</v>
      </c>
      <c r="B10" s="41">
        <v>20.43</v>
      </c>
      <c r="C10" s="41">
        <v>14.74</v>
      </c>
      <c r="D10" s="41">
        <v>24.05</v>
      </c>
      <c r="E10" s="41">
        <v>7.15</v>
      </c>
      <c r="F10" s="41">
        <v>2</v>
      </c>
      <c r="G10" s="41">
        <v>93.44</v>
      </c>
      <c r="H10" s="41">
        <v>48.09</v>
      </c>
      <c r="I10" s="41">
        <v>12.63</v>
      </c>
      <c r="J10" s="41">
        <v>0.16</v>
      </c>
      <c r="K10" s="41">
        <v>177.02</v>
      </c>
      <c r="L10" s="41">
        <v>18.77</v>
      </c>
      <c r="M10" s="41">
        <v>29.22</v>
      </c>
      <c r="N10" s="41">
        <v>2.1</v>
      </c>
      <c r="O10" s="41">
        <v>0</v>
      </c>
      <c r="P10" s="41">
        <v>0.88</v>
      </c>
      <c r="Q10" s="41">
        <v>9.32</v>
      </c>
      <c r="R10" s="38"/>
      <c r="S10" s="38"/>
      <c r="T10" s="38"/>
      <c r="U10" s="38"/>
    </row>
    <row r="11" spans="1:21" customFormat="1">
      <c r="A11" s="40" t="s">
        <v>303</v>
      </c>
      <c r="B11" s="41">
        <v>20.350000000000001</v>
      </c>
      <c r="C11" s="41">
        <v>14.63</v>
      </c>
      <c r="D11" s="41">
        <v>23.96</v>
      </c>
      <c r="E11" s="41">
        <v>6.62</v>
      </c>
      <c r="F11" s="41">
        <v>2</v>
      </c>
      <c r="G11" s="41">
        <v>97.42</v>
      </c>
      <c r="H11" s="41">
        <v>49.55</v>
      </c>
      <c r="I11" s="41">
        <v>13.57</v>
      </c>
      <c r="J11" s="41">
        <v>0.11</v>
      </c>
      <c r="K11" s="41">
        <v>237.42</v>
      </c>
      <c r="L11" s="41">
        <v>21.35</v>
      </c>
      <c r="M11" s="41">
        <v>35.69</v>
      </c>
      <c r="N11" s="41">
        <v>2.1</v>
      </c>
      <c r="O11" s="41">
        <v>0</v>
      </c>
      <c r="P11" s="41">
        <v>0.91</v>
      </c>
      <c r="Q11" s="41">
        <v>9.32</v>
      </c>
      <c r="R11" s="38"/>
      <c r="S11" s="38"/>
      <c r="T11" s="38"/>
      <c r="U11" s="38"/>
    </row>
    <row r="12" spans="1:21" customFormat="1">
      <c r="A12" s="40" t="s">
        <v>304</v>
      </c>
      <c r="B12" s="41">
        <v>19.239999999999998</v>
      </c>
      <c r="C12" s="41">
        <v>13.82</v>
      </c>
      <c r="D12" s="41">
        <v>22.65</v>
      </c>
      <c r="E12" s="41">
        <v>6.77</v>
      </c>
      <c r="F12" s="41">
        <v>2</v>
      </c>
      <c r="G12" s="41">
        <v>97.42</v>
      </c>
      <c r="H12" s="41">
        <v>50.28</v>
      </c>
      <c r="I12" s="41">
        <v>14.03</v>
      </c>
      <c r="J12" s="41">
        <v>0.09</v>
      </c>
      <c r="K12" s="41">
        <v>229.06</v>
      </c>
      <c r="L12" s="41">
        <v>20.53</v>
      </c>
      <c r="M12" s="41">
        <v>33.619999999999997</v>
      </c>
      <c r="N12" s="41">
        <v>1.9</v>
      </c>
      <c r="O12" s="41">
        <v>0</v>
      </c>
      <c r="P12" s="41">
        <v>0.98</v>
      </c>
      <c r="Q12" s="41">
        <v>9.32</v>
      </c>
      <c r="R12" s="38"/>
      <c r="S12" s="38"/>
      <c r="T12" s="38"/>
      <c r="U12" s="38"/>
    </row>
    <row r="13" spans="1:21" customFormat="1">
      <c r="A13" s="40" t="s">
        <v>305</v>
      </c>
      <c r="B13" s="41">
        <v>24.29</v>
      </c>
      <c r="C13" s="41">
        <v>13.97</v>
      </c>
      <c r="D13" s="41">
        <v>26.7</v>
      </c>
      <c r="E13" s="41">
        <v>6.76</v>
      </c>
      <c r="F13" s="41">
        <v>2</v>
      </c>
      <c r="G13" s="41">
        <v>109.07</v>
      </c>
      <c r="H13" s="41">
        <v>53.32</v>
      </c>
      <c r="I13" s="41">
        <v>14.51</v>
      </c>
      <c r="J13" s="41">
        <v>0.16</v>
      </c>
      <c r="K13" s="41">
        <v>146.22</v>
      </c>
      <c r="L13" s="41">
        <v>18.43</v>
      </c>
      <c r="M13" s="41">
        <v>28.01</v>
      </c>
      <c r="N13" s="41">
        <v>1.8</v>
      </c>
      <c r="O13" s="41">
        <v>0</v>
      </c>
      <c r="P13" s="41">
        <v>1.06</v>
      </c>
      <c r="Q13" s="41">
        <v>9.32</v>
      </c>
      <c r="R13" s="38"/>
      <c r="S13" s="38"/>
      <c r="T13" s="38"/>
      <c r="U13" s="38"/>
    </row>
    <row r="14" spans="1:21" customFormat="1">
      <c r="A14" s="40" t="s">
        <v>306</v>
      </c>
      <c r="B14" s="41">
        <v>24.44</v>
      </c>
      <c r="C14" s="41">
        <v>13.91</v>
      </c>
      <c r="D14" s="41">
        <v>26.85</v>
      </c>
      <c r="E14" s="41">
        <v>7.3</v>
      </c>
      <c r="F14" s="41">
        <v>2</v>
      </c>
      <c r="G14" s="41">
        <v>114.34</v>
      </c>
      <c r="H14" s="41">
        <v>53.32</v>
      </c>
      <c r="I14" s="41">
        <v>14.73</v>
      </c>
      <c r="J14" s="41">
        <v>0.14000000000000001</v>
      </c>
      <c r="K14" s="41">
        <v>165.93</v>
      </c>
      <c r="L14" s="41">
        <v>16.14</v>
      </c>
      <c r="M14" s="41">
        <v>22.43</v>
      </c>
      <c r="N14" s="41">
        <v>2.1</v>
      </c>
      <c r="O14" s="41">
        <v>0</v>
      </c>
      <c r="P14" s="41">
        <v>1.07</v>
      </c>
      <c r="Q14" s="41">
        <v>9.32</v>
      </c>
      <c r="R14" s="38"/>
      <c r="S14" s="38"/>
      <c r="T14" s="38"/>
      <c r="U14" s="38"/>
    </row>
    <row r="15" spans="1:21" customFormat="1">
      <c r="A15" s="40" t="s">
        <v>307</v>
      </c>
      <c r="B15" s="41">
        <v>25.25</v>
      </c>
      <c r="C15" s="41">
        <v>14.3</v>
      </c>
      <c r="D15" s="41">
        <v>27.73</v>
      </c>
      <c r="E15" s="41">
        <v>7.05</v>
      </c>
      <c r="F15" s="41">
        <v>2</v>
      </c>
      <c r="G15" s="41">
        <v>114.34</v>
      </c>
      <c r="H15" s="41">
        <v>56</v>
      </c>
      <c r="I15" s="41">
        <v>14.48</v>
      </c>
      <c r="J15" s="41">
        <v>0.21</v>
      </c>
      <c r="K15" s="41">
        <v>160.71</v>
      </c>
      <c r="L15" s="41">
        <v>15.9</v>
      </c>
      <c r="M15" s="41">
        <v>21.54</v>
      </c>
      <c r="N15" s="41">
        <v>23.5</v>
      </c>
      <c r="O15" s="41">
        <v>0</v>
      </c>
      <c r="P15" s="41">
        <v>1.05</v>
      </c>
      <c r="Q15" s="41">
        <v>9.32</v>
      </c>
      <c r="R15" s="38"/>
      <c r="S15" s="38"/>
      <c r="T15" s="38"/>
      <c r="U15" s="38"/>
    </row>
    <row r="16" spans="1:21" customFormat="1">
      <c r="A16" s="40" t="s">
        <v>308</v>
      </c>
      <c r="B16" s="41">
        <v>25.21</v>
      </c>
      <c r="C16" s="41">
        <v>14.31</v>
      </c>
      <c r="D16" s="41">
        <v>27.65</v>
      </c>
      <c r="E16" s="41">
        <v>7.26</v>
      </c>
      <c r="F16" s="41">
        <v>2</v>
      </c>
      <c r="G16" s="41">
        <v>112.94</v>
      </c>
      <c r="H16" s="41">
        <v>57.03</v>
      </c>
      <c r="I16" s="41">
        <v>14.1</v>
      </c>
      <c r="J16" s="41">
        <v>0.33</v>
      </c>
      <c r="K16" s="41">
        <v>157.78</v>
      </c>
      <c r="L16" s="41">
        <v>15.58</v>
      </c>
      <c r="M16" s="41">
        <v>20.170000000000002</v>
      </c>
      <c r="N16" s="41">
        <v>175.4</v>
      </c>
      <c r="O16" s="41">
        <v>0</v>
      </c>
      <c r="P16" s="41">
        <v>1.05</v>
      </c>
      <c r="Q16" s="41">
        <v>9.32</v>
      </c>
      <c r="R16" s="38"/>
      <c r="S16" s="38"/>
      <c r="T16" s="38"/>
      <c r="U16" s="38"/>
    </row>
    <row r="17" spans="1:21" customFormat="1">
      <c r="A17" s="40" t="s">
        <v>309</v>
      </c>
      <c r="B17" s="41">
        <v>23.73</v>
      </c>
      <c r="C17" s="41">
        <v>15.42</v>
      </c>
      <c r="D17" s="41">
        <v>26.77</v>
      </c>
      <c r="E17" s="41">
        <v>7.06</v>
      </c>
      <c r="F17" s="41">
        <v>2</v>
      </c>
      <c r="G17" s="41">
        <v>109.76</v>
      </c>
      <c r="H17" s="41">
        <v>57.03</v>
      </c>
      <c r="I17" s="41">
        <v>13.94</v>
      </c>
      <c r="J17" s="41">
        <v>0.49</v>
      </c>
      <c r="K17" s="41">
        <v>52.42</v>
      </c>
      <c r="L17" s="41">
        <v>14.17</v>
      </c>
      <c r="M17" s="41">
        <v>11.29</v>
      </c>
      <c r="N17" s="41">
        <v>337.5</v>
      </c>
      <c r="O17" s="41">
        <v>0</v>
      </c>
      <c r="P17" s="41">
        <v>1.02</v>
      </c>
      <c r="Q17" s="41">
        <v>9.32</v>
      </c>
      <c r="R17" s="38"/>
      <c r="S17" s="38"/>
      <c r="T17" s="38"/>
      <c r="U17" s="38"/>
    </row>
    <row r="18" spans="1:21" customFormat="1">
      <c r="A18" s="40" t="s">
        <v>310</v>
      </c>
      <c r="B18" s="41">
        <v>19.68</v>
      </c>
      <c r="C18" s="41">
        <v>15.86</v>
      </c>
      <c r="D18" s="41">
        <v>23.94</v>
      </c>
      <c r="E18" s="41">
        <v>6.93</v>
      </c>
      <c r="F18" s="41">
        <v>2</v>
      </c>
      <c r="G18" s="41">
        <v>105.37</v>
      </c>
      <c r="H18" s="41">
        <v>58.75</v>
      </c>
      <c r="I18" s="41">
        <v>13.7</v>
      </c>
      <c r="J18" s="41">
        <v>0.56000000000000005</v>
      </c>
      <c r="K18" s="41">
        <v>125.37</v>
      </c>
      <c r="L18" s="41">
        <v>15.68</v>
      </c>
      <c r="M18" s="41">
        <v>12.95</v>
      </c>
      <c r="N18" s="41">
        <v>415.4</v>
      </c>
      <c r="O18" s="41">
        <v>0</v>
      </c>
      <c r="P18" s="41">
        <v>0.99</v>
      </c>
      <c r="Q18" s="41">
        <v>9.32</v>
      </c>
      <c r="R18" s="38"/>
      <c r="S18" s="38"/>
      <c r="T18" s="38"/>
      <c r="U18" s="38"/>
    </row>
    <row r="19" spans="1:21" customFormat="1">
      <c r="A19" s="40" t="s">
        <v>311</v>
      </c>
      <c r="B19" s="41">
        <v>17.13</v>
      </c>
      <c r="C19" s="41">
        <v>16.3</v>
      </c>
      <c r="D19" s="41">
        <v>22.14</v>
      </c>
      <c r="E19" s="41">
        <v>6.92</v>
      </c>
      <c r="F19" s="41">
        <v>2</v>
      </c>
      <c r="G19" s="41">
        <v>102.45</v>
      </c>
      <c r="H19" s="41">
        <v>58.75</v>
      </c>
      <c r="I19" s="41">
        <v>13.17</v>
      </c>
      <c r="J19" s="41">
        <v>0.56999999999999995</v>
      </c>
      <c r="K19" s="41">
        <v>68.13</v>
      </c>
      <c r="L19" s="41">
        <v>15.96</v>
      </c>
      <c r="M19" s="41">
        <v>9.7100000000000009</v>
      </c>
      <c r="N19" s="41">
        <v>561</v>
      </c>
      <c r="O19" s="41">
        <v>0</v>
      </c>
      <c r="P19" s="41">
        <v>0.94</v>
      </c>
      <c r="Q19" s="41">
        <v>9.32</v>
      </c>
      <c r="R19" s="38"/>
      <c r="S19" s="38"/>
      <c r="T19" s="38"/>
      <c r="U19" s="38"/>
    </row>
    <row r="20" spans="1:21" customFormat="1">
      <c r="A20" s="40" t="s">
        <v>312</v>
      </c>
      <c r="B20" s="41">
        <v>13.13</v>
      </c>
      <c r="C20" s="41">
        <v>16.510000000000002</v>
      </c>
      <c r="D20" s="41">
        <v>19.100000000000001</v>
      </c>
      <c r="E20" s="41">
        <v>7.09</v>
      </c>
      <c r="F20" s="41">
        <v>2.0099999999999998</v>
      </c>
      <c r="G20" s="41">
        <v>102.45</v>
      </c>
      <c r="H20" s="41">
        <v>53.79</v>
      </c>
      <c r="I20" s="41">
        <v>12.39</v>
      </c>
      <c r="J20" s="41">
        <v>0.74</v>
      </c>
      <c r="K20" s="41">
        <v>45.52</v>
      </c>
      <c r="L20" s="41">
        <v>18.91</v>
      </c>
      <c r="M20" s="41">
        <v>15.1</v>
      </c>
      <c r="N20" s="41">
        <v>611.29999999999995</v>
      </c>
      <c r="O20" s="41">
        <v>0</v>
      </c>
      <c r="P20" s="41">
        <v>0.89</v>
      </c>
      <c r="Q20" s="41">
        <v>9.32</v>
      </c>
      <c r="R20" s="38"/>
      <c r="S20" s="38"/>
      <c r="T20" s="38"/>
      <c r="U20" s="38"/>
    </row>
    <row r="21" spans="1:21" customFormat="1">
      <c r="A21" s="40" t="s">
        <v>313</v>
      </c>
      <c r="B21" s="41">
        <v>8.57</v>
      </c>
      <c r="C21" s="41">
        <v>16</v>
      </c>
      <c r="D21" s="41">
        <v>15.23</v>
      </c>
      <c r="E21" s="41">
        <v>7.28</v>
      </c>
      <c r="F21" s="41">
        <v>2.0099999999999998</v>
      </c>
      <c r="G21" s="41">
        <v>92.67</v>
      </c>
      <c r="H21" s="41">
        <v>51.24</v>
      </c>
      <c r="I21" s="41">
        <v>11.74</v>
      </c>
      <c r="J21" s="41">
        <v>0.44</v>
      </c>
      <c r="K21" s="41">
        <v>358.98</v>
      </c>
      <c r="L21" s="41">
        <v>27.85</v>
      </c>
      <c r="M21" s="41">
        <v>40.6</v>
      </c>
      <c r="N21" s="41">
        <v>609.79999999999995</v>
      </c>
      <c r="O21" s="41">
        <v>0</v>
      </c>
      <c r="P21" s="41">
        <v>0.83</v>
      </c>
      <c r="Q21" s="41">
        <v>9.32</v>
      </c>
      <c r="R21" s="38"/>
      <c r="S21" s="38"/>
      <c r="T21" s="38"/>
      <c r="U21" s="38"/>
    </row>
    <row r="22" spans="1:21" customFormat="1">
      <c r="A22" s="40" t="s">
        <v>314</v>
      </c>
      <c r="B22" s="41">
        <v>4.53</v>
      </c>
      <c r="C22" s="41">
        <v>15.1</v>
      </c>
      <c r="D22" s="41">
        <v>11.52</v>
      </c>
      <c r="E22" s="41">
        <v>7.15</v>
      </c>
      <c r="F22" s="41">
        <v>2.0099999999999998</v>
      </c>
      <c r="G22" s="41">
        <v>82.1</v>
      </c>
      <c r="H22" s="41">
        <v>45.91</v>
      </c>
      <c r="I22" s="41">
        <v>11.02</v>
      </c>
      <c r="J22" s="41">
        <v>0.7</v>
      </c>
      <c r="K22" s="41">
        <v>303.36</v>
      </c>
      <c r="L22" s="41">
        <v>29.92</v>
      </c>
      <c r="M22" s="41">
        <v>46.11</v>
      </c>
      <c r="N22" s="41">
        <v>495.6</v>
      </c>
      <c r="O22" s="41">
        <v>0</v>
      </c>
      <c r="P22" s="41">
        <v>0.8</v>
      </c>
      <c r="Q22" s="41">
        <v>9.32</v>
      </c>
      <c r="R22" s="38"/>
      <c r="S22" s="38"/>
      <c r="T22" s="38"/>
      <c r="U22" s="38"/>
    </row>
    <row r="23" spans="1:21" customFormat="1">
      <c r="A23" s="40" t="s">
        <v>315</v>
      </c>
      <c r="B23" s="41">
        <v>2.83</v>
      </c>
      <c r="C23" s="41">
        <v>14.61</v>
      </c>
      <c r="D23" s="41">
        <v>9.73</v>
      </c>
      <c r="E23" s="41">
        <v>8.5399999999999991</v>
      </c>
      <c r="F23" s="41">
        <v>8.27</v>
      </c>
      <c r="G23" s="41">
        <v>78.77</v>
      </c>
      <c r="H23" s="41">
        <v>43.16</v>
      </c>
      <c r="I23" s="41">
        <v>10.49</v>
      </c>
      <c r="J23" s="41">
        <v>0.36</v>
      </c>
      <c r="K23" s="41">
        <v>346.89</v>
      </c>
      <c r="L23" s="41">
        <v>19.850000000000001</v>
      </c>
      <c r="M23" s="41">
        <v>30.13</v>
      </c>
      <c r="N23" s="41">
        <v>106.9</v>
      </c>
      <c r="O23" s="41">
        <v>0</v>
      </c>
      <c r="P23" s="41">
        <v>0.71</v>
      </c>
      <c r="Q23" s="41">
        <v>9.32</v>
      </c>
      <c r="R23" s="38"/>
      <c r="S23" s="38"/>
      <c r="T23" s="38"/>
      <c r="U23" s="38"/>
    </row>
    <row r="24" spans="1:21" customFormat="1">
      <c r="A24" s="40" t="s">
        <v>316</v>
      </c>
      <c r="B24" s="41">
        <v>2.4</v>
      </c>
      <c r="C24" s="41">
        <v>15.26</v>
      </c>
      <c r="D24" s="41">
        <v>9.9</v>
      </c>
      <c r="E24" s="41">
        <v>8.15</v>
      </c>
      <c r="F24" s="41">
        <v>6.73</v>
      </c>
      <c r="G24" s="41">
        <v>70.819999999999993</v>
      </c>
      <c r="H24" s="41">
        <v>39.96</v>
      </c>
      <c r="I24" s="41">
        <v>9.41</v>
      </c>
      <c r="J24" s="41">
        <v>0.45</v>
      </c>
      <c r="K24" s="41">
        <v>341.44</v>
      </c>
      <c r="L24" s="41">
        <v>19.399999999999999</v>
      </c>
      <c r="M24" s="41">
        <v>29.38</v>
      </c>
      <c r="N24" s="41">
        <v>35.799999999999997</v>
      </c>
      <c r="O24" s="41">
        <v>0</v>
      </c>
      <c r="P24" s="41">
        <v>0.68</v>
      </c>
      <c r="Q24" s="41">
        <v>9.32</v>
      </c>
      <c r="R24" s="38"/>
      <c r="S24" s="38"/>
      <c r="T24" s="38"/>
      <c r="U24" s="38"/>
    </row>
    <row r="25" spans="1:21" customFormat="1">
      <c r="A25" s="40" t="s">
        <v>317</v>
      </c>
      <c r="B25" s="41">
        <v>2.41</v>
      </c>
      <c r="C25" s="41">
        <v>15.33</v>
      </c>
      <c r="D25" s="41">
        <v>9.91</v>
      </c>
      <c r="E25" s="41">
        <v>7.53</v>
      </c>
      <c r="F25" s="41">
        <v>4.49</v>
      </c>
      <c r="G25" s="41">
        <v>64.94</v>
      </c>
      <c r="H25" s="41">
        <v>35.119999999999997</v>
      </c>
      <c r="I25" s="41">
        <v>8.64</v>
      </c>
      <c r="J25" s="41">
        <v>0.28999999999999998</v>
      </c>
      <c r="K25" s="41">
        <v>74.69</v>
      </c>
      <c r="L25" s="41">
        <v>15.66</v>
      </c>
      <c r="M25" s="41">
        <v>20.47</v>
      </c>
      <c r="N25" s="41">
        <v>22.1</v>
      </c>
      <c r="O25" s="41">
        <v>0</v>
      </c>
      <c r="P25" s="41">
        <v>0.64</v>
      </c>
      <c r="Q25" s="41">
        <v>9.32</v>
      </c>
      <c r="R25" s="38"/>
      <c r="S25" s="38"/>
      <c r="T25" s="38"/>
      <c r="U25" s="38"/>
    </row>
    <row r="26" spans="1:21" customFormat="1">
      <c r="A26" s="40" t="s">
        <v>318</v>
      </c>
      <c r="B26" s="41">
        <v>2.8</v>
      </c>
      <c r="C26" s="41">
        <v>14.76</v>
      </c>
      <c r="D26" s="41">
        <v>9.7200000000000006</v>
      </c>
      <c r="E26" s="41">
        <v>6.75</v>
      </c>
      <c r="F26" s="41">
        <v>2</v>
      </c>
      <c r="G26" s="41">
        <v>66.209999999999994</v>
      </c>
      <c r="H26" s="41">
        <v>33.369999999999997</v>
      </c>
      <c r="I26" s="41">
        <v>8.83</v>
      </c>
      <c r="J26" s="41">
        <v>0.32</v>
      </c>
      <c r="K26" s="41">
        <v>180.69</v>
      </c>
      <c r="L26" s="41">
        <v>17.47</v>
      </c>
      <c r="M26" s="41">
        <v>25.7</v>
      </c>
      <c r="N26" s="41">
        <v>6.4</v>
      </c>
      <c r="O26" s="41">
        <v>0</v>
      </c>
      <c r="P26" s="41">
        <v>0.64</v>
      </c>
      <c r="Q26" s="41">
        <v>9.32</v>
      </c>
      <c r="R26" s="38"/>
      <c r="S26" s="38"/>
      <c r="T26" s="38"/>
      <c r="U26" s="38"/>
    </row>
    <row r="27" spans="1:21" customFormat="1">
      <c r="A27" s="40" t="s">
        <v>319</v>
      </c>
      <c r="B27" s="41">
        <v>3.21</v>
      </c>
      <c r="C27" s="41">
        <v>13.57</v>
      </c>
      <c r="D27" s="41">
        <v>9.44</v>
      </c>
      <c r="E27" s="41">
        <v>5.58</v>
      </c>
      <c r="F27" s="41">
        <v>2</v>
      </c>
      <c r="G27" s="41">
        <v>80.900000000000006</v>
      </c>
      <c r="H27" s="41">
        <v>34.65</v>
      </c>
      <c r="I27" s="41">
        <v>8.8800000000000008</v>
      </c>
      <c r="J27" s="41">
        <v>0.3</v>
      </c>
      <c r="K27" s="41">
        <v>225.69</v>
      </c>
      <c r="L27" s="41">
        <v>21</v>
      </c>
      <c r="M27" s="41">
        <v>34.39</v>
      </c>
      <c r="N27" s="41">
        <v>2.5</v>
      </c>
      <c r="O27" s="41">
        <v>0</v>
      </c>
      <c r="P27" s="41">
        <v>0.65</v>
      </c>
      <c r="Q27" s="41">
        <v>9.32</v>
      </c>
      <c r="R27" s="38"/>
      <c r="S27" s="38"/>
      <c r="T27" s="38"/>
      <c r="U27" s="38"/>
    </row>
    <row r="28" spans="1:21" customFormat="1">
      <c r="A28" s="40" t="s">
        <v>320</v>
      </c>
      <c r="B28" s="41">
        <v>4.57</v>
      </c>
      <c r="C28" s="41">
        <v>12.38</v>
      </c>
      <c r="D28" s="41">
        <v>9.9700000000000006</v>
      </c>
      <c r="E28" s="41">
        <v>5.64</v>
      </c>
      <c r="F28" s="41">
        <v>2</v>
      </c>
      <c r="G28" s="41">
        <v>80.900000000000006</v>
      </c>
      <c r="H28" s="41">
        <v>34.65</v>
      </c>
      <c r="I28" s="41">
        <v>9.89</v>
      </c>
      <c r="J28" s="41">
        <v>0.21</v>
      </c>
      <c r="K28" s="41">
        <v>230.54</v>
      </c>
      <c r="L28" s="41">
        <v>19.760000000000002</v>
      </c>
      <c r="M28" s="41">
        <v>31.47</v>
      </c>
      <c r="N28" s="41">
        <v>2</v>
      </c>
      <c r="O28" s="41">
        <v>0</v>
      </c>
      <c r="P28" s="41">
        <v>0.68</v>
      </c>
      <c r="Q28" s="41">
        <v>9.32</v>
      </c>
      <c r="R28" s="38"/>
      <c r="S28" s="38"/>
      <c r="T28" s="38"/>
      <c r="U28" s="38"/>
    </row>
    <row r="29" spans="1:21" customFormat="1">
      <c r="A29" s="40" t="s">
        <v>321</v>
      </c>
      <c r="B29" s="41">
        <v>7.92</v>
      </c>
      <c r="C29" s="41">
        <v>13.06</v>
      </c>
      <c r="D29" s="41">
        <v>13.17</v>
      </c>
      <c r="E29" s="41">
        <v>6.04</v>
      </c>
      <c r="F29" s="41">
        <v>2</v>
      </c>
      <c r="G29" s="41">
        <v>81.78</v>
      </c>
      <c r="H29" s="41">
        <v>38.090000000000003</v>
      </c>
      <c r="I29" s="41">
        <v>11.54</v>
      </c>
      <c r="J29" s="41">
        <v>0.22</v>
      </c>
      <c r="K29" s="41">
        <v>208.38</v>
      </c>
      <c r="L29" s="41">
        <v>19.72</v>
      </c>
      <c r="M29" s="41">
        <v>31.64</v>
      </c>
      <c r="N29" s="41">
        <v>2.1</v>
      </c>
      <c r="O29" s="41">
        <v>0</v>
      </c>
      <c r="P29" s="41">
        <v>0.73</v>
      </c>
      <c r="Q29" s="41">
        <v>9.32</v>
      </c>
      <c r="R29" s="38"/>
      <c r="S29" s="38"/>
      <c r="T29" s="38"/>
      <c r="U29" s="38"/>
    </row>
    <row r="30" spans="1:21" customFormat="1">
      <c r="A30" s="40" t="s">
        <v>322</v>
      </c>
      <c r="B30" s="41">
        <v>8.65</v>
      </c>
      <c r="C30" s="41">
        <v>13.01</v>
      </c>
      <c r="D30" s="41">
        <v>13.47</v>
      </c>
      <c r="E30" s="41">
        <v>5.86</v>
      </c>
      <c r="F30" s="41">
        <v>2</v>
      </c>
      <c r="G30" s="41">
        <v>81.78</v>
      </c>
      <c r="H30" s="41">
        <v>38.090000000000003</v>
      </c>
      <c r="I30" s="41">
        <v>12.32</v>
      </c>
      <c r="J30" s="41">
        <v>0.17</v>
      </c>
      <c r="K30" s="41">
        <v>227.22</v>
      </c>
      <c r="L30" s="41">
        <v>19.940000000000001</v>
      </c>
      <c r="M30" s="41">
        <v>32.19</v>
      </c>
      <c r="N30" s="41">
        <v>2.1</v>
      </c>
      <c r="O30" s="41">
        <v>0</v>
      </c>
      <c r="P30" s="41">
        <v>0.75</v>
      </c>
      <c r="Q30" s="41">
        <v>9.32</v>
      </c>
      <c r="R30" s="38"/>
      <c r="S30" s="38"/>
      <c r="T30" s="38"/>
      <c r="U30" s="38"/>
    </row>
    <row r="31" spans="1:21" customFormat="1">
      <c r="A31" s="40" t="s">
        <v>323</v>
      </c>
      <c r="B31" s="41">
        <v>9.94</v>
      </c>
      <c r="C31" s="41">
        <v>12.49</v>
      </c>
      <c r="D31" s="41">
        <v>14.5</v>
      </c>
      <c r="E31" s="41">
        <v>5.79</v>
      </c>
      <c r="F31" s="41">
        <v>2</v>
      </c>
      <c r="G31" s="41">
        <v>77.77</v>
      </c>
      <c r="H31" s="41">
        <v>38.85</v>
      </c>
      <c r="I31" s="41">
        <v>12.85</v>
      </c>
      <c r="J31" s="41">
        <v>0.18</v>
      </c>
      <c r="K31" s="41">
        <v>306.39999999999998</v>
      </c>
      <c r="L31" s="41">
        <v>19.329999999999998</v>
      </c>
      <c r="M31" s="41">
        <v>30.57</v>
      </c>
      <c r="N31" s="41">
        <v>1.9</v>
      </c>
      <c r="O31" s="41">
        <v>0</v>
      </c>
      <c r="P31" s="41">
        <v>0.77</v>
      </c>
      <c r="Q31" s="41">
        <v>9.32</v>
      </c>
      <c r="R31" s="38"/>
      <c r="S31" s="38"/>
      <c r="T31" s="38"/>
      <c r="U31" s="38"/>
    </row>
    <row r="32" spans="1:21" customFormat="1">
      <c r="A32" s="40" t="s">
        <v>324</v>
      </c>
      <c r="B32" s="41">
        <v>15.53</v>
      </c>
      <c r="C32" s="41">
        <v>14.43</v>
      </c>
      <c r="D32" s="41">
        <v>20</v>
      </c>
      <c r="E32" s="41">
        <v>5.98</v>
      </c>
      <c r="F32" s="41">
        <v>2</v>
      </c>
      <c r="G32" s="41">
        <v>81.98</v>
      </c>
      <c r="H32" s="41">
        <v>41.64</v>
      </c>
      <c r="I32" s="41">
        <v>14.2</v>
      </c>
      <c r="J32" s="41">
        <v>0.4</v>
      </c>
      <c r="K32" s="41">
        <v>190.42</v>
      </c>
      <c r="L32" s="41">
        <v>17.54</v>
      </c>
      <c r="M32" s="41">
        <v>26.19</v>
      </c>
      <c r="N32" s="41">
        <v>2.1</v>
      </c>
      <c r="O32" s="41">
        <v>0</v>
      </c>
      <c r="P32" s="41">
        <v>0.91</v>
      </c>
      <c r="Q32" s="41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2.4</v>
      </c>
      <c r="C34" s="18">
        <f t="shared" si="0"/>
        <v>12.38</v>
      </c>
      <c r="D34" s="18">
        <f t="shared" si="0"/>
        <v>9.44</v>
      </c>
      <c r="E34" s="18">
        <f t="shared" si="0"/>
        <v>5.58</v>
      </c>
      <c r="F34" s="18">
        <f t="shared" si="0"/>
        <v>2</v>
      </c>
      <c r="G34" s="18">
        <f t="shared" si="0"/>
        <v>64.94</v>
      </c>
      <c r="H34" s="18">
        <f t="shared" si="0"/>
        <v>33.369999999999997</v>
      </c>
      <c r="I34" s="18">
        <f t="shared" si="0"/>
        <v>8.64</v>
      </c>
      <c r="J34" s="18">
        <f t="shared" si="0"/>
        <v>0.09</v>
      </c>
      <c r="K34" s="18">
        <f t="shared" si="0"/>
        <v>45.52</v>
      </c>
      <c r="L34" s="18">
        <f t="shared" si="0"/>
        <v>14.17</v>
      </c>
      <c r="M34" s="18">
        <f t="shared" si="0"/>
        <v>9.7100000000000009</v>
      </c>
      <c r="N34" s="18">
        <f t="shared" si="0"/>
        <v>1.8</v>
      </c>
      <c r="O34" s="18">
        <f t="shared" si="0"/>
        <v>0</v>
      </c>
      <c r="P34" s="18">
        <f t="shared" si="0"/>
        <v>0.64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25.25</v>
      </c>
      <c r="C35" s="3">
        <f t="shared" si="1"/>
        <v>16.510000000000002</v>
      </c>
      <c r="D35" s="3">
        <f t="shared" si="1"/>
        <v>27.73</v>
      </c>
      <c r="E35" s="3">
        <f t="shared" si="1"/>
        <v>8.5399999999999991</v>
      </c>
      <c r="F35" s="3">
        <f t="shared" si="1"/>
        <v>8.27</v>
      </c>
      <c r="G35" s="3">
        <f t="shared" si="1"/>
        <v>114.34</v>
      </c>
      <c r="H35" s="3">
        <f t="shared" si="1"/>
        <v>58.75</v>
      </c>
      <c r="I35" s="3">
        <f t="shared" si="1"/>
        <v>14.73</v>
      </c>
      <c r="J35" s="3">
        <f t="shared" si="1"/>
        <v>0.74</v>
      </c>
      <c r="K35" s="3">
        <f t="shared" si="1"/>
        <v>358.98</v>
      </c>
      <c r="L35" s="3">
        <f t="shared" si="1"/>
        <v>29.92</v>
      </c>
      <c r="M35" s="3">
        <f t="shared" si="1"/>
        <v>46.11</v>
      </c>
      <c r="N35" s="3">
        <f t="shared" si="1"/>
        <v>611.29999999999995</v>
      </c>
      <c r="O35" s="3">
        <f t="shared" si="1"/>
        <v>0</v>
      </c>
      <c r="P35" s="3">
        <f t="shared" si="1"/>
        <v>1.07</v>
      </c>
      <c r="Q35" s="3">
        <f t="shared" si="1"/>
        <v>9.32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13.574999999999996</v>
      </c>
      <c r="C36" s="18">
        <f t="shared" si="2"/>
        <v>14.510833333333332</v>
      </c>
      <c r="D36" s="18">
        <f t="shared" si="2"/>
        <v>18.390000000000008</v>
      </c>
      <c r="E36" s="18">
        <f t="shared" si="2"/>
        <v>6.831666666666667</v>
      </c>
      <c r="F36" s="18">
        <f t="shared" si="2"/>
        <v>2.5633333333333335</v>
      </c>
      <c r="G36" s="18">
        <f t="shared" si="2"/>
        <v>91.218750000000014</v>
      </c>
      <c r="H36" s="18">
        <f t="shared" si="2"/>
        <v>46.511249999999997</v>
      </c>
      <c r="I36" s="18">
        <f t="shared" si="2"/>
        <v>12.182083333333336</v>
      </c>
      <c r="J36" s="18">
        <f t="shared" si="2"/>
        <v>0.32250000000000006</v>
      </c>
      <c r="K36" s="18">
        <f t="shared" si="2"/>
        <v>201.05541666666667</v>
      </c>
      <c r="L36" s="18">
        <f t="shared" si="2"/>
        <v>19.199166666666667</v>
      </c>
      <c r="M36" s="18">
        <f t="shared" si="2"/>
        <v>27.315416666666668</v>
      </c>
      <c r="N36" s="18">
        <f t="shared" si="2"/>
        <v>142.72499999999999</v>
      </c>
      <c r="O36" s="18">
        <f t="shared" si="2"/>
        <v>0</v>
      </c>
      <c r="P36" s="18">
        <f t="shared" si="2"/>
        <v>0.85250000000000004</v>
      </c>
      <c r="Q36" s="18">
        <f t="shared" si="2"/>
        <v>9.319999999999995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8.5167921088921226</v>
      </c>
      <c r="C37" s="18">
        <f t="shared" ref="C37:Q37" si="3">STDEV(C9:C32)</f>
        <v>1.1203567625369693</v>
      </c>
      <c r="D37" s="18">
        <f t="shared" si="3"/>
        <v>6.933362318779972</v>
      </c>
      <c r="E37" s="18">
        <f t="shared" si="3"/>
        <v>0.7392161928083959</v>
      </c>
      <c r="F37" s="18">
        <f t="shared" si="3"/>
        <v>1.6187748095575154</v>
      </c>
      <c r="G37" s="18">
        <f t="shared" si="3"/>
        <v>15.280075208243</v>
      </c>
      <c r="H37" s="18">
        <f t="shared" si="3"/>
        <v>8.516648816595545</v>
      </c>
      <c r="I37" s="18">
        <f t="shared" si="3"/>
        <v>1.9843824560512515</v>
      </c>
      <c r="J37" s="18">
        <f t="shared" si="3"/>
        <v>0.18646016009954453</v>
      </c>
      <c r="K37" s="18">
        <f t="shared" si="3"/>
        <v>90.98304677146642</v>
      </c>
      <c r="L37" s="18">
        <f t="shared" si="3"/>
        <v>3.665767511623621</v>
      </c>
      <c r="M37" s="18">
        <f t="shared" si="3"/>
        <v>9.2110788581948349</v>
      </c>
      <c r="N37" s="18">
        <f t="shared" si="3"/>
        <v>223.41854706785881</v>
      </c>
      <c r="O37" s="18">
        <f t="shared" si="3"/>
        <v>0</v>
      </c>
      <c r="P37" s="18">
        <f t="shared" si="3"/>
        <v>0.14673993558555204</v>
      </c>
      <c r="Q37" s="18">
        <f t="shared" si="3"/>
        <v>5.4436872977907584E-15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60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96"/>
  <sheetViews>
    <sheetView zoomScale="85" zoomScaleNormal="85" workbookViewId="0">
      <pane xSplit="2" ySplit="8" topLeftCell="C21" activePane="bottomRight" state="frozen"/>
      <selection activeCell="G19" sqref="G19"/>
      <selection pane="topRight" activeCell="G19" sqref="G19"/>
      <selection pane="bottomLeft" activeCell="G19" sqref="G19"/>
      <selection pane="bottomRight" activeCell="K29" sqref="K2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12/11/2025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325</v>
      </c>
      <c r="B9" s="41">
        <v>17.7</v>
      </c>
      <c r="C9" s="41">
        <v>15.21</v>
      </c>
      <c r="D9" s="41">
        <v>22.14</v>
      </c>
      <c r="E9" s="41">
        <v>6.35</v>
      </c>
      <c r="F9" s="41">
        <v>2</v>
      </c>
      <c r="G9" s="41">
        <v>101.36</v>
      </c>
      <c r="H9" s="41">
        <v>50.71</v>
      </c>
      <c r="I9" s="41">
        <v>16.02</v>
      </c>
      <c r="J9" s="41">
        <v>0.2</v>
      </c>
      <c r="K9" s="41">
        <v>211.53</v>
      </c>
      <c r="L9" s="41">
        <v>19.579999999999998</v>
      </c>
      <c r="M9" s="41">
        <v>30.96</v>
      </c>
      <c r="N9" s="41">
        <v>2.4</v>
      </c>
      <c r="O9" s="41">
        <v>0</v>
      </c>
      <c r="P9" s="41">
        <v>0.96</v>
      </c>
      <c r="Q9" s="41">
        <v>9.32</v>
      </c>
      <c r="R9" s="38"/>
      <c r="S9" s="38"/>
      <c r="T9" s="38"/>
      <c r="U9" s="38"/>
    </row>
    <row r="10" spans="1:21" customFormat="1">
      <c r="A10" s="40" t="s">
        <v>326</v>
      </c>
      <c r="B10" s="41">
        <v>17.79</v>
      </c>
      <c r="C10" s="41">
        <v>15</v>
      </c>
      <c r="D10" s="41">
        <v>21.94</v>
      </c>
      <c r="E10" s="41">
        <v>6.49</v>
      </c>
      <c r="F10" s="41">
        <v>2</v>
      </c>
      <c r="G10" s="41">
        <v>112.31</v>
      </c>
      <c r="H10" s="41">
        <v>55.47</v>
      </c>
      <c r="I10" s="41">
        <v>16.739999999999998</v>
      </c>
      <c r="J10" s="41">
        <v>0.15</v>
      </c>
      <c r="K10" s="41">
        <v>173.34</v>
      </c>
      <c r="L10" s="41">
        <v>17.05</v>
      </c>
      <c r="M10" s="41">
        <v>24.72</v>
      </c>
      <c r="N10" s="41">
        <v>2.1</v>
      </c>
      <c r="O10" s="41">
        <v>0</v>
      </c>
      <c r="P10" s="41">
        <v>1.02</v>
      </c>
      <c r="Q10" s="41">
        <v>9.32</v>
      </c>
      <c r="R10" s="38"/>
      <c r="S10" s="38"/>
      <c r="T10" s="38"/>
      <c r="U10" s="38"/>
    </row>
    <row r="11" spans="1:21" customFormat="1">
      <c r="A11" s="40" t="s">
        <v>327</v>
      </c>
      <c r="B11" s="41">
        <v>17.559999999999999</v>
      </c>
      <c r="C11" s="41">
        <v>14.42</v>
      </c>
      <c r="D11" s="41">
        <v>21.61</v>
      </c>
      <c r="E11" s="41">
        <v>7.04</v>
      </c>
      <c r="F11" s="41">
        <v>2</v>
      </c>
      <c r="G11" s="41">
        <v>112.31</v>
      </c>
      <c r="H11" s="41">
        <v>55.47</v>
      </c>
      <c r="I11" s="41">
        <v>17.170000000000002</v>
      </c>
      <c r="J11" s="41">
        <v>0.1</v>
      </c>
      <c r="K11" s="41">
        <v>227.93</v>
      </c>
      <c r="L11" s="41">
        <v>19.399999999999999</v>
      </c>
      <c r="M11" s="41">
        <v>30.56</v>
      </c>
      <c r="N11" s="41">
        <v>2</v>
      </c>
      <c r="O11" s="41">
        <v>0</v>
      </c>
      <c r="P11" s="41">
        <v>1.04</v>
      </c>
      <c r="Q11" s="41">
        <v>9.32</v>
      </c>
      <c r="R11" s="38"/>
      <c r="S11" s="38"/>
      <c r="T11" s="38"/>
      <c r="U11" s="38"/>
    </row>
    <row r="12" spans="1:21" customFormat="1">
      <c r="A12" s="40" t="s">
        <v>328</v>
      </c>
      <c r="B12" s="41">
        <v>16.989999999999998</v>
      </c>
      <c r="C12" s="41">
        <v>13.4</v>
      </c>
      <c r="D12" s="41">
        <v>20.63</v>
      </c>
      <c r="E12" s="41">
        <v>6.73</v>
      </c>
      <c r="F12" s="41">
        <v>2</v>
      </c>
      <c r="G12" s="41">
        <v>106.21</v>
      </c>
      <c r="H12" s="41">
        <v>55</v>
      </c>
      <c r="I12" s="41">
        <v>17.43</v>
      </c>
      <c r="J12" s="41">
        <v>0.13</v>
      </c>
      <c r="K12" s="41">
        <v>221.64</v>
      </c>
      <c r="L12" s="41">
        <v>20.25</v>
      </c>
      <c r="M12" s="41">
        <v>32.69</v>
      </c>
      <c r="N12" s="41">
        <v>2</v>
      </c>
      <c r="O12" s="41">
        <v>0</v>
      </c>
      <c r="P12" s="41">
        <v>1.06</v>
      </c>
      <c r="Q12" s="41">
        <v>11.44</v>
      </c>
      <c r="R12" s="38"/>
      <c r="S12" s="38"/>
      <c r="T12" s="38"/>
      <c r="U12" s="38"/>
    </row>
    <row r="13" spans="1:21" customFormat="1">
      <c r="A13" s="40" t="s">
        <v>329</v>
      </c>
      <c r="B13" s="41">
        <v>18.91</v>
      </c>
      <c r="C13" s="41">
        <v>12.99</v>
      </c>
      <c r="D13" s="41">
        <v>21.95</v>
      </c>
      <c r="E13" s="41">
        <v>6.81</v>
      </c>
      <c r="F13" s="41">
        <v>2</v>
      </c>
      <c r="G13" s="41">
        <v>97.74</v>
      </c>
      <c r="H13" s="41">
        <v>55</v>
      </c>
      <c r="I13" s="41">
        <v>17.559999999999999</v>
      </c>
      <c r="J13" s="41">
        <v>0.14000000000000001</v>
      </c>
      <c r="K13" s="41">
        <v>232.68</v>
      </c>
      <c r="L13" s="41">
        <v>20.93</v>
      </c>
      <c r="M13" s="41">
        <v>34.42</v>
      </c>
      <c r="N13" s="41">
        <v>1.9</v>
      </c>
      <c r="O13" s="41">
        <v>0</v>
      </c>
      <c r="P13" s="41">
        <v>1.06</v>
      </c>
      <c r="Q13" s="41">
        <v>26.05</v>
      </c>
      <c r="R13" s="38"/>
      <c r="S13" s="38"/>
      <c r="T13" s="38"/>
      <c r="U13" s="38"/>
    </row>
    <row r="14" spans="1:21" customFormat="1">
      <c r="A14" s="40" t="s">
        <v>330</v>
      </c>
      <c r="B14" s="41">
        <v>19.18</v>
      </c>
      <c r="C14" s="41">
        <v>13.06</v>
      </c>
      <c r="D14" s="41">
        <v>22.18</v>
      </c>
      <c r="E14" s="41">
        <v>6.94</v>
      </c>
      <c r="F14" s="41">
        <v>2</v>
      </c>
      <c r="G14" s="41">
        <v>92.85</v>
      </c>
      <c r="H14" s="41">
        <v>52.99</v>
      </c>
      <c r="I14" s="41">
        <v>17.579999999999998</v>
      </c>
      <c r="J14" s="41">
        <v>0.4</v>
      </c>
      <c r="K14" s="41">
        <v>203.2</v>
      </c>
      <c r="L14" s="41">
        <v>18.920000000000002</v>
      </c>
      <c r="M14" s="41">
        <v>29.6</v>
      </c>
      <c r="N14" s="41">
        <v>2.1</v>
      </c>
      <c r="O14" s="41">
        <v>0</v>
      </c>
      <c r="P14" s="41">
        <v>1.08</v>
      </c>
      <c r="Q14" s="41">
        <v>9.5399999999999991</v>
      </c>
      <c r="R14" s="38"/>
      <c r="S14" s="38"/>
      <c r="T14" s="38"/>
      <c r="U14" s="38"/>
    </row>
    <row r="15" spans="1:21" customFormat="1">
      <c r="A15" s="40" t="s">
        <v>331</v>
      </c>
      <c r="B15" s="41">
        <v>18.61</v>
      </c>
      <c r="C15" s="41">
        <v>13.04</v>
      </c>
      <c r="D15" s="41">
        <v>21.65</v>
      </c>
      <c r="E15" s="41">
        <v>6.77</v>
      </c>
      <c r="F15" s="41">
        <v>2</v>
      </c>
      <c r="G15" s="41">
        <v>85.99</v>
      </c>
      <c r="H15" s="41">
        <v>50.98</v>
      </c>
      <c r="I15" s="41">
        <v>17.579999999999998</v>
      </c>
      <c r="J15" s="41">
        <v>0.11</v>
      </c>
      <c r="K15" s="41">
        <v>191.45</v>
      </c>
      <c r="L15" s="41">
        <v>18.170000000000002</v>
      </c>
      <c r="M15" s="41">
        <v>27.5</v>
      </c>
      <c r="N15" s="41">
        <v>22.5</v>
      </c>
      <c r="O15" s="41">
        <v>0</v>
      </c>
      <c r="P15" s="41">
        <v>1.06</v>
      </c>
      <c r="Q15" s="41">
        <v>9.32</v>
      </c>
      <c r="R15" s="38"/>
      <c r="S15" s="38"/>
      <c r="T15" s="38"/>
      <c r="U15" s="38"/>
    </row>
    <row r="16" spans="1:21" customFormat="1">
      <c r="A16" s="40" t="s">
        <v>332</v>
      </c>
      <c r="B16" s="41">
        <v>20.5</v>
      </c>
      <c r="C16" s="41">
        <v>13.9</v>
      </c>
      <c r="D16" s="41">
        <v>23.69</v>
      </c>
      <c r="E16" s="41">
        <v>6.64</v>
      </c>
      <c r="F16" s="41">
        <v>2</v>
      </c>
      <c r="G16" s="41">
        <v>84.93</v>
      </c>
      <c r="H16" s="41">
        <v>50</v>
      </c>
      <c r="I16" s="41">
        <v>17.5</v>
      </c>
      <c r="J16" s="41">
        <v>0.23</v>
      </c>
      <c r="K16" s="41">
        <v>247.47</v>
      </c>
      <c r="L16" s="41">
        <v>19.23</v>
      </c>
      <c r="M16" s="41">
        <v>29</v>
      </c>
      <c r="N16" s="41">
        <v>181</v>
      </c>
      <c r="O16" s="41">
        <v>0</v>
      </c>
      <c r="P16" s="41">
        <v>1.04</v>
      </c>
      <c r="Q16" s="41">
        <v>9.32</v>
      </c>
      <c r="R16" s="38"/>
      <c r="S16" s="38"/>
      <c r="T16" s="38"/>
      <c r="U16" s="38"/>
    </row>
    <row r="17" spans="1:21" customFormat="1">
      <c r="A17" s="40" t="s">
        <v>333</v>
      </c>
      <c r="B17" s="41">
        <v>20.39</v>
      </c>
      <c r="C17" s="41">
        <v>15.17</v>
      </c>
      <c r="D17" s="41">
        <v>23.95</v>
      </c>
      <c r="E17" s="41">
        <v>6.52</v>
      </c>
      <c r="F17" s="41">
        <v>2</v>
      </c>
      <c r="G17" s="41">
        <v>85.31</v>
      </c>
      <c r="H17" s="41">
        <v>48.5</v>
      </c>
      <c r="I17" s="41">
        <v>17.37</v>
      </c>
      <c r="J17" s="41">
        <v>0.44</v>
      </c>
      <c r="K17" s="41">
        <v>51.03</v>
      </c>
      <c r="L17" s="41">
        <v>13.72</v>
      </c>
      <c r="M17" s="41">
        <v>11.18</v>
      </c>
      <c r="N17" s="41">
        <v>339.2</v>
      </c>
      <c r="O17" s="41">
        <v>0</v>
      </c>
      <c r="P17" s="41">
        <v>1.03</v>
      </c>
      <c r="Q17" s="41">
        <v>9.32</v>
      </c>
      <c r="R17" s="38"/>
      <c r="S17" s="38"/>
      <c r="T17" s="38"/>
      <c r="U17" s="38"/>
    </row>
    <row r="18" spans="1:21" customFormat="1">
      <c r="A18" s="40" t="s">
        <v>334</v>
      </c>
      <c r="B18" s="41">
        <v>18.21</v>
      </c>
      <c r="C18" s="41">
        <v>15.36</v>
      </c>
      <c r="D18" s="41">
        <v>22.57</v>
      </c>
      <c r="E18" s="41">
        <v>6.58</v>
      </c>
      <c r="F18" s="41">
        <v>2</v>
      </c>
      <c r="G18" s="41">
        <v>89.87</v>
      </c>
      <c r="H18" s="41">
        <v>48.5</v>
      </c>
      <c r="I18" s="41">
        <v>16.829999999999998</v>
      </c>
      <c r="J18" s="41">
        <v>0.33</v>
      </c>
      <c r="K18" s="41">
        <v>66.44</v>
      </c>
      <c r="L18" s="41">
        <v>19.68</v>
      </c>
      <c r="M18" s="41">
        <v>22.45</v>
      </c>
      <c r="N18" s="41">
        <v>422.4</v>
      </c>
      <c r="O18" s="41">
        <v>0</v>
      </c>
      <c r="P18" s="41">
        <v>0.99</v>
      </c>
      <c r="Q18" s="41">
        <v>9.32</v>
      </c>
      <c r="R18" s="38"/>
      <c r="S18" s="38"/>
      <c r="T18" s="38"/>
      <c r="U18" s="38"/>
    </row>
    <row r="19" spans="1:21" customFormat="1">
      <c r="A19" s="40" t="s">
        <v>335</v>
      </c>
      <c r="B19" s="41">
        <v>14.06</v>
      </c>
      <c r="C19" s="41">
        <v>21.33</v>
      </c>
      <c r="D19" s="41">
        <v>19.53</v>
      </c>
      <c r="E19" s="41">
        <v>7.2</v>
      </c>
      <c r="F19" s="41">
        <v>2.02</v>
      </c>
      <c r="G19" s="41">
        <v>89.87</v>
      </c>
      <c r="H19" s="41">
        <v>47.17</v>
      </c>
      <c r="I19" s="41">
        <v>15.98</v>
      </c>
      <c r="J19" s="41">
        <v>0.46</v>
      </c>
      <c r="K19" s="41">
        <v>72.42</v>
      </c>
      <c r="L19" s="41">
        <v>18.2</v>
      </c>
      <c r="M19" s="41">
        <v>14.67</v>
      </c>
      <c r="N19" s="41">
        <v>540.1</v>
      </c>
      <c r="O19" s="41">
        <v>0</v>
      </c>
      <c r="P19" s="41">
        <v>0.94</v>
      </c>
      <c r="Q19" s="41">
        <v>16.13</v>
      </c>
      <c r="R19" s="38"/>
      <c r="S19" s="38"/>
      <c r="T19" s="38"/>
      <c r="U19" s="38"/>
    </row>
    <row r="20" spans="1:21" customFormat="1">
      <c r="A20" s="40" t="s">
        <v>336</v>
      </c>
      <c r="B20" s="41">
        <v>2.66</v>
      </c>
      <c r="C20" s="41">
        <v>21.64</v>
      </c>
      <c r="D20" s="41">
        <v>13.03</v>
      </c>
      <c r="E20" s="41">
        <v>8.08</v>
      </c>
      <c r="F20" s="41">
        <v>10.59</v>
      </c>
      <c r="G20" s="10" t="s">
        <v>12</v>
      </c>
      <c r="H20" s="10" t="s">
        <v>12</v>
      </c>
      <c r="I20" s="41">
        <v>13.3</v>
      </c>
      <c r="J20" s="41">
        <v>0.66</v>
      </c>
      <c r="K20" s="41">
        <v>51.37</v>
      </c>
      <c r="L20" s="41">
        <v>20.34</v>
      </c>
      <c r="M20" s="41">
        <v>18.57</v>
      </c>
      <c r="N20" s="41">
        <v>604.70000000000005</v>
      </c>
      <c r="O20" s="41">
        <v>0</v>
      </c>
      <c r="P20" s="41">
        <v>0.62</v>
      </c>
      <c r="Q20" s="41">
        <v>9.32</v>
      </c>
      <c r="R20" s="38"/>
      <c r="S20" s="38"/>
      <c r="T20" s="38"/>
      <c r="U20" s="38"/>
    </row>
    <row r="21" spans="1:21" customFormat="1">
      <c r="A21" s="40" t="s">
        <v>337</v>
      </c>
      <c r="B21" s="41">
        <v>1.74</v>
      </c>
      <c r="C21" s="41">
        <v>23</v>
      </c>
      <c r="D21" s="41">
        <v>13.42</v>
      </c>
      <c r="E21" s="41">
        <v>10.02</v>
      </c>
      <c r="F21" s="41">
        <v>45.75</v>
      </c>
      <c r="G21" s="10" t="s">
        <v>12</v>
      </c>
      <c r="H21" s="10" t="s">
        <v>12</v>
      </c>
      <c r="I21" s="41">
        <v>10.4</v>
      </c>
      <c r="J21" s="41">
        <v>0.69</v>
      </c>
      <c r="K21" s="41">
        <v>339.88</v>
      </c>
      <c r="L21" s="41">
        <v>24.79</v>
      </c>
      <c r="M21" s="41">
        <v>29.99</v>
      </c>
      <c r="N21" s="41">
        <v>576.29999999999995</v>
      </c>
      <c r="O21" s="41">
        <v>0</v>
      </c>
      <c r="P21" s="41">
        <v>0.49</v>
      </c>
      <c r="Q21" s="41">
        <v>9.32</v>
      </c>
      <c r="R21" s="38"/>
      <c r="S21" s="38"/>
      <c r="T21" s="38"/>
      <c r="U21" s="38"/>
    </row>
    <row r="22" spans="1:21" customFormat="1">
      <c r="A22" s="40" t="s">
        <v>338</v>
      </c>
      <c r="B22" s="41">
        <v>1.66</v>
      </c>
      <c r="C22" s="41">
        <v>20.190000000000001</v>
      </c>
      <c r="D22" s="41">
        <v>11.86</v>
      </c>
      <c r="E22" s="41">
        <v>9.17</v>
      </c>
      <c r="F22" s="41">
        <v>33.51</v>
      </c>
      <c r="G22" s="10" t="s">
        <v>12</v>
      </c>
      <c r="H22" s="10" t="s">
        <v>12</v>
      </c>
      <c r="I22" s="41">
        <v>6.78</v>
      </c>
      <c r="J22" s="41">
        <v>0.61</v>
      </c>
      <c r="K22" s="41">
        <v>332.84</v>
      </c>
      <c r="L22" s="41">
        <v>27.31</v>
      </c>
      <c r="M22" s="41">
        <v>36.380000000000003</v>
      </c>
      <c r="N22" s="41">
        <v>558</v>
      </c>
      <c r="O22" s="41">
        <v>0</v>
      </c>
      <c r="P22" s="41">
        <v>0.37</v>
      </c>
      <c r="Q22" s="41">
        <v>9.32</v>
      </c>
      <c r="R22" s="38"/>
      <c r="S22" s="38"/>
      <c r="T22" s="38"/>
      <c r="U22" s="38"/>
    </row>
    <row r="23" spans="1:21" customFormat="1">
      <c r="A23" s="40" t="s">
        <v>339</v>
      </c>
      <c r="B23" s="41">
        <v>2.23</v>
      </c>
      <c r="C23" s="41">
        <v>22.76</v>
      </c>
      <c r="D23" s="41">
        <v>13.68</v>
      </c>
      <c r="E23" s="41">
        <v>9.89</v>
      </c>
      <c r="F23" s="41">
        <v>38.380000000000003</v>
      </c>
      <c r="G23" s="10" t="s">
        <v>12</v>
      </c>
      <c r="H23" s="10" t="s">
        <v>12</v>
      </c>
      <c r="I23" s="41">
        <v>6.25</v>
      </c>
      <c r="J23" s="41">
        <v>0.56999999999999995</v>
      </c>
      <c r="K23" s="41">
        <v>78.86</v>
      </c>
      <c r="L23" s="41">
        <v>17.46</v>
      </c>
      <c r="M23" s="41">
        <v>22.23</v>
      </c>
      <c r="N23" s="41">
        <v>152.4</v>
      </c>
      <c r="O23" s="41">
        <v>0</v>
      </c>
      <c r="P23" s="41">
        <v>0.35</v>
      </c>
      <c r="Q23" s="41">
        <v>9.32</v>
      </c>
      <c r="R23" s="38"/>
      <c r="S23" s="38"/>
      <c r="T23" s="38"/>
      <c r="U23" s="38"/>
    </row>
    <row r="24" spans="1:21" customFormat="1">
      <c r="A24" s="40" t="s">
        <v>340</v>
      </c>
      <c r="B24" s="41">
        <v>1.81</v>
      </c>
      <c r="C24" s="41">
        <v>17.760000000000002</v>
      </c>
      <c r="D24" s="41">
        <v>10.66</v>
      </c>
      <c r="E24" s="41">
        <v>9.27</v>
      </c>
      <c r="F24" s="41">
        <v>16.149999999999999</v>
      </c>
      <c r="G24" s="41">
        <v>72.14</v>
      </c>
      <c r="H24" s="41">
        <v>18.25</v>
      </c>
      <c r="I24" s="41">
        <v>5.71</v>
      </c>
      <c r="J24" s="41">
        <v>0.38</v>
      </c>
      <c r="K24" s="41">
        <v>77.349999999999994</v>
      </c>
      <c r="L24" s="41">
        <v>15.18</v>
      </c>
      <c r="M24" s="41">
        <v>18.73</v>
      </c>
      <c r="N24" s="41">
        <v>74.099999999999994</v>
      </c>
      <c r="O24" s="41">
        <v>0</v>
      </c>
      <c r="P24" s="41">
        <v>0.36</v>
      </c>
      <c r="Q24" s="41">
        <v>9.32</v>
      </c>
      <c r="R24" s="38"/>
      <c r="S24" s="38"/>
      <c r="T24" s="38"/>
      <c r="U24" s="38"/>
    </row>
    <row r="25" spans="1:21" customFormat="1">
      <c r="A25" s="40" t="s">
        <v>341</v>
      </c>
      <c r="B25" s="41">
        <v>1.87</v>
      </c>
      <c r="C25" s="41">
        <v>23.63</v>
      </c>
      <c r="D25" s="41">
        <v>13.85</v>
      </c>
      <c r="E25" s="41">
        <v>9.9700000000000006</v>
      </c>
      <c r="F25" s="41">
        <v>13.77</v>
      </c>
      <c r="G25" s="41">
        <v>68.33</v>
      </c>
      <c r="H25" s="41">
        <v>23.17</v>
      </c>
      <c r="I25" s="41">
        <v>6.22</v>
      </c>
      <c r="J25" s="41">
        <v>0.3</v>
      </c>
      <c r="K25" s="41">
        <v>86.04</v>
      </c>
      <c r="L25" s="41">
        <v>16.41</v>
      </c>
      <c r="M25" s="41">
        <v>22.75</v>
      </c>
      <c r="N25" s="41">
        <v>47.1</v>
      </c>
      <c r="O25" s="41">
        <v>0</v>
      </c>
      <c r="P25" s="41">
        <v>0.43</v>
      </c>
      <c r="Q25" s="41">
        <v>9.32</v>
      </c>
      <c r="R25" s="38"/>
      <c r="S25" s="38"/>
      <c r="T25" s="38"/>
      <c r="U25" s="38"/>
    </row>
    <row r="26" spans="1:21" customFormat="1">
      <c r="A26" s="40" t="s">
        <v>342</v>
      </c>
      <c r="B26" s="41">
        <v>2.14</v>
      </c>
      <c r="C26" s="41">
        <v>28.58</v>
      </c>
      <c r="D26" s="41">
        <v>16.47</v>
      </c>
      <c r="E26" s="41">
        <v>6.17</v>
      </c>
      <c r="F26" s="41">
        <v>4.53</v>
      </c>
      <c r="G26" s="41">
        <v>67.8</v>
      </c>
      <c r="H26" s="41">
        <v>25.14</v>
      </c>
      <c r="I26" s="41">
        <v>7.45</v>
      </c>
      <c r="J26" s="41">
        <v>0.28000000000000003</v>
      </c>
      <c r="K26" s="41">
        <v>185.69</v>
      </c>
      <c r="L26" s="41">
        <v>17.2</v>
      </c>
      <c r="M26" s="41">
        <v>25.05</v>
      </c>
      <c r="N26" s="41">
        <v>8.6999999999999993</v>
      </c>
      <c r="O26" s="41">
        <v>0</v>
      </c>
      <c r="P26" s="41">
        <v>0.53</v>
      </c>
      <c r="Q26" s="41">
        <v>9.32</v>
      </c>
      <c r="R26" s="38"/>
      <c r="S26" s="38"/>
      <c r="T26" s="38"/>
      <c r="U26" s="38"/>
    </row>
    <row r="27" spans="1:21" customFormat="1">
      <c r="A27" s="40" t="s">
        <v>343</v>
      </c>
      <c r="B27" s="41">
        <v>4.07</v>
      </c>
      <c r="C27" s="41">
        <v>26.82</v>
      </c>
      <c r="D27" s="41">
        <v>15.73</v>
      </c>
      <c r="E27" s="41">
        <v>4.5999999999999996</v>
      </c>
      <c r="F27" s="41">
        <v>2</v>
      </c>
      <c r="G27" s="41">
        <v>81.16</v>
      </c>
      <c r="H27" s="41">
        <v>30.45</v>
      </c>
      <c r="I27" s="41">
        <v>8.0399999999999991</v>
      </c>
      <c r="J27" s="41">
        <v>0.28000000000000003</v>
      </c>
      <c r="K27" s="41">
        <v>200.42</v>
      </c>
      <c r="L27" s="41">
        <v>18.309999999999999</v>
      </c>
      <c r="M27" s="41">
        <v>27.97</v>
      </c>
      <c r="N27" s="41">
        <v>1.7</v>
      </c>
      <c r="O27" s="41">
        <v>0</v>
      </c>
      <c r="P27" s="41">
        <v>0.57999999999999996</v>
      </c>
      <c r="Q27" s="41">
        <v>9.32</v>
      </c>
      <c r="R27" s="38"/>
      <c r="S27" s="38"/>
      <c r="T27" s="38"/>
      <c r="U27" s="38"/>
    </row>
    <row r="28" spans="1:21" customFormat="1">
      <c r="A28" s="40" t="s">
        <v>344</v>
      </c>
      <c r="B28" s="41">
        <v>4.9400000000000004</v>
      </c>
      <c r="C28" s="41">
        <v>19.920000000000002</v>
      </c>
      <c r="D28" s="41">
        <v>13.97</v>
      </c>
      <c r="E28" s="41">
        <v>4.18</v>
      </c>
      <c r="F28" s="41">
        <v>2</v>
      </c>
      <c r="G28" s="41">
        <v>90.74</v>
      </c>
      <c r="H28" s="41">
        <v>37.69</v>
      </c>
      <c r="I28" s="41">
        <v>9.7200000000000006</v>
      </c>
      <c r="J28" s="41">
        <v>0.16</v>
      </c>
      <c r="K28" s="41">
        <v>212.73</v>
      </c>
      <c r="L28" s="41">
        <v>19.28</v>
      </c>
      <c r="M28" s="41">
        <v>30.51</v>
      </c>
      <c r="N28" s="41">
        <v>1.7</v>
      </c>
      <c r="O28" s="41">
        <v>0</v>
      </c>
      <c r="P28" s="41">
        <v>0.6</v>
      </c>
      <c r="Q28" s="41">
        <v>9.32</v>
      </c>
      <c r="R28" s="38"/>
      <c r="S28" s="38"/>
      <c r="T28" s="38"/>
      <c r="U28" s="38"/>
    </row>
    <row r="29" spans="1:21" customFormat="1">
      <c r="A29" s="40" t="s">
        <v>345</v>
      </c>
      <c r="B29" s="41">
        <v>5.32</v>
      </c>
      <c r="C29" s="41">
        <v>16.05</v>
      </c>
      <c r="D29" s="41">
        <v>12.4</v>
      </c>
      <c r="E29" s="41">
        <v>4.5</v>
      </c>
      <c r="F29" s="41">
        <v>2</v>
      </c>
      <c r="G29" s="41">
        <v>89.72</v>
      </c>
      <c r="H29" s="41">
        <v>38.94</v>
      </c>
      <c r="I29" s="41">
        <v>10.25</v>
      </c>
      <c r="J29" s="41">
        <v>0.31</v>
      </c>
      <c r="K29" s="41">
        <v>203.17</v>
      </c>
      <c r="L29" s="41">
        <v>18.61</v>
      </c>
      <c r="M29" s="41">
        <v>28.89</v>
      </c>
      <c r="N29" s="41">
        <v>1.3</v>
      </c>
      <c r="O29" s="41">
        <v>0</v>
      </c>
      <c r="P29" s="41">
        <v>0.61</v>
      </c>
      <c r="Q29" s="41">
        <v>9.5299999999999994</v>
      </c>
      <c r="R29" s="38"/>
      <c r="S29" s="38"/>
      <c r="T29" s="38"/>
      <c r="U29" s="38"/>
    </row>
    <row r="30" spans="1:21" customFormat="1">
      <c r="A30" s="40" t="s">
        <v>346</v>
      </c>
      <c r="B30" s="41">
        <v>5.91</v>
      </c>
      <c r="C30" s="41">
        <v>15.11</v>
      </c>
      <c r="D30" s="41">
        <v>12.4</v>
      </c>
      <c r="E30" s="41">
        <v>4.9000000000000004</v>
      </c>
      <c r="F30" s="41">
        <v>2</v>
      </c>
      <c r="G30" s="41">
        <v>114.78</v>
      </c>
      <c r="H30" s="41">
        <v>44.02</v>
      </c>
      <c r="I30" s="41">
        <v>10.76</v>
      </c>
      <c r="J30" s="41">
        <v>0.2</v>
      </c>
      <c r="K30" s="41">
        <v>239.78</v>
      </c>
      <c r="L30" s="41">
        <v>21.18</v>
      </c>
      <c r="M30" s="41">
        <v>35.28</v>
      </c>
      <c r="N30" s="41">
        <v>1.6</v>
      </c>
      <c r="O30" s="41">
        <v>0</v>
      </c>
      <c r="P30" s="41">
        <v>0.64</v>
      </c>
      <c r="Q30" s="41">
        <v>9.32</v>
      </c>
      <c r="R30" s="38"/>
      <c r="S30" s="38"/>
      <c r="T30" s="38"/>
      <c r="U30" s="38"/>
    </row>
    <row r="31" spans="1:21" customFormat="1">
      <c r="A31" s="40" t="s">
        <v>347</v>
      </c>
      <c r="B31" s="41">
        <v>6.27</v>
      </c>
      <c r="C31" s="41">
        <v>14.26</v>
      </c>
      <c r="D31" s="41">
        <v>12.26</v>
      </c>
      <c r="E31" s="41">
        <v>4.88</v>
      </c>
      <c r="F31" s="41">
        <v>2</v>
      </c>
      <c r="G31" s="41">
        <v>118.12</v>
      </c>
      <c r="H31" s="41">
        <v>44.53</v>
      </c>
      <c r="I31" s="41">
        <v>11.06</v>
      </c>
      <c r="J31" s="41">
        <v>0.2</v>
      </c>
      <c r="K31" s="41">
        <v>237.89</v>
      </c>
      <c r="L31" s="41">
        <v>21.03</v>
      </c>
      <c r="M31" s="41">
        <v>34.93</v>
      </c>
      <c r="N31" s="41">
        <v>1.4</v>
      </c>
      <c r="O31" s="41">
        <v>0</v>
      </c>
      <c r="P31" s="41">
        <v>0.66</v>
      </c>
      <c r="Q31" s="41">
        <v>9.32</v>
      </c>
      <c r="R31" s="38"/>
      <c r="S31" s="38"/>
      <c r="T31" s="38"/>
      <c r="U31" s="38"/>
    </row>
    <row r="32" spans="1:21" customFormat="1">
      <c r="A32" s="40" t="s">
        <v>348</v>
      </c>
      <c r="B32" s="41">
        <v>7.06</v>
      </c>
      <c r="C32" s="41">
        <v>13.45</v>
      </c>
      <c r="D32" s="41">
        <v>12.63</v>
      </c>
      <c r="E32" s="41">
        <v>5.13</v>
      </c>
      <c r="F32" s="41">
        <v>2</v>
      </c>
      <c r="G32" s="41">
        <v>114.27</v>
      </c>
      <c r="H32" s="41">
        <v>46.6</v>
      </c>
      <c r="I32" s="41">
        <v>11.63</v>
      </c>
      <c r="J32" s="41">
        <v>0.19</v>
      </c>
      <c r="K32" s="41">
        <v>219.83</v>
      </c>
      <c r="L32" s="41">
        <v>19.54</v>
      </c>
      <c r="M32" s="41">
        <v>31.22</v>
      </c>
      <c r="N32" s="41">
        <v>1.3</v>
      </c>
      <c r="O32" s="41">
        <v>0</v>
      </c>
      <c r="P32" s="41">
        <v>0.71</v>
      </c>
      <c r="Q32" s="41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1.66</v>
      </c>
      <c r="C34" s="18">
        <f t="shared" si="0"/>
        <v>12.99</v>
      </c>
      <c r="D34" s="18">
        <f t="shared" si="0"/>
        <v>10.66</v>
      </c>
      <c r="E34" s="18">
        <f t="shared" si="0"/>
        <v>4.18</v>
      </c>
      <c r="F34" s="18">
        <f t="shared" si="0"/>
        <v>2</v>
      </c>
      <c r="G34" s="18">
        <f t="shared" si="0"/>
        <v>67.8</v>
      </c>
      <c r="H34" s="18">
        <f t="shared" si="0"/>
        <v>18.25</v>
      </c>
      <c r="I34" s="18">
        <f t="shared" si="0"/>
        <v>5.71</v>
      </c>
      <c r="J34" s="18">
        <f t="shared" si="0"/>
        <v>0.1</v>
      </c>
      <c r="K34" s="18">
        <f t="shared" si="0"/>
        <v>51.03</v>
      </c>
      <c r="L34" s="18">
        <f t="shared" si="0"/>
        <v>13.72</v>
      </c>
      <c r="M34" s="18">
        <f t="shared" si="0"/>
        <v>11.18</v>
      </c>
      <c r="N34" s="18">
        <f t="shared" si="0"/>
        <v>1.3</v>
      </c>
      <c r="O34" s="18">
        <f t="shared" si="0"/>
        <v>0</v>
      </c>
      <c r="P34" s="18">
        <f t="shared" si="0"/>
        <v>0.35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20.5</v>
      </c>
      <c r="C35" s="3">
        <f t="shared" si="1"/>
        <v>28.58</v>
      </c>
      <c r="D35" s="3">
        <f t="shared" si="1"/>
        <v>23.95</v>
      </c>
      <c r="E35" s="3">
        <f t="shared" si="1"/>
        <v>10.02</v>
      </c>
      <c r="F35" s="3">
        <f t="shared" si="1"/>
        <v>45.75</v>
      </c>
      <c r="G35" s="3">
        <f t="shared" si="1"/>
        <v>118.12</v>
      </c>
      <c r="H35" s="3">
        <f t="shared" si="1"/>
        <v>55.47</v>
      </c>
      <c r="I35" s="3">
        <f t="shared" si="1"/>
        <v>17.579999999999998</v>
      </c>
      <c r="J35" s="3">
        <f t="shared" si="1"/>
        <v>0.69</v>
      </c>
      <c r="K35" s="3">
        <f t="shared" si="1"/>
        <v>339.88</v>
      </c>
      <c r="L35" s="3">
        <f t="shared" si="1"/>
        <v>27.31</v>
      </c>
      <c r="M35" s="3">
        <f t="shared" si="1"/>
        <v>36.380000000000003</v>
      </c>
      <c r="N35" s="3">
        <f t="shared" si="1"/>
        <v>604.70000000000005</v>
      </c>
      <c r="O35" s="3">
        <f t="shared" si="1"/>
        <v>0</v>
      </c>
      <c r="P35" s="3">
        <f t="shared" si="1"/>
        <v>1.08</v>
      </c>
      <c r="Q35" s="3">
        <f t="shared" si="1"/>
        <v>26.05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10.315833333333332</v>
      </c>
      <c r="C36" s="18">
        <f t="shared" si="2"/>
        <v>17.752083333333331</v>
      </c>
      <c r="D36" s="18">
        <f t="shared" si="2"/>
        <v>17.258333333333336</v>
      </c>
      <c r="E36" s="18">
        <f t="shared" si="2"/>
        <v>6.867916666666666</v>
      </c>
      <c r="F36" s="18">
        <f t="shared" si="2"/>
        <v>8.1958333333333346</v>
      </c>
      <c r="G36" s="18">
        <f t="shared" si="2"/>
        <v>93.790499999999994</v>
      </c>
      <c r="H36" s="18">
        <f t="shared" si="2"/>
        <v>43.929000000000002</v>
      </c>
      <c r="I36" s="18">
        <f t="shared" si="2"/>
        <v>12.722083333333332</v>
      </c>
      <c r="J36" s="18">
        <f t="shared" si="2"/>
        <v>0.31333333333333341</v>
      </c>
      <c r="K36" s="18">
        <f t="shared" si="2"/>
        <v>181.8741666666667</v>
      </c>
      <c r="L36" s="18">
        <f t="shared" si="2"/>
        <v>19.240416666666668</v>
      </c>
      <c r="M36" s="18">
        <f t="shared" si="2"/>
        <v>27.09375</v>
      </c>
      <c r="N36" s="18">
        <f t="shared" si="2"/>
        <v>147.83333333333331</v>
      </c>
      <c r="O36" s="18">
        <f t="shared" si="2"/>
        <v>0</v>
      </c>
      <c r="P36" s="18">
        <f t="shared" si="2"/>
        <v>0.75958333333333317</v>
      </c>
      <c r="Q36" s="18">
        <f t="shared" si="2"/>
        <v>10.407083333333329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7.6112502067758188</v>
      </c>
      <c r="C37" s="18">
        <f t="shared" ref="C37:Q37" si="3">STDEV(C9:C32)</f>
        <v>4.6810710212297799</v>
      </c>
      <c r="D37" s="18">
        <f t="shared" si="3"/>
        <v>4.6540722389964042</v>
      </c>
      <c r="E37" s="18">
        <f t="shared" si="3"/>
        <v>1.76168886155517</v>
      </c>
      <c r="F37" s="18">
        <f t="shared" si="3"/>
        <v>12.731459466413408</v>
      </c>
      <c r="G37" s="18">
        <f t="shared" si="3"/>
        <v>15.535644744637354</v>
      </c>
      <c r="H37" s="18">
        <f t="shared" si="3"/>
        <v>11.412940439417161</v>
      </c>
      <c r="I37" s="18">
        <f t="shared" si="3"/>
        <v>4.4648735111998965</v>
      </c>
      <c r="J37" s="18">
        <f t="shared" si="3"/>
        <v>0.17809783990747913</v>
      </c>
      <c r="K37" s="18">
        <f t="shared" si="3"/>
        <v>83.331614122845494</v>
      </c>
      <c r="L37" s="18">
        <f t="shared" si="3"/>
        <v>2.7904144606704224</v>
      </c>
      <c r="M37" s="18">
        <f t="shared" si="3"/>
        <v>6.5999801136063976</v>
      </c>
      <c r="N37" s="18">
        <f t="shared" si="3"/>
        <v>222.05946259400031</v>
      </c>
      <c r="O37" s="18">
        <f t="shared" si="3"/>
        <v>0</v>
      </c>
      <c r="P37" s="18">
        <f t="shared" si="3"/>
        <v>0.26677590606719204</v>
      </c>
      <c r="Q37" s="18">
        <f t="shared" si="3"/>
        <v>3.6265560128712817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>COUNT(G9:G32)+4</f>
        <v>24</v>
      </c>
      <c r="H38" s="34">
        <f>COUNT(H9:H32)+4</f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96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I26" sqref="I26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13/11/2025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349</v>
      </c>
      <c r="B9" s="41">
        <v>12.45</v>
      </c>
      <c r="C9" s="41">
        <v>14.3</v>
      </c>
      <c r="D9" s="41">
        <v>17.45</v>
      </c>
      <c r="E9" s="41">
        <v>5.88</v>
      </c>
      <c r="F9" s="41">
        <v>2</v>
      </c>
      <c r="G9" s="41">
        <v>105.11</v>
      </c>
      <c r="H9" s="41">
        <v>45.74</v>
      </c>
      <c r="I9" s="41">
        <v>13.3</v>
      </c>
      <c r="J9" s="41">
        <v>0.16</v>
      </c>
      <c r="K9" s="41">
        <v>217.34</v>
      </c>
      <c r="L9" s="41">
        <v>19.649999999999999</v>
      </c>
      <c r="M9" s="41">
        <v>31.54</v>
      </c>
      <c r="N9" s="41">
        <v>1.1000000000000001</v>
      </c>
      <c r="O9" s="41">
        <v>0</v>
      </c>
      <c r="P9" s="41">
        <v>0.83</v>
      </c>
      <c r="Q9" s="41">
        <v>9.32</v>
      </c>
      <c r="R9" s="38"/>
      <c r="S9" s="38"/>
      <c r="T9" s="38"/>
      <c r="U9" s="38"/>
    </row>
    <row r="10" spans="1:21" customFormat="1">
      <c r="A10" s="40" t="s">
        <v>350</v>
      </c>
      <c r="B10" s="41">
        <v>17.78</v>
      </c>
      <c r="C10" s="41">
        <v>15.25</v>
      </c>
      <c r="D10" s="41">
        <v>22.23</v>
      </c>
      <c r="E10" s="41">
        <v>5.93</v>
      </c>
      <c r="F10" s="41">
        <v>2</v>
      </c>
      <c r="G10" s="41">
        <v>115.21</v>
      </c>
      <c r="H10" s="41">
        <v>49.36</v>
      </c>
      <c r="I10" s="41">
        <v>14.93</v>
      </c>
      <c r="J10" s="41">
        <v>0.16</v>
      </c>
      <c r="K10" s="41">
        <v>208.83</v>
      </c>
      <c r="L10" s="41">
        <v>19.09</v>
      </c>
      <c r="M10" s="41">
        <v>30.12</v>
      </c>
      <c r="N10" s="41">
        <v>1.4</v>
      </c>
      <c r="O10" s="41">
        <v>0</v>
      </c>
      <c r="P10" s="41">
        <v>0.89</v>
      </c>
      <c r="Q10" s="41">
        <v>9.32</v>
      </c>
      <c r="R10" s="38"/>
      <c r="S10" s="38"/>
      <c r="T10" s="38"/>
      <c r="U10" s="38"/>
    </row>
    <row r="11" spans="1:21" customFormat="1">
      <c r="A11" s="40" t="s">
        <v>351</v>
      </c>
      <c r="B11" s="41">
        <v>21.87</v>
      </c>
      <c r="C11" s="41">
        <v>15.56</v>
      </c>
      <c r="D11" s="41">
        <v>25.62</v>
      </c>
      <c r="E11" s="41">
        <v>7.32</v>
      </c>
      <c r="F11" s="41">
        <v>2</v>
      </c>
      <c r="G11" s="41">
        <v>117.73</v>
      </c>
      <c r="H11" s="41">
        <v>60.27</v>
      </c>
      <c r="I11" s="41">
        <v>16.350000000000001</v>
      </c>
      <c r="J11" s="41">
        <v>0.21</v>
      </c>
      <c r="K11" s="41">
        <v>225.11</v>
      </c>
      <c r="L11" s="41">
        <v>18.52</v>
      </c>
      <c r="M11" s="41">
        <v>28.45</v>
      </c>
      <c r="N11" s="41">
        <v>1.5</v>
      </c>
      <c r="O11" s="41">
        <v>0</v>
      </c>
      <c r="P11" s="41">
        <v>0.96</v>
      </c>
      <c r="Q11" s="41">
        <v>9.32</v>
      </c>
      <c r="R11" s="38"/>
      <c r="S11" s="38"/>
      <c r="T11" s="38"/>
      <c r="U11" s="38"/>
    </row>
    <row r="12" spans="1:21" customFormat="1">
      <c r="A12" s="40" t="s">
        <v>352</v>
      </c>
      <c r="B12" s="41">
        <v>22.03</v>
      </c>
      <c r="C12" s="41">
        <v>15.27</v>
      </c>
      <c r="D12" s="41">
        <v>25.64</v>
      </c>
      <c r="E12" s="41">
        <v>7.34</v>
      </c>
      <c r="F12" s="41">
        <v>2</v>
      </c>
      <c r="G12" s="41">
        <v>117.11</v>
      </c>
      <c r="H12" s="41">
        <v>60.88</v>
      </c>
      <c r="I12" s="41">
        <v>17.29</v>
      </c>
      <c r="J12" s="41">
        <v>0.19</v>
      </c>
      <c r="K12" s="41">
        <v>236.04</v>
      </c>
      <c r="L12" s="41">
        <v>21</v>
      </c>
      <c r="M12" s="41">
        <v>34.880000000000003</v>
      </c>
      <c r="N12" s="41">
        <v>1.4</v>
      </c>
      <c r="O12" s="41">
        <v>0</v>
      </c>
      <c r="P12" s="41">
        <v>0.98</v>
      </c>
      <c r="Q12" s="41">
        <v>9.32</v>
      </c>
      <c r="R12" s="38"/>
      <c r="S12" s="38"/>
      <c r="T12" s="38"/>
      <c r="U12" s="38"/>
    </row>
    <row r="13" spans="1:21" customFormat="1">
      <c r="A13" s="40" t="s">
        <v>353</v>
      </c>
      <c r="B13" s="41">
        <v>29.06</v>
      </c>
      <c r="C13" s="41">
        <v>15.93</v>
      </c>
      <c r="D13" s="41">
        <v>31.62</v>
      </c>
      <c r="E13" s="41">
        <v>7.41</v>
      </c>
      <c r="F13" s="41">
        <v>2</v>
      </c>
      <c r="G13" s="41">
        <v>116.62</v>
      </c>
      <c r="H13" s="41">
        <v>60.77</v>
      </c>
      <c r="I13" s="41">
        <v>18.350000000000001</v>
      </c>
      <c r="J13" s="41">
        <v>0.12</v>
      </c>
      <c r="K13" s="41">
        <v>170.64</v>
      </c>
      <c r="L13" s="41">
        <v>16.190000000000001</v>
      </c>
      <c r="M13" s="41">
        <v>22.89</v>
      </c>
      <c r="N13" s="41">
        <v>1.2</v>
      </c>
      <c r="O13" s="41">
        <v>0</v>
      </c>
      <c r="P13" s="41">
        <v>1.04</v>
      </c>
      <c r="Q13" s="41">
        <v>9.32</v>
      </c>
      <c r="R13" s="38"/>
      <c r="S13" s="38"/>
      <c r="T13" s="38"/>
      <c r="U13" s="38"/>
    </row>
    <row r="14" spans="1:21" customFormat="1">
      <c r="A14" s="40" t="s">
        <v>354</v>
      </c>
      <c r="B14" s="41">
        <v>38.19</v>
      </c>
      <c r="C14" s="41">
        <v>17.46</v>
      </c>
      <c r="D14" s="41">
        <v>39.75</v>
      </c>
      <c r="E14" s="41">
        <v>7.87</v>
      </c>
      <c r="F14" s="41">
        <v>2</v>
      </c>
      <c r="G14" s="41">
        <v>123.23</v>
      </c>
      <c r="H14" s="41">
        <v>64.790000000000006</v>
      </c>
      <c r="I14" s="41">
        <v>19.329999999999998</v>
      </c>
      <c r="J14" s="41">
        <v>0.19</v>
      </c>
      <c r="K14" s="41">
        <v>175.64</v>
      </c>
      <c r="L14" s="41">
        <v>16.47</v>
      </c>
      <c r="M14" s="41">
        <v>23.61</v>
      </c>
      <c r="N14" s="41">
        <v>1.3</v>
      </c>
      <c r="O14" s="41">
        <v>0</v>
      </c>
      <c r="P14" s="41">
        <v>1.1100000000000001</v>
      </c>
      <c r="Q14" s="41">
        <v>9.32</v>
      </c>
      <c r="R14" s="38"/>
      <c r="S14" s="38"/>
      <c r="T14" s="38"/>
      <c r="U14" s="38"/>
    </row>
    <row r="15" spans="1:21" customFormat="1">
      <c r="A15" s="40" t="s">
        <v>355</v>
      </c>
      <c r="B15" s="41">
        <v>40.619999999999997</v>
      </c>
      <c r="C15" s="41">
        <v>17.670000000000002</v>
      </c>
      <c r="D15" s="41">
        <v>41.75</v>
      </c>
      <c r="E15" s="41">
        <v>7.72</v>
      </c>
      <c r="F15" s="41">
        <v>2</v>
      </c>
      <c r="G15" s="41">
        <v>130.29</v>
      </c>
      <c r="H15" s="41">
        <v>68.11</v>
      </c>
      <c r="I15" s="41">
        <v>19.61</v>
      </c>
      <c r="J15" s="41">
        <v>0.2</v>
      </c>
      <c r="K15" s="41">
        <v>238.27</v>
      </c>
      <c r="L15" s="41">
        <v>21.11</v>
      </c>
      <c r="M15" s="41">
        <v>35.03</v>
      </c>
      <c r="N15" s="41">
        <v>33.299999999999997</v>
      </c>
      <c r="O15" s="41">
        <v>0</v>
      </c>
      <c r="P15" s="41">
        <v>1.1399999999999999</v>
      </c>
      <c r="Q15" s="41">
        <v>9.32</v>
      </c>
      <c r="R15" s="38"/>
      <c r="S15" s="38"/>
      <c r="T15" s="38"/>
      <c r="U15" s="38"/>
    </row>
    <row r="16" spans="1:21" customFormat="1">
      <c r="A16" s="40" t="s">
        <v>356</v>
      </c>
      <c r="B16" s="41">
        <v>40.200000000000003</v>
      </c>
      <c r="C16" s="41">
        <v>17.5</v>
      </c>
      <c r="D16" s="41">
        <v>41.27</v>
      </c>
      <c r="E16" s="41">
        <v>7.76</v>
      </c>
      <c r="F16" s="41">
        <v>2</v>
      </c>
      <c r="G16" s="41">
        <v>127.75</v>
      </c>
      <c r="H16" s="41">
        <v>68.08</v>
      </c>
      <c r="I16" s="41">
        <v>16.82</v>
      </c>
      <c r="J16" s="41">
        <v>0.56000000000000005</v>
      </c>
      <c r="K16" s="41">
        <v>198.87</v>
      </c>
      <c r="L16" s="41">
        <v>18.2</v>
      </c>
      <c r="M16" s="41">
        <v>26.58</v>
      </c>
      <c r="N16" s="41">
        <v>165.1</v>
      </c>
      <c r="O16" s="41">
        <v>0</v>
      </c>
      <c r="P16" s="41">
        <v>1.1599999999999999</v>
      </c>
      <c r="Q16" s="41">
        <v>9.32</v>
      </c>
      <c r="R16" s="38"/>
      <c r="S16" s="38"/>
      <c r="T16" s="38"/>
      <c r="U16" s="38"/>
    </row>
    <row r="17" spans="1:21" customFormat="1">
      <c r="A17" s="40" t="s">
        <v>357</v>
      </c>
      <c r="B17" s="41">
        <v>36.31</v>
      </c>
      <c r="C17" s="41">
        <v>18.670000000000002</v>
      </c>
      <c r="D17" s="41">
        <v>38.450000000000003</v>
      </c>
      <c r="E17" s="41">
        <v>7.42</v>
      </c>
      <c r="F17" s="41">
        <v>2</v>
      </c>
      <c r="G17" s="41">
        <v>122.03</v>
      </c>
      <c r="H17" s="41">
        <v>66.39</v>
      </c>
      <c r="I17" s="41">
        <v>16.850000000000001</v>
      </c>
      <c r="J17" s="41">
        <v>0.74</v>
      </c>
      <c r="K17" s="41">
        <v>57.21</v>
      </c>
      <c r="L17" s="41">
        <v>10.94</v>
      </c>
      <c r="M17" s="41">
        <v>2.71</v>
      </c>
      <c r="N17" s="41">
        <v>317.60000000000002</v>
      </c>
      <c r="O17" s="41">
        <v>0</v>
      </c>
      <c r="P17" s="41">
        <v>1.1200000000000001</v>
      </c>
      <c r="Q17" s="41">
        <v>9.32</v>
      </c>
      <c r="R17" s="38"/>
      <c r="S17" s="38"/>
      <c r="T17" s="38"/>
      <c r="U17" s="38"/>
    </row>
    <row r="18" spans="1:21" customFormat="1">
      <c r="A18" s="40" t="s">
        <v>358</v>
      </c>
      <c r="B18" s="41">
        <v>28.65</v>
      </c>
      <c r="C18" s="41">
        <v>20.49</v>
      </c>
      <c r="D18" s="41">
        <v>32.86</v>
      </c>
      <c r="E18" s="41">
        <v>7.35</v>
      </c>
      <c r="F18" s="41">
        <v>2</v>
      </c>
      <c r="G18" s="41">
        <v>114.97</v>
      </c>
      <c r="H18" s="41">
        <v>61.6</v>
      </c>
      <c r="I18" s="41">
        <v>18.260000000000002</v>
      </c>
      <c r="J18" s="41">
        <v>1.04</v>
      </c>
      <c r="K18" s="41">
        <v>58.98</v>
      </c>
      <c r="L18" s="41">
        <v>12.25</v>
      </c>
      <c r="M18" s="41">
        <v>4.92</v>
      </c>
      <c r="N18" s="41">
        <v>396</v>
      </c>
      <c r="O18" s="41">
        <v>0</v>
      </c>
      <c r="P18" s="41">
        <v>1.04</v>
      </c>
      <c r="Q18" s="41">
        <v>9.32</v>
      </c>
      <c r="R18" s="38"/>
      <c r="S18" s="38"/>
      <c r="T18" s="38"/>
      <c r="U18" s="38"/>
    </row>
    <row r="19" spans="1:21" customFormat="1">
      <c r="A19" s="40" t="s">
        <v>359</v>
      </c>
      <c r="B19" s="41">
        <v>20.170000000000002</v>
      </c>
      <c r="C19" s="41">
        <v>21.06</v>
      </c>
      <c r="D19" s="41">
        <v>27.08</v>
      </c>
      <c r="E19" s="41">
        <v>6.2</v>
      </c>
      <c r="F19" s="41">
        <v>2</v>
      </c>
      <c r="G19" s="41">
        <v>108.96</v>
      </c>
      <c r="H19" s="41">
        <v>57.09</v>
      </c>
      <c r="I19" s="41">
        <v>17.829999999999998</v>
      </c>
      <c r="J19" s="41">
        <v>1.06</v>
      </c>
      <c r="K19" s="41">
        <v>86.75</v>
      </c>
      <c r="L19" s="41">
        <v>16.03</v>
      </c>
      <c r="M19" s="41">
        <v>10.09</v>
      </c>
      <c r="N19" s="41">
        <v>549.4</v>
      </c>
      <c r="O19" s="41">
        <v>0</v>
      </c>
      <c r="P19" s="41">
        <v>0.96</v>
      </c>
      <c r="Q19" s="41">
        <v>9.32</v>
      </c>
      <c r="R19" s="38"/>
      <c r="S19" s="38"/>
      <c r="T19" s="38"/>
      <c r="U19" s="38"/>
    </row>
    <row r="20" spans="1:21" customFormat="1">
      <c r="A20" s="40" t="s">
        <v>360</v>
      </c>
      <c r="B20" s="41">
        <v>13.55</v>
      </c>
      <c r="C20" s="41">
        <v>20.29</v>
      </c>
      <c r="D20" s="41">
        <v>21.46</v>
      </c>
      <c r="E20" s="41">
        <v>6.08</v>
      </c>
      <c r="F20" s="41">
        <v>2</v>
      </c>
      <c r="G20" s="41">
        <v>105.82</v>
      </c>
      <c r="H20" s="41">
        <v>54.78</v>
      </c>
      <c r="I20" s="41">
        <v>16.309999999999999</v>
      </c>
      <c r="J20" s="41">
        <v>1.08</v>
      </c>
      <c r="K20" s="41">
        <v>51.08</v>
      </c>
      <c r="L20" s="41">
        <v>18.760000000000002</v>
      </c>
      <c r="M20" s="41">
        <v>14.62</v>
      </c>
      <c r="N20" s="41">
        <v>631.79999999999995</v>
      </c>
      <c r="O20" s="41">
        <v>0</v>
      </c>
      <c r="P20" s="41">
        <v>0.89</v>
      </c>
      <c r="Q20" s="41">
        <v>9.32</v>
      </c>
      <c r="R20" s="38"/>
      <c r="S20" s="38"/>
      <c r="T20" s="38"/>
      <c r="U20" s="38"/>
    </row>
    <row r="21" spans="1:21" customFormat="1">
      <c r="A21" s="40" t="s">
        <v>361</v>
      </c>
      <c r="B21" s="41">
        <v>8.48</v>
      </c>
      <c r="C21" s="41">
        <v>19.399999999999999</v>
      </c>
      <c r="D21" s="41">
        <v>16.940000000000001</v>
      </c>
      <c r="E21" s="41">
        <v>6.12</v>
      </c>
      <c r="F21" s="41">
        <v>2.08</v>
      </c>
      <c r="G21" s="41">
        <v>96.8</v>
      </c>
      <c r="H21" s="41">
        <v>52.07</v>
      </c>
      <c r="I21" s="41">
        <v>15.09</v>
      </c>
      <c r="J21" s="41">
        <v>0.99</v>
      </c>
      <c r="K21" s="41">
        <v>46.18</v>
      </c>
      <c r="L21" s="41">
        <v>19.73</v>
      </c>
      <c r="M21" s="41">
        <v>17.36</v>
      </c>
      <c r="N21" s="41">
        <v>620.5</v>
      </c>
      <c r="O21" s="41">
        <v>0</v>
      </c>
      <c r="P21" s="41">
        <v>0.82</v>
      </c>
      <c r="Q21" s="41">
        <v>9.32</v>
      </c>
      <c r="R21" s="38"/>
      <c r="S21" s="38"/>
      <c r="T21" s="38"/>
      <c r="U21" s="38"/>
    </row>
    <row r="22" spans="1:21" customFormat="1">
      <c r="A22" s="40" t="s">
        <v>362</v>
      </c>
      <c r="B22" s="41">
        <v>4.51</v>
      </c>
      <c r="C22" s="41">
        <v>17.75</v>
      </c>
      <c r="D22" s="41">
        <v>12.89</v>
      </c>
      <c r="E22" s="41">
        <v>5.79</v>
      </c>
      <c r="F22" s="41">
        <v>2.5099999999999998</v>
      </c>
      <c r="G22" s="41">
        <v>84.23</v>
      </c>
      <c r="H22" s="41">
        <v>48.75</v>
      </c>
      <c r="I22" s="41">
        <v>13.84</v>
      </c>
      <c r="J22" s="41">
        <v>0.98</v>
      </c>
      <c r="K22" s="41">
        <v>38.97</v>
      </c>
      <c r="L22" s="41">
        <v>19.34</v>
      </c>
      <c r="M22" s="41">
        <v>17.510000000000002</v>
      </c>
      <c r="N22" s="41">
        <v>552.79999999999995</v>
      </c>
      <c r="O22" s="41">
        <v>0</v>
      </c>
      <c r="P22" s="41">
        <v>0.75</v>
      </c>
      <c r="Q22" s="41">
        <v>9.32</v>
      </c>
      <c r="R22" s="38"/>
      <c r="S22" s="38"/>
      <c r="T22" s="38"/>
      <c r="U22" s="38"/>
    </row>
    <row r="23" spans="1:21" customFormat="1">
      <c r="A23" s="40" t="s">
        <v>363</v>
      </c>
      <c r="B23" s="41">
        <v>2.71</v>
      </c>
      <c r="C23" s="41">
        <v>16.059999999999999</v>
      </c>
      <c r="D23" s="41">
        <v>10.57</v>
      </c>
      <c r="E23" s="41">
        <v>6.12</v>
      </c>
      <c r="F23" s="41">
        <v>2.74</v>
      </c>
      <c r="G23" s="41">
        <v>71.98</v>
      </c>
      <c r="H23" s="41">
        <v>45.14</v>
      </c>
      <c r="I23" s="41">
        <v>12.65</v>
      </c>
      <c r="J23" s="41">
        <v>0.75</v>
      </c>
      <c r="K23" s="41">
        <v>61.78</v>
      </c>
      <c r="L23" s="41">
        <v>13.94</v>
      </c>
      <c r="M23" s="41">
        <v>14.72</v>
      </c>
      <c r="N23" s="41">
        <v>145.80000000000001</v>
      </c>
      <c r="O23" s="41">
        <v>0</v>
      </c>
      <c r="P23" s="41">
        <v>0.56999999999999995</v>
      </c>
      <c r="Q23" s="41">
        <v>9.32</v>
      </c>
      <c r="R23" s="38"/>
      <c r="S23" s="38"/>
      <c r="T23" s="38"/>
      <c r="U23" s="38"/>
    </row>
    <row r="24" spans="1:21" customFormat="1">
      <c r="A24" s="40" t="s">
        <v>364</v>
      </c>
      <c r="B24" s="41">
        <v>2.08</v>
      </c>
      <c r="C24" s="41">
        <v>14.4</v>
      </c>
      <c r="D24" s="41">
        <v>9.18</v>
      </c>
      <c r="E24" s="41">
        <v>5.45</v>
      </c>
      <c r="F24" s="41">
        <v>2</v>
      </c>
      <c r="G24" s="41">
        <v>64.84</v>
      </c>
      <c r="H24" s="41">
        <v>37.340000000000003</v>
      </c>
      <c r="I24" s="41">
        <v>11.25</v>
      </c>
      <c r="J24" s="41">
        <v>0.92</v>
      </c>
      <c r="K24" s="41">
        <v>61.49</v>
      </c>
      <c r="L24" s="41">
        <v>15.67</v>
      </c>
      <c r="M24" s="41">
        <v>20.239999999999998</v>
      </c>
      <c r="N24" s="41">
        <v>70.8</v>
      </c>
      <c r="O24" s="41">
        <v>0</v>
      </c>
      <c r="P24" s="41">
        <v>0.54</v>
      </c>
      <c r="Q24" s="41">
        <v>9.32</v>
      </c>
      <c r="R24" s="38"/>
      <c r="S24" s="38"/>
      <c r="T24" s="38"/>
      <c r="U24" s="38"/>
    </row>
    <row r="25" spans="1:21" customFormat="1">
      <c r="A25" s="40" t="s">
        <v>365</v>
      </c>
      <c r="B25" s="41">
        <v>1.65</v>
      </c>
      <c r="C25" s="41">
        <v>13.97</v>
      </c>
      <c r="D25" s="41">
        <v>8.6199999999999992</v>
      </c>
      <c r="E25" s="41">
        <v>5.58</v>
      </c>
      <c r="F25" s="41">
        <v>2</v>
      </c>
      <c r="G25" s="41">
        <v>57.2</v>
      </c>
      <c r="H25" s="41">
        <v>33.32</v>
      </c>
      <c r="I25" s="41">
        <v>10.52</v>
      </c>
      <c r="J25" s="41">
        <v>0.24</v>
      </c>
      <c r="K25" s="41">
        <v>156.19</v>
      </c>
      <c r="L25" s="41">
        <v>15.01</v>
      </c>
      <c r="M25" s="41">
        <v>19.600000000000001</v>
      </c>
      <c r="N25" s="41">
        <v>46.7</v>
      </c>
      <c r="O25" s="41">
        <v>0</v>
      </c>
      <c r="P25" s="41">
        <v>0.49</v>
      </c>
      <c r="Q25" s="41">
        <v>9.32</v>
      </c>
      <c r="R25" s="38"/>
      <c r="S25" s="38"/>
      <c r="T25" s="38"/>
      <c r="U25" s="38"/>
    </row>
    <row r="26" spans="1:21" customFormat="1">
      <c r="A26" s="40" t="s">
        <v>366</v>
      </c>
      <c r="B26" s="41">
        <v>2.37</v>
      </c>
      <c r="C26" s="41">
        <v>15.08</v>
      </c>
      <c r="D26" s="41">
        <v>9.7799999999999994</v>
      </c>
      <c r="E26" s="41">
        <v>5.74</v>
      </c>
      <c r="F26" s="41">
        <v>2</v>
      </c>
      <c r="G26" s="41">
        <v>64.989999999999995</v>
      </c>
      <c r="H26" s="41">
        <v>35.450000000000003</v>
      </c>
      <c r="I26" s="41">
        <v>9.77</v>
      </c>
      <c r="J26" s="41">
        <v>0.32</v>
      </c>
      <c r="K26" s="41">
        <v>168.85</v>
      </c>
      <c r="L26" s="41">
        <v>15.99</v>
      </c>
      <c r="M26" s="41">
        <v>22.35</v>
      </c>
      <c r="N26" s="41">
        <v>8.5</v>
      </c>
      <c r="O26" s="41">
        <v>0</v>
      </c>
      <c r="P26" s="41">
        <v>0.47</v>
      </c>
      <c r="Q26" s="41">
        <v>9.32</v>
      </c>
      <c r="R26" s="38"/>
      <c r="S26" s="38"/>
      <c r="T26" s="38"/>
      <c r="U26" s="38"/>
    </row>
    <row r="27" spans="1:21" customFormat="1">
      <c r="A27" s="40" t="s">
        <v>367</v>
      </c>
      <c r="B27" s="41">
        <v>5</v>
      </c>
      <c r="C27" s="41">
        <v>16.809999999999999</v>
      </c>
      <c r="D27" s="41">
        <v>12.79</v>
      </c>
      <c r="E27" s="41">
        <v>6.96</v>
      </c>
      <c r="F27" s="41">
        <v>2</v>
      </c>
      <c r="G27" s="41">
        <v>99.29</v>
      </c>
      <c r="H27" s="41">
        <v>39.69</v>
      </c>
      <c r="I27" s="41">
        <v>10.050000000000001</v>
      </c>
      <c r="J27" s="41">
        <v>0.28000000000000003</v>
      </c>
      <c r="K27" s="41">
        <v>169.18</v>
      </c>
      <c r="L27" s="41">
        <v>15.97</v>
      </c>
      <c r="M27" s="41">
        <v>22.38</v>
      </c>
      <c r="N27" s="41">
        <v>1.6</v>
      </c>
      <c r="O27" s="41">
        <v>0</v>
      </c>
      <c r="P27" s="41">
        <v>0.53</v>
      </c>
      <c r="Q27" s="41">
        <v>9.32</v>
      </c>
      <c r="R27" s="38"/>
      <c r="S27" s="38"/>
      <c r="T27" s="38"/>
      <c r="U27" s="38"/>
    </row>
    <row r="28" spans="1:21" customFormat="1">
      <c r="A28" s="40" t="s">
        <v>368</v>
      </c>
      <c r="B28" s="41">
        <v>5.8</v>
      </c>
      <c r="C28" s="41">
        <v>16.920000000000002</v>
      </c>
      <c r="D28" s="41">
        <v>13.4</v>
      </c>
      <c r="E28" s="41">
        <v>7.02</v>
      </c>
      <c r="F28" s="41">
        <v>2</v>
      </c>
      <c r="G28" s="41">
        <v>121.22</v>
      </c>
      <c r="H28" s="41">
        <v>48.72</v>
      </c>
      <c r="I28" s="41">
        <v>11.3</v>
      </c>
      <c r="J28" s="41">
        <v>0.24</v>
      </c>
      <c r="K28" s="41">
        <v>212.01</v>
      </c>
      <c r="L28" s="41">
        <v>19.32</v>
      </c>
      <c r="M28" s="41">
        <v>30.72</v>
      </c>
      <c r="N28" s="41">
        <v>1.6</v>
      </c>
      <c r="O28" s="41">
        <v>0</v>
      </c>
      <c r="P28" s="41">
        <v>0.59</v>
      </c>
      <c r="Q28" s="41">
        <v>9.32</v>
      </c>
      <c r="R28" s="38"/>
      <c r="S28" s="38"/>
      <c r="T28" s="38"/>
      <c r="U28" s="38"/>
    </row>
    <row r="29" spans="1:21" customFormat="1">
      <c r="A29" s="40" t="s">
        <v>369</v>
      </c>
      <c r="B29" s="41">
        <v>6.69</v>
      </c>
      <c r="C29" s="41">
        <v>16.52</v>
      </c>
      <c r="D29" s="41">
        <v>13.36</v>
      </c>
      <c r="E29" s="41">
        <v>7.19</v>
      </c>
      <c r="F29" s="41">
        <v>2</v>
      </c>
      <c r="G29" s="41">
        <v>118.45</v>
      </c>
      <c r="H29" s="41">
        <v>48.59</v>
      </c>
      <c r="I29" s="41">
        <v>11.99</v>
      </c>
      <c r="J29" s="41">
        <v>0.2</v>
      </c>
      <c r="K29" s="41">
        <v>214.69</v>
      </c>
      <c r="L29" s="41">
        <v>19.350000000000001</v>
      </c>
      <c r="M29" s="41">
        <v>30.85</v>
      </c>
      <c r="N29" s="41">
        <v>1.3</v>
      </c>
      <c r="O29" s="41">
        <v>0</v>
      </c>
      <c r="P29" s="41">
        <v>0.62</v>
      </c>
      <c r="Q29" s="41">
        <v>9.32</v>
      </c>
      <c r="R29" s="38"/>
      <c r="S29" s="38"/>
      <c r="T29" s="38"/>
      <c r="U29" s="38"/>
    </row>
    <row r="30" spans="1:21" customFormat="1">
      <c r="A30" s="40" t="s">
        <v>370</v>
      </c>
      <c r="B30" s="41">
        <v>7.58</v>
      </c>
      <c r="C30" s="41">
        <v>14.99</v>
      </c>
      <c r="D30" s="41">
        <v>13.6</v>
      </c>
      <c r="E30" s="41">
        <v>7.01</v>
      </c>
      <c r="F30" s="41">
        <v>2</v>
      </c>
      <c r="G30" s="41">
        <v>111.96</v>
      </c>
      <c r="H30" s="41">
        <v>47.63</v>
      </c>
      <c r="I30" s="41">
        <v>12.29</v>
      </c>
      <c r="J30" s="41">
        <v>0.17</v>
      </c>
      <c r="K30" s="41">
        <v>214.41</v>
      </c>
      <c r="L30" s="41">
        <v>19.690000000000001</v>
      </c>
      <c r="M30" s="41">
        <v>31.64</v>
      </c>
      <c r="N30" s="41">
        <v>1.3</v>
      </c>
      <c r="O30" s="41">
        <v>0</v>
      </c>
      <c r="P30" s="41">
        <v>0.63</v>
      </c>
      <c r="Q30" s="41">
        <v>9.32</v>
      </c>
      <c r="R30" s="38"/>
      <c r="S30" s="38"/>
      <c r="T30" s="38"/>
      <c r="U30" s="38"/>
    </row>
    <row r="31" spans="1:21" customFormat="1">
      <c r="A31" s="40" t="s">
        <v>371</v>
      </c>
      <c r="B31" s="41">
        <v>8.43</v>
      </c>
      <c r="C31" s="41">
        <v>14.23</v>
      </c>
      <c r="D31" s="41">
        <v>14.01</v>
      </c>
      <c r="E31" s="41">
        <v>7.05</v>
      </c>
      <c r="F31" s="41">
        <v>2</v>
      </c>
      <c r="G31" s="41">
        <v>108.04</v>
      </c>
      <c r="H31" s="41">
        <v>46.71</v>
      </c>
      <c r="I31" s="41">
        <v>12.73</v>
      </c>
      <c r="J31" s="41">
        <v>0.21</v>
      </c>
      <c r="K31" s="41">
        <v>242.59</v>
      </c>
      <c r="L31" s="41">
        <v>21.67</v>
      </c>
      <c r="M31" s="41">
        <v>36.57</v>
      </c>
      <c r="N31" s="41">
        <v>1.2</v>
      </c>
      <c r="O31" s="41">
        <v>0</v>
      </c>
      <c r="P31" s="41">
        <v>0.63</v>
      </c>
      <c r="Q31" s="41">
        <v>9.32</v>
      </c>
      <c r="R31" s="38"/>
      <c r="S31" s="38"/>
      <c r="T31" s="38"/>
      <c r="U31" s="38"/>
    </row>
    <row r="32" spans="1:21" customFormat="1">
      <c r="A32" s="40" t="s">
        <v>372</v>
      </c>
      <c r="B32" s="41">
        <v>9.2200000000000006</v>
      </c>
      <c r="C32" s="41">
        <v>13.65</v>
      </c>
      <c r="D32" s="41">
        <v>14.38</v>
      </c>
      <c r="E32" s="41">
        <v>7.45</v>
      </c>
      <c r="F32" s="41">
        <v>2</v>
      </c>
      <c r="G32" s="41">
        <v>109.53</v>
      </c>
      <c r="H32" s="41">
        <v>47.74</v>
      </c>
      <c r="I32" s="41">
        <v>13.95</v>
      </c>
      <c r="J32" s="41">
        <v>0.19</v>
      </c>
      <c r="K32" s="41">
        <v>232.96</v>
      </c>
      <c r="L32" s="41">
        <v>20.75</v>
      </c>
      <c r="M32" s="41">
        <v>34.29</v>
      </c>
      <c r="N32" s="41">
        <v>1.2</v>
      </c>
      <c r="O32" s="41">
        <v>0</v>
      </c>
      <c r="P32" s="41">
        <v>0.66</v>
      </c>
      <c r="Q32" s="41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1.65</v>
      </c>
      <c r="C34" s="18">
        <f t="shared" si="0"/>
        <v>13.65</v>
      </c>
      <c r="D34" s="18">
        <f t="shared" si="0"/>
        <v>8.6199999999999992</v>
      </c>
      <c r="E34" s="18">
        <f t="shared" si="0"/>
        <v>5.45</v>
      </c>
      <c r="F34" s="18">
        <f t="shared" si="0"/>
        <v>2</v>
      </c>
      <c r="G34" s="18">
        <f t="shared" si="0"/>
        <v>57.2</v>
      </c>
      <c r="H34" s="18">
        <f t="shared" si="0"/>
        <v>33.32</v>
      </c>
      <c r="I34" s="18">
        <f t="shared" si="0"/>
        <v>9.77</v>
      </c>
      <c r="J34" s="18">
        <f t="shared" si="0"/>
        <v>0.12</v>
      </c>
      <c r="K34" s="18">
        <f t="shared" si="0"/>
        <v>38.97</v>
      </c>
      <c r="L34" s="18">
        <f t="shared" si="0"/>
        <v>10.94</v>
      </c>
      <c r="M34" s="18">
        <f t="shared" si="0"/>
        <v>2.71</v>
      </c>
      <c r="N34" s="18">
        <f t="shared" si="0"/>
        <v>1.1000000000000001</v>
      </c>
      <c r="O34" s="18">
        <f t="shared" si="0"/>
        <v>0</v>
      </c>
      <c r="P34" s="18">
        <f t="shared" si="0"/>
        <v>0.47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40.619999999999997</v>
      </c>
      <c r="C35" s="3">
        <f t="shared" si="1"/>
        <v>21.06</v>
      </c>
      <c r="D35" s="3">
        <f t="shared" si="1"/>
        <v>41.75</v>
      </c>
      <c r="E35" s="3">
        <f t="shared" si="1"/>
        <v>7.87</v>
      </c>
      <c r="F35" s="3">
        <f t="shared" si="1"/>
        <v>2.74</v>
      </c>
      <c r="G35" s="3">
        <f t="shared" si="1"/>
        <v>130.29</v>
      </c>
      <c r="H35" s="3">
        <f t="shared" si="1"/>
        <v>68.11</v>
      </c>
      <c r="I35" s="3">
        <f t="shared" si="1"/>
        <v>19.61</v>
      </c>
      <c r="J35" s="3">
        <f t="shared" si="1"/>
        <v>1.08</v>
      </c>
      <c r="K35" s="3">
        <f t="shared" si="1"/>
        <v>242.59</v>
      </c>
      <c r="L35" s="3">
        <f t="shared" si="1"/>
        <v>21.67</v>
      </c>
      <c r="M35" s="3">
        <f t="shared" si="1"/>
        <v>36.57</v>
      </c>
      <c r="N35" s="3">
        <f t="shared" si="1"/>
        <v>631.79999999999995</v>
      </c>
      <c r="O35" s="3">
        <f t="shared" si="1"/>
        <v>0</v>
      </c>
      <c r="P35" s="3">
        <f t="shared" si="1"/>
        <v>1.1599999999999999</v>
      </c>
      <c r="Q35" s="3">
        <f t="shared" si="1"/>
        <v>9.32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16.058333333333334</v>
      </c>
      <c r="C36" s="18">
        <f t="shared" si="2"/>
        <v>16.634583333333335</v>
      </c>
      <c r="D36" s="18">
        <f t="shared" si="2"/>
        <v>21.445833333333336</v>
      </c>
      <c r="E36" s="18">
        <f t="shared" si="2"/>
        <v>6.7399999999999993</v>
      </c>
      <c r="F36" s="18">
        <f t="shared" si="2"/>
        <v>2.0554166666666664</v>
      </c>
      <c r="G36" s="18">
        <f t="shared" si="2"/>
        <v>104.72333333333331</v>
      </c>
      <c r="H36" s="18">
        <f t="shared" si="2"/>
        <v>52.042083333333345</v>
      </c>
      <c r="I36" s="18">
        <f t="shared" si="2"/>
        <v>14.610833333333332</v>
      </c>
      <c r="J36" s="18">
        <f t="shared" si="2"/>
        <v>0.46666666666666673</v>
      </c>
      <c r="K36" s="18">
        <f t="shared" si="2"/>
        <v>156.0025</v>
      </c>
      <c r="L36" s="18">
        <f t="shared" si="2"/>
        <v>17.693333333333335</v>
      </c>
      <c r="M36" s="18">
        <f t="shared" si="2"/>
        <v>23.486250000000002</v>
      </c>
      <c r="N36" s="18">
        <f t="shared" si="2"/>
        <v>148.1</v>
      </c>
      <c r="O36" s="18">
        <f t="shared" si="2"/>
        <v>0</v>
      </c>
      <c r="P36" s="18">
        <f t="shared" si="2"/>
        <v>0.8091666666666667</v>
      </c>
      <c r="Q36" s="18">
        <f t="shared" si="2"/>
        <v>9.319999999999995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13.144195831543714</v>
      </c>
      <c r="C37" s="18">
        <f t="shared" ref="C37:Q37" si="3">STDEV(C9:C32)</f>
        <v>2.1527353260579796</v>
      </c>
      <c r="D37" s="18">
        <f t="shared" si="3"/>
        <v>10.996492293164355</v>
      </c>
      <c r="E37" s="18">
        <f t="shared" si="3"/>
        <v>0.78196519437721579</v>
      </c>
      <c r="F37" s="18">
        <f t="shared" si="3"/>
        <v>0.17941884847586609</v>
      </c>
      <c r="G37" s="18">
        <f t="shared" si="3"/>
        <v>20.938441797983359</v>
      </c>
      <c r="H37" s="18">
        <f t="shared" si="3"/>
        <v>10.256206595612387</v>
      </c>
      <c r="I37" s="18">
        <f t="shared" si="3"/>
        <v>3.0492464025047918</v>
      </c>
      <c r="J37" s="18">
        <f t="shared" si="3"/>
        <v>0.36251136913705639</v>
      </c>
      <c r="K37" s="18">
        <f t="shared" si="3"/>
        <v>74.960124834590502</v>
      </c>
      <c r="L37" s="18">
        <f t="shared" si="3"/>
        <v>2.8351223678316866</v>
      </c>
      <c r="M37" s="18">
        <f t="shared" si="3"/>
        <v>9.5100518045953262</v>
      </c>
      <c r="N37" s="18">
        <f t="shared" si="3"/>
        <v>226.48649254281767</v>
      </c>
      <c r="O37" s="18">
        <f t="shared" si="3"/>
        <v>0</v>
      </c>
      <c r="P37" s="18">
        <f t="shared" si="3"/>
        <v>0.22962950625938153</v>
      </c>
      <c r="Q37" s="18">
        <f t="shared" si="3"/>
        <v>5.4436872977907584E-15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96"/>
  <sheetViews>
    <sheetView zoomScale="85" zoomScaleNormal="85" workbookViewId="0">
      <pane xSplit="1" ySplit="8" topLeftCell="B39" activePane="bottomRight" state="frozen"/>
      <selection activeCell="G19" sqref="G19"/>
      <selection pane="topRight" activeCell="G19" sqref="G19"/>
      <selection pane="bottomLeft" activeCell="G19" sqref="G19"/>
      <selection pane="bottomRight" activeCell="I31" sqref="H31:I31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14/11/2025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373</v>
      </c>
      <c r="B9" s="41">
        <v>13.75</v>
      </c>
      <c r="C9" s="41">
        <v>14.86</v>
      </c>
      <c r="D9" s="41">
        <v>18.79</v>
      </c>
      <c r="E9" s="41">
        <v>7.43</v>
      </c>
      <c r="F9" s="41">
        <v>3.2</v>
      </c>
      <c r="G9" s="41">
        <v>106.84</v>
      </c>
      <c r="H9" s="41">
        <v>48.59</v>
      </c>
      <c r="I9" s="41">
        <v>14.38</v>
      </c>
      <c r="J9" s="41">
        <v>0.24</v>
      </c>
      <c r="K9" s="41">
        <v>330.34</v>
      </c>
      <c r="L9" s="41">
        <v>16.98</v>
      </c>
      <c r="M9" s="41">
        <v>24.77</v>
      </c>
      <c r="N9" s="41">
        <v>1.1000000000000001</v>
      </c>
      <c r="O9" s="41">
        <v>0</v>
      </c>
      <c r="P9" s="41">
        <v>0.68</v>
      </c>
      <c r="Q9" s="41">
        <v>9.32</v>
      </c>
      <c r="R9" s="38"/>
      <c r="S9" s="38"/>
      <c r="T9" s="38"/>
      <c r="U9" s="38"/>
    </row>
    <row r="10" spans="1:21" customFormat="1">
      <c r="A10" s="40" t="s">
        <v>374</v>
      </c>
      <c r="B10" s="41">
        <v>18.5</v>
      </c>
      <c r="C10" s="41">
        <v>16.38</v>
      </c>
      <c r="D10" s="41">
        <v>23.4</v>
      </c>
      <c r="E10" s="41">
        <v>7.38</v>
      </c>
      <c r="F10" s="41">
        <v>3.2</v>
      </c>
      <c r="G10" s="41">
        <v>107.63</v>
      </c>
      <c r="H10" s="41">
        <v>53.7</v>
      </c>
      <c r="I10" s="41">
        <v>15.2</v>
      </c>
      <c r="J10" s="41">
        <v>0.15</v>
      </c>
      <c r="K10" s="41">
        <v>198.24</v>
      </c>
      <c r="L10" s="41">
        <v>18.37</v>
      </c>
      <c r="M10" s="41">
        <v>28.38</v>
      </c>
      <c r="N10" s="41">
        <v>1.3</v>
      </c>
      <c r="O10" s="41">
        <v>0</v>
      </c>
      <c r="P10" s="41">
        <v>0.72</v>
      </c>
      <c r="Q10" s="41">
        <v>9.32</v>
      </c>
      <c r="R10" s="38"/>
      <c r="S10" s="38"/>
      <c r="T10" s="38"/>
      <c r="U10" s="38"/>
    </row>
    <row r="11" spans="1:21" customFormat="1">
      <c r="A11" s="40" t="s">
        <v>375</v>
      </c>
      <c r="B11" s="41">
        <v>21.16</v>
      </c>
      <c r="C11" s="41">
        <v>16.7</v>
      </c>
      <c r="D11" s="41">
        <v>25.65</v>
      </c>
      <c r="E11" s="41">
        <v>6.83</v>
      </c>
      <c r="F11" s="41">
        <v>3.2</v>
      </c>
      <c r="G11" s="41">
        <v>109.46</v>
      </c>
      <c r="H11" s="41">
        <v>54.18</v>
      </c>
      <c r="I11" s="41">
        <v>15.42</v>
      </c>
      <c r="J11" s="41">
        <v>0.13</v>
      </c>
      <c r="K11" s="41">
        <v>203.34</v>
      </c>
      <c r="L11" s="41">
        <v>18.5</v>
      </c>
      <c r="M11" s="41">
        <v>28.71</v>
      </c>
      <c r="N11" s="41">
        <v>1.3</v>
      </c>
      <c r="O11" s="41">
        <v>0</v>
      </c>
      <c r="P11" s="41">
        <v>0.76</v>
      </c>
      <c r="Q11" s="41">
        <v>9.32</v>
      </c>
      <c r="R11" s="38"/>
      <c r="S11" s="38"/>
      <c r="T11" s="38"/>
      <c r="U11" s="38"/>
    </row>
    <row r="12" spans="1:21" customFormat="1">
      <c r="A12" s="40" t="s">
        <v>376</v>
      </c>
      <c r="B12" s="41">
        <v>23.28</v>
      </c>
      <c r="C12" s="41">
        <v>16.149999999999999</v>
      </c>
      <c r="D12" s="41">
        <v>27.06</v>
      </c>
      <c r="E12" s="41">
        <v>6.75</v>
      </c>
      <c r="F12" s="41">
        <v>3.2</v>
      </c>
      <c r="G12" s="41">
        <v>106.89</v>
      </c>
      <c r="H12" s="41">
        <v>53.02</v>
      </c>
      <c r="I12" s="41">
        <v>15.58</v>
      </c>
      <c r="J12" s="41">
        <v>0.14000000000000001</v>
      </c>
      <c r="K12" s="41">
        <v>209.14</v>
      </c>
      <c r="L12" s="41">
        <v>19.03</v>
      </c>
      <c r="M12" s="41">
        <v>30.03</v>
      </c>
      <c r="N12" s="41">
        <v>1.2</v>
      </c>
      <c r="O12" s="41">
        <v>0</v>
      </c>
      <c r="P12" s="41">
        <v>0.8</v>
      </c>
      <c r="Q12" s="41">
        <v>9.32</v>
      </c>
      <c r="R12" s="38"/>
      <c r="S12" s="38"/>
      <c r="T12" s="38"/>
      <c r="U12" s="38"/>
    </row>
    <row r="13" spans="1:21" customFormat="1">
      <c r="A13" s="40" t="s">
        <v>377</v>
      </c>
      <c r="B13" s="41">
        <v>26.36</v>
      </c>
      <c r="C13" s="41">
        <v>16.29</v>
      </c>
      <c r="D13" s="41">
        <v>29.54</v>
      </c>
      <c r="E13" s="41">
        <v>6.83</v>
      </c>
      <c r="F13" s="41">
        <v>3.2</v>
      </c>
      <c r="G13" s="41">
        <v>101.77</v>
      </c>
      <c r="H13" s="41">
        <v>51.63</v>
      </c>
      <c r="I13" s="41">
        <v>16.07</v>
      </c>
      <c r="J13" s="41">
        <v>0.17</v>
      </c>
      <c r="K13" s="41">
        <v>229.36</v>
      </c>
      <c r="L13" s="41">
        <v>19.850000000000001</v>
      </c>
      <c r="M13" s="41">
        <v>32.119999999999997</v>
      </c>
      <c r="N13" s="41">
        <v>1.2</v>
      </c>
      <c r="O13" s="41">
        <v>0</v>
      </c>
      <c r="P13" s="41">
        <v>0.85</v>
      </c>
      <c r="Q13" s="41">
        <v>9.32</v>
      </c>
      <c r="R13" s="38"/>
      <c r="S13" s="38"/>
      <c r="T13" s="38"/>
      <c r="U13" s="38"/>
    </row>
    <row r="14" spans="1:21" customFormat="1">
      <c r="A14" s="40" t="s">
        <v>378</v>
      </c>
      <c r="B14" s="41">
        <v>28.83</v>
      </c>
      <c r="C14" s="41">
        <v>16.04</v>
      </c>
      <c r="D14" s="41">
        <v>31.5</v>
      </c>
      <c r="E14" s="41">
        <v>7.05</v>
      </c>
      <c r="F14" s="41">
        <v>3.2</v>
      </c>
      <c r="G14" s="41">
        <v>98.05</v>
      </c>
      <c r="H14" s="41">
        <v>52.02</v>
      </c>
      <c r="I14" s="41">
        <v>16.39</v>
      </c>
      <c r="J14" s="41">
        <v>0.17</v>
      </c>
      <c r="K14" s="41">
        <v>227.24</v>
      </c>
      <c r="L14" s="41">
        <v>19.68</v>
      </c>
      <c r="M14" s="41">
        <v>31.62</v>
      </c>
      <c r="N14" s="41">
        <v>1.3</v>
      </c>
      <c r="O14" s="41">
        <v>0</v>
      </c>
      <c r="P14" s="41">
        <v>0.89</v>
      </c>
      <c r="Q14" s="41">
        <v>9.32</v>
      </c>
      <c r="R14" s="38"/>
      <c r="S14" s="38"/>
      <c r="T14" s="38"/>
      <c r="U14" s="38"/>
    </row>
    <row r="15" spans="1:21" customFormat="1">
      <c r="A15" s="40" t="s">
        <v>379</v>
      </c>
      <c r="B15" s="41">
        <v>33.96</v>
      </c>
      <c r="C15" s="41">
        <v>17.45</v>
      </c>
      <c r="D15" s="41">
        <v>36.35</v>
      </c>
      <c r="E15" s="41">
        <v>7.08</v>
      </c>
      <c r="F15" s="41">
        <v>3.2</v>
      </c>
      <c r="G15" s="41">
        <v>98.51</v>
      </c>
      <c r="H15" s="41">
        <v>51.36</v>
      </c>
      <c r="I15" s="41">
        <v>17.059999999999999</v>
      </c>
      <c r="J15" s="41">
        <v>0.25</v>
      </c>
      <c r="K15" s="41">
        <v>194.89</v>
      </c>
      <c r="L15" s="41">
        <v>17.48</v>
      </c>
      <c r="M15" s="41">
        <v>25.97</v>
      </c>
      <c r="N15" s="41">
        <v>30.9</v>
      </c>
      <c r="O15" s="41">
        <v>0</v>
      </c>
      <c r="P15" s="41">
        <v>0.97</v>
      </c>
      <c r="Q15" s="41">
        <v>9.32</v>
      </c>
      <c r="R15" s="38"/>
      <c r="S15" s="38"/>
      <c r="T15" s="38"/>
      <c r="U15" s="38"/>
    </row>
    <row r="16" spans="1:21" customFormat="1">
      <c r="A16" s="40" t="s">
        <v>380</v>
      </c>
      <c r="B16" s="41">
        <v>35.31</v>
      </c>
      <c r="C16" s="41">
        <v>19.02</v>
      </c>
      <c r="D16" s="41">
        <v>37.89</v>
      </c>
      <c r="E16" s="41">
        <v>7.05</v>
      </c>
      <c r="F16" s="41">
        <v>3.2</v>
      </c>
      <c r="G16" s="41">
        <v>119.03</v>
      </c>
      <c r="H16" s="41">
        <v>62.61</v>
      </c>
      <c r="I16" s="41">
        <v>17.61</v>
      </c>
      <c r="J16" s="41">
        <v>0.68</v>
      </c>
      <c r="K16" s="41">
        <v>39.11</v>
      </c>
      <c r="L16" s="41">
        <v>10.91</v>
      </c>
      <c r="M16" s="41">
        <v>5.41</v>
      </c>
      <c r="N16" s="41">
        <v>166.8</v>
      </c>
      <c r="O16" s="41">
        <v>0</v>
      </c>
      <c r="P16" s="41">
        <v>1</v>
      </c>
      <c r="Q16" s="41">
        <v>9.32</v>
      </c>
      <c r="R16" s="38"/>
      <c r="S16" s="38"/>
      <c r="T16" s="38"/>
      <c r="U16" s="38"/>
    </row>
    <row r="17" spans="1:21" customFormat="1">
      <c r="A17" s="40" t="s">
        <v>381</v>
      </c>
      <c r="B17" s="41">
        <v>33.96</v>
      </c>
      <c r="C17" s="41">
        <v>19.559999999999999</v>
      </c>
      <c r="D17" s="41">
        <v>37.42</v>
      </c>
      <c r="E17" s="41">
        <v>7.03</v>
      </c>
      <c r="F17" s="41">
        <v>3.2</v>
      </c>
      <c r="G17" s="41">
        <v>130.4</v>
      </c>
      <c r="H17" s="41">
        <v>62.91</v>
      </c>
      <c r="I17" s="41">
        <v>17.64</v>
      </c>
      <c r="J17" s="41">
        <v>0.84</v>
      </c>
      <c r="K17" s="41">
        <v>48.58</v>
      </c>
      <c r="L17" s="41">
        <v>18.91</v>
      </c>
      <c r="M17" s="41">
        <v>21.59</v>
      </c>
      <c r="N17" s="41">
        <v>330.2</v>
      </c>
      <c r="O17" s="41">
        <v>0</v>
      </c>
      <c r="P17" s="41">
        <v>1</v>
      </c>
      <c r="Q17" s="41">
        <v>9.32</v>
      </c>
      <c r="R17" s="38"/>
      <c r="S17" s="38"/>
      <c r="T17" s="38"/>
      <c r="U17" s="38"/>
    </row>
    <row r="18" spans="1:21" customFormat="1">
      <c r="A18" s="40" t="s">
        <v>382</v>
      </c>
      <c r="B18" s="41">
        <v>29.47</v>
      </c>
      <c r="C18" s="41">
        <v>19.53</v>
      </c>
      <c r="D18" s="41">
        <v>33.630000000000003</v>
      </c>
      <c r="E18" s="41">
        <v>6.71</v>
      </c>
      <c r="F18" s="41">
        <v>3.2</v>
      </c>
      <c r="G18" s="41">
        <v>124.21</v>
      </c>
      <c r="H18" s="41">
        <v>59.01</v>
      </c>
      <c r="I18" s="41">
        <v>16.940000000000001</v>
      </c>
      <c r="J18" s="41">
        <v>1.24</v>
      </c>
      <c r="K18" s="41">
        <v>56.58</v>
      </c>
      <c r="L18" s="41">
        <v>14.21</v>
      </c>
      <c r="M18" s="41">
        <v>8.89</v>
      </c>
      <c r="N18" s="41">
        <v>406.5</v>
      </c>
      <c r="O18" s="41">
        <v>0</v>
      </c>
      <c r="P18" s="41">
        <v>0.93</v>
      </c>
      <c r="Q18" s="41">
        <v>9.32</v>
      </c>
      <c r="R18" s="38"/>
      <c r="S18" s="38"/>
      <c r="T18" s="38"/>
      <c r="U18" s="38"/>
    </row>
    <row r="19" spans="1:21" customFormat="1">
      <c r="A19" s="40" t="s">
        <v>383</v>
      </c>
      <c r="B19" s="41">
        <v>25.22</v>
      </c>
      <c r="C19" s="41">
        <v>27.03</v>
      </c>
      <c r="D19" s="41">
        <v>31</v>
      </c>
      <c r="E19" s="41">
        <v>7.86</v>
      </c>
      <c r="F19" s="41">
        <v>5.01</v>
      </c>
      <c r="G19" s="41">
        <v>109.41</v>
      </c>
      <c r="H19" s="41">
        <v>53.85</v>
      </c>
      <c r="I19" s="41">
        <v>15.9</v>
      </c>
      <c r="J19" s="41">
        <v>1.0900000000000001</v>
      </c>
      <c r="K19" s="41">
        <v>47.12</v>
      </c>
      <c r="L19" s="41">
        <v>14.69</v>
      </c>
      <c r="M19" s="41">
        <v>6.41</v>
      </c>
      <c r="N19" s="41">
        <v>555.9</v>
      </c>
      <c r="O19" s="41">
        <v>0</v>
      </c>
      <c r="P19" s="41">
        <v>0.84</v>
      </c>
      <c r="Q19" s="41">
        <v>9.32</v>
      </c>
      <c r="R19" s="38"/>
      <c r="S19" s="38"/>
      <c r="T19" s="38"/>
      <c r="U19" s="38"/>
    </row>
    <row r="20" spans="1:21" customFormat="1">
      <c r="A20" s="40" t="s">
        <v>384</v>
      </c>
      <c r="B20" s="41">
        <v>10.8</v>
      </c>
      <c r="C20" s="41">
        <v>28.36</v>
      </c>
      <c r="D20" s="41">
        <v>23.33</v>
      </c>
      <c r="E20" s="41">
        <v>9.3000000000000007</v>
      </c>
      <c r="F20" s="41">
        <v>5.01</v>
      </c>
      <c r="G20" s="41">
        <v>79.77</v>
      </c>
      <c r="H20" s="41">
        <v>32.200000000000003</v>
      </c>
      <c r="I20" s="41">
        <v>13.57</v>
      </c>
      <c r="J20" s="41">
        <v>0.92</v>
      </c>
      <c r="K20" s="41">
        <v>64.02</v>
      </c>
      <c r="L20" s="41">
        <v>17.37</v>
      </c>
      <c r="M20" s="41">
        <v>11.47</v>
      </c>
      <c r="N20" s="41">
        <v>606.4</v>
      </c>
      <c r="O20" s="41">
        <v>0</v>
      </c>
      <c r="P20" s="41">
        <v>0.64</v>
      </c>
      <c r="Q20" s="41">
        <v>9.32</v>
      </c>
      <c r="R20" s="38"/>
      <c r="S20" s="38"/>
      <c r="T20" s="38"/>
      <c r="U20" s="38"/>
    </row>
    <row r="21" spans="1:21" customFormat="1">
      <c r="A21" s="40" t="s">
        <v>385</v>
      </c>
      <c r="B21" s="41">
        <v>3.78</v>
      </c>
      <c r="C21" s="41">
        <v>28.58</v>
      </c>
      <c r="D21" s="41">
        <v>17.96</v>
      </c>
      <c r="E21" s="41">
        <v>11.89</v>
      </c>
      <c r="F21" s="41">
        <v>10.3</v>
      </c>
      <c r="G21" s="24" t="s">
        <v>14</v>
      </c>
      <c r="H21" s="24" t="s">
        <v>14</v>
      </c>
      <c r="I21" s="41">
        <v>8.7200000000000006</v>
      </c>
      <c r="J21" s="41">
        <v>0.99</v>
      </c>
      <c r="K21" s="41">
        <v>46.65</v>
      </c>
      <c r="L21" s="41">
        <v>18.04</v>
      </c>
      <c r="M21" s="41">
        <v>13.26</v>
      </c>
      <c r="N21" s="41">
        <v>594.70000000000005</v>
      </c>
      <c r="O21" s="41">
        <v>0</v>
      </c>
      <c r="P21" s="41">
        <v>0.51</v>
      </c>
      <c r="Q21" s="41">
        <v>9.32</v>
      </c>
      <c r="R21" s="38"/>
      <c r="S21" s="38"/>
      <c r="T21" s="38"/>
      <c r="U21" s="38"/>
    </row>
    <row r="22" spans="1:21" customFormat="1">
      <c r="A22" s="40" t="s">
        <v>386</v>
      </c>
      <c r="B22" s="41">
        <v>2.12</v>
      </c>
      <c r="C22" s="41">
        <v>22.95</v>
      </c>
      <c r="D22" s="41">
        <v>13.69</v>
      </c>
      <c r="E22" s="41">
        <v>7.95</v>
      </c>
      <c r="F22" s="41">
        <v>11.63</v>
      </c>
      <c r="G22" s="41">
        <v>34.89</v>
      </c>
      <c r="H22" s="41">
        <v>8.19</v>
      </c>
      <c r="I22" s="41">
        <v>9.15</v>
      </c>
      <c r="J22" s="41">
        <v>0.87</v>
      </c>
      <c r="K22" s="41">
        <v>34.130000000000003</v>
      </c>
      <c r="L22" s="41">
        <v>19.57</v>
      </c>
      <c r="M22" s="41">
        <v>17.850000000000001</v>
      </c>
      <c r="N22" s="41">
        <v>558.5</v>
      </c>
      <c r="O22" s="41">
        <v>0</v>
      </c>
      <c r="P22" s="41">
        <v>0.4</v>
      </c>
      <c r="Q22" s="41">
        <v>9.32</v>
      </c>
      <c r="R22" s="38"/>
      <c r="S22" s="38"/>
      <c r="T22" s="38"/>
      <c r="U22" s="38"/>
    </row>
    <row r="23" spans="1:21" customFormat="1">
      <c r="A23" s="40" t="s">
        <v>387</v>
      </c>
      <c r="B23" s="41">
        <v>2.11</v>
      </c>
      <c r="C23" s="41">
        <v>20.36</v>
      </c>
      <c r="D23" s="41">
        <v>12.33</v>
      </c>
      <c r="E23" s="41">
        <v>11.07</v>
      </c>
      <c r="F23" s="41">
        <v>16.059999999999999</v>
      </c>
      <c r="G23" s="41">
        <v>34.89</v>
      </c>
      <c r="H23" s="41">
        <v>8.61</v>
      </c>
      <c r="I23" s="41">
        <v>7.65</v>
      </c>
      <c r="J23" s="41">
        <v>0.86</v>
      </c>
      <c r="K23" s="41">
        <v>44.53</v>
      </c>
      <c r="L23" s="41">
        <v>16.61</v>
      </c>
      <c r="M23" s="41">
        <v>21.92</v>
      </c>
      <c r="N23" s="41">
        <v>130</v>
      </c>
      <c r="O23" s="41">
        <v>0</v>
      </c>
      <c r="P23" s="41">
        <v>0.35</v>
      </c>
      <c r="Q23" s="41">
        <v>9.32</v>
      </c>
      <c r="R23" s="38"/>
      <c r="S23" s="38"/>
      <c r="T23" s="38"/>
      <c r="U23" s="38"/>
    </row>
    <row r="24" spans="1:21" customFormat="1">
      <c r="A24" s="40" t="s">
        <v>388</v>
      </c>
      <c r="B24" s="41">
        <v>2.2799999999999998</v>
      </c>
      <c r="C24" s="41">
        <v>27.14</v>
      </c>
      <c r="D24" s="41">
        <v>16.010000000000002</v>
      </c>
      <c r="E24" s="41">
        <v>11.41</v>
      </c>
      <c r="F24" s="41">
        <v>10.3</v>
      </c>
      <c r="G24" s="41">
        <v>32.82</v>
      </c>
      <c r="H24" s="41">
        <v>8.61</v>
      </c>
      <c r="I24" s="41">
        <v>7.71</v>
      </c>
      <c r="J24" s="41">
        <v>0.83</v>
      </c>
      <c r="K24" s="41">
        <v>49.4</v>
      </c>
      <c r="L24" s="41">
        <v>11.93</v>
      </c>
      <c r="M24" s="41">
        <v>11.37</v>
      </c>
      <c r="N24" s="41">
        <v>74</v>
      </c>
      <c r="O24" s="41">
        <v>0</v>
      </c>
      <c r="P24" s="41">
        <v>0.36</v>
      </c>
      <c r="Q24" s="41">
        <v>9.32</v>
      </c>
      <c r="R24" s="38"/>
      <c r="S24" s="38"/>
      <c r="T24" s="38"/>
      <c r="U24" s="38"/>
    </row>
    <row r="25" spans="1:21" customFormat="1">
      <c r="A25" s="40" t="s">
        <v>389</v>
      </c>
      <c r="B25" s="41">
        <v>2.5299999999999998</v>
      </c>
      <c r="C25" s="41">
        <v>31.72</v>
      </c>
      <c r="D25" s="41">
        <v>18.55</v>
      </c>
      <c r="E25" s="41">
        <v>14.83</v>
      </c>
      <c r="F25" s="41">
        <v>10.3</v>
      </c>
      <c r="G25" s="41">
        <v>34.450000000000003</v>
      </c>
      <c r="H25" s="41">
        <v>9.6</v>
      </c>
      <c r="I25" s="41">
        <v>9.0399999999999991</v>
      </c>
      <c r="J25" s="41">
        <v>0.56999999999999995</v>
      </c>
      <c r="K25" s="41">
        <v>110.73</v>
      </c>
      <c r="L25" s="41">
        <v>11.74</v>
      </c>
      <c r="M25" s="41">
        <v>11.16</v>
      </c>
      <c r="N25" s="41">
        <v>41.9</v>
      </c>
      <c r="O25" s="41">
        <v>0</v>
      </c>
      <c r="P25" s="41">
        <v>0.42</v>
      </c>
      <c r="Q25" s="41">
        <v>9.32</v>
      </c>
      <c r="R25" s="38"/>
      <c r="S25" s="38"/>
      <c r="T25" s="38"/>
      <c r="U25" s="38"/>
    </row>
    <row r="26" spans="1:21" customFormat="1">
      <c r="A26" s="40" t="s">
        <v>390</v>
      </c>
      <c r="B26" s="41">
        <v>2.33</v>
      </c>
      <c r="C26" s="41">
        <v>26.4</v>
      </c>
      <c r="D26" s="41">
        <v>15.48</v>
      </c>
      <c r="E26" s="41">
        <v>4.3600000000000003</v>
      </c>
      <c r="F26" s="41">
        <v>10.3</v>
      </c>
      <c r="G26" s="41">
        <v>39.69</v>
      </c>
      <c r="H26" s="41">
        <v>9.98</v>
      </c>
      <c r="I26" s="41">
        <v>8.89</v>
      </c>
      <c r="J26" s="41">
        <v>0.4</v>
      </c>
      <c r="K26" s="41">
        <v>168</v>
      </c>
      <c r="L26" s="41">
        <v>15.97</v>
      </c>
      <c r="M26" s="41">
        <v>22.34</v>
      </c>
      <c r="N26" s="41">
        <v>8.6</v>
      </c>
      <c r="O26" s="41">
        <v>0</v>
      </c>
      <c r="P26" s="41">
        <v>0.45</v>
      </c>
      <c r="Q26" s="41">
        <v>9.32</v>
      </c>
      <c r="R26" s="38"/>
      <c r="S26" s="38"/>
      <c r="T26" s="38"/>
      <c r="U26" s="38"/>
    </row>
    <row r="27" spans="1:21" customFormat="1">
      <c r="A27" s="40" t="s">
        <v>391</v>
      </c>
      <c r="B27" s="41">
        <v>4.3</v>
      </c>
      <c r="C27" s="41">
        <v>23.65</v>
      </c>
      <c r="D27" s="41">
        <v>14.85</v>
      </c>
      <c r="E27" s="41">
        <v>5.7</v>
      </c>
      <c r="F27" s="41">
        <v>10.3</v>
      </c>
      <c r="G27" s="41">
        <v>51.2</v>
      </c>
      <c r="H27" s="41">
        <v>12.63</v>
      </c>
      <c r="I27" s="41">
        <v>9.5</v>
      </c>
      <c r="J27" s="41">
        <v>0.31</v>
      </c>
      <c r="K27" s="41">
        <v>184.12</v>
      </c>
      <c r="L27" s="41">
        <v>16.93</v>
      </c>
      <c r="M27" s="41">
        <v>24.73</v>
      </c>
      <c r="N27" s="41">
        <v>1.7</v>
      </c>
      <c r="O27" s="41">
        <v>0</v>
      </c>
      <c r="P27" s="41">
        <v>0.49</v>
      </c>
      <c r="Q27" s="41">
        <v>9.32</v>
      </c>
      <c r="R27" s="38"/>
      <c r="S27" s="38"/>
      <c r="T27" s="38"/>
      <c r="U27" s="38"/>
    </row>
    <row r="28" spans="1:21" customFormat="1">
      <c r="A28" s="40" t="s">
        <v>392</v>
      </c>
      <c r="B28" s="41">
        <v>6.3</v>
      </c>
      <c r="C28" s="41">
        <v>21.16</v>
      </c>
      <c r="D28" s="41">
        <v>15.44</v>
      </c>
      <c r="E28" s="41">
        <v>5.76</v>
      </c>
      <c r="F28" s="41">
        <v>10.3</v>
      </c>
      <c r="G28" s="41">
        <v>54.77</v>
      </c>
      <c r="H28" s="41">
        <v>14.98</v>
      </c>
      <c r="I28" s="41">
        <v>10.039999999999999</v>
      </c>
      <c r="J28" s="41">
        <v>0.2</v>
      </c>
      <c r="K28" s="41">
        <v>211.57</v>
      </c>
      <c r="L28" s="41">
        <v>19.13</v>
      </c>
      <c r="M28" s="41">
        <v>30.26</v>
      </c>
      <c r="N28" s="41">
        <v>1.4</v>
      </c>
      <c r="O28" s="41">
        <v>0</v>
      </c>
      <c r="P28" s="41">
        <v>0.53</v>
      </c>
      <c r="Q28" s="41">
        <v>9.32</v>
      </c>
      <c r="R28" s="38"/>
      <c r="S28" s="38"/>
      <c r="T28" s="38"/>
      <c r="U28" s="38"/>
    </row>
    <row r="29" spans="1:21" customFormat="1">
      <c r="A29" s="40" t="s">
        <v>393</v>
      </c>
      <c r="B29" s="41">
        <v>6.78</v>
      </c>
      <c r="C29" s="41">
        <v>19.03</v>
      </c>
      <c r="D29" s="41">
        <v>15.17</v>
      </c>
      <c r="E29" s="41">
        <v>5.96</v>
      </c>
      <c r="F29" s="41">
        <v>10.3</v>
      </c>
      <c r="G29" s="41">
        <v>54.77</v>
      </c>
      <c r="H29" s="41">
        <v>14.98</v>
      </c>
      <c r="I29" s="41">
        <v>11.68</v>
      </c>
      <c r="J29" s="41">
        <v>0.18</v>
      </c>
      <c r="K29" s="41">
        <v>228.62</v>
      </c>
      <c r="L29" s="41">
        <v>20.350000000000001</v>
      </c>
      <c r="M29" s="41">
        <v>33.33</v>
      </c>
      <c r="N29" s="41">
        <v>1.3</v>
      </c>
      <c r="O29" s="41">
        <v>0</v>
      </c>
      <c r="P29" s="41">
        <v>0.55000000000000004</v>
      </c>
      <c r="Q29" s="41">
        <v>9.32</v>
      </c>
      <c r="R29" s="38"/>
      <c r="S29" s="38"/>
      <c r="T29" s="38"/>
      <c r="U29" s="38"/>
    </row>
    <row r="30" spans="1:21" customFormat="1">
      <c r="A30" s="40" t="s">
        <v>394</v>
      </c>
      <c r="B30" s="41">
        <v>6.93</v>
      </c>
      <c r="C30" s="41">
        <v>17.05</v>
      </c>
      <c r="D30" s="41">
        <v>14.35</v>
      </c>
      <c r="E30" s="41">
        <v>6.56</v>
      </c>
      <c r="F30" s="41">
        <v>10.3</v>
      </c>
      <c r="G30" s="41">
        <v>58.4</v>
      </c>
      <c r="H30" s="41">
        <v>15.55</v>
      </c>
      <c r="I30" s="41">
        <v>11.91</v>
      </c>
      <c r="J30" s="41">
        <v>0.18</v>
      </c>
      <c r="K30" s="41">
        <v>211.52</v>
      </c>
      <c r="L30" s="41">
        <v>19.079999999999998</v>
      </c>
      <c r="M30" s="41">
        <v>30.16</v>
      </c>
      <c r="N30" s="41">
        <v>1.2</v>
      </c>
      <c r="O30" s="41">
        <v>0</v>
      </c>
      <c r="P30" s="41">
        <v>0.56000000000000005</v>
      </c>
      <c r="Q30" s="41">
        <v>9.32</v>
      </c>
      <c r="R30" s="38"/>
      <c r="S30" s="38"/>
      <c r="T30" s="38"/>
      <c r="U30" s="38"/>
    </row>
    <row r="31" spans="1:21" customFormat="1">
      <c r="A31" s="40" t="s">
        <v>395</v>
      </c>
      <c r="B31" s="41">
        <v>8.27</v>
      </c>
      <c r="C31" s="41">
        <v>16.329999999999998</v>
      </c>
      <c r="D31" s="41">
        <v>14.95</v>
      </c>
      <c r="E31" s="41">
        <v>6.6</v>
      </c>
      <c r="F31" s="41">
        <v>10.3</v>
      </c>
      <c r="G31" s="41">
        <v>61.07</v>
      </c>
      <c r="H31" s="41">
        <v>16.11</v>
      </c>
      <c r="I31" s="41">
        <v>12.32</v>
      </c>
      <c r="J31" s="41">
        <v>0.23</v>
      </c>
      <c r="K31" s="41">
        <v>220.55</v>
      </c>
      <c r="L31" s="41">
        <v>19.670000000000002</v>
      </c>
      <c r="M31" s="41">
        <v>31.63</v>
      </c>
      <c r="N31" s="41">
        <v>1.2</v>
      </c>
      <c r="O31" s="41">
        <v>0</v>
      </c>
      <c r="P31" s="41">
        <v>0.59</v>
      </c>
      <c r="Q31" s="41">
        <v>9.32</v>
      </c>
      <c r="R31" s="38"/>
      <c r="S31" s="38"/>
      <c r="T31" s="38"/>
      <c r="U31" s="38"/>
    </row>
    <row r="32" spans="1:21" customFormat="1">
      <c r="A32" s="40" t="s">
        <v>396</v>
      </c>
      <c r="B32" s="41">
        <v>8.7899999999999991</v>
      </c>
      <c r="C32" s="41">
        <v>15.88</v>
      </c>
      <c r="D32" s="41">
        <v>15.22</v>
      </c>
      <c r="E32" s="41">
        <v>6.79</v>
      </c>
      <c r="F32" s="41">
        <v>10.3</v>
      </c>
      <c r="G32" s="41">
        <v>61.07</v>
      </c>
      <c r="H32" s="41">
        <v>16.11</v>
      </c>
      <c r="I32" s="41">
        <v>12.66</v>
      </c>
      <c r="J32" s="41">
        <v>0.22</v>
      </c>
      <c r="K32" s="41">
        <v>232.79</v>
      </c>
      <c r="L32" s="41">
        <v>20.55</v>
      </c>
      <c r="M32" s="41">
        <v>33.82</v>
      </c>
      <c r="N32" s="41">
        <v>1.4</v>
      </c>
      <c r="O32" s="41">
        <v>0</v>
      </c>
      <c r="P32" s="41">
        <v>0.62</v>
      </c>
      <c r="Q32" s="41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2.11</v>
      </c>
      <c r="C34" s="18">
        <f t="shared" si="0"/>
        <v>14.86</v>
      </c>
      <c r="D34" s="18">
        <f t="shared" si="0"/>
        <v>12.33</v>
      </c>
      <c r="E34" s="18">
        <f t="shared" si="0"/>
        <v>4.3600000000000003</v>
      </c>
      <c r="F34" s="18">
        <f t="shared" si="0"/>
        <v>3.2</v>
      </c>
      <c r="G34" s="18">
        <f t="shared" si="0"/>
        <v>32.82</v>
      </c>
      <c r="H34" s="18">
        <f t="shared" si="0"/>
        <v>8.19</v>
      </c>
      <c r="I34" s="18">
        <f t="shared" si="0"/>
        <v>7.65</v>
      </c>
      <c r="J34" s="18">
        <f t="shared" si="0"/>
        <v>0.13</v>
      </c>
      <c r="K34" s="18">
        <f t="shared" si="0"/>
        <v>34.130000000000003</v>
      </c>
      <c r="L34" s="18">
        <f t="shared" si="0"/>
        <v>10.91</v>
      </c>
      <c r="M34" s="18">
        <f t="shared" si="0"/>
        <v>5.41</v>
      </c>
      <c r="N34" s="18">
        <f t="shared" si="0"/>
        <v>1.1000000000000001</v>
      </c>
      <c r="O34" s="18">
        <f t="shared" si="0"/>
        <v>0</v>
      </c>
      <c r="P34" s="18">
        <f t="shared" si="0"/>
        <v>0.35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35.31</v>
      </c>
      <c r="C35" s="3">
        <f t="shared" si="1"/>
        <v>31.72</v>
      </c>
      <c r="D35" s="3">
        <f t="shared" si="1"/>
        <v>37.89</v>
      </c>
      <c r="E35" s="3">
        <f t="shared" si="1"/>
        <v>14.83</v>
      </c>
      <c r="F35" s="3">
        <f t="shared" si="1"/>
        <v>16.059999999999999</v>
      </c>
      <c r="G35" s="3">
        <f t="shared" si="1"/>
        <v>130.4</v>
      </c>
      <c r="H35" s="3">
        <f t="shared" si="1"/>
        <v>62.91</v>
      </c>
      <c r="I35" s="3">
        <f t="shared" si="1"/>
        <v>17.64</v>
      </c>
      <c r="J35" s="3">
        <f t="shared" si="1"/>
        <v>1.24</v>
      </c>
      <c r="K35" s="3">
        <f t="shared" si="1"/>
        <v>330.34</v>
      </c>
      <c r="L35" s="3">
        <f t="shared" si="1"/>
        <v>20.55</v>
      </c>
      <c r="M35" s="3">
        <f t="shared" si="1"/>
        <v>33.82</v>
      </c>
      <c r="N35" s="3">
        <f t="shared" si="1"/>
        <v>606.4</v>
      </c>
      <c r="O35" s="3">
        <f t="shared" si="1"/>
        <v>0</v>
      </c>
      <c r="P35" s="3">
        <f t="shared" si="1"/>
        <v>1</v>
      </c>
      <c r="Q35" s="3">
        <f t="shared" si="1"/>
        <v>9.32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14.88</v>
      </c>
      <c r="C36" s="18">
        <f t="shared" si="2"/>
        <v>20.734166666666667</v>
      </c>
      <c r="D36" s="18">
        <f t="shared" si="2"/>
        <v>22.481666666666669</v>
      </c>
      <c r="E36" s="18">
        <f t="shared" si="2"/>
        <v>7.7574999999999994</v>
      </c>
      <c r="F36" s="18">
        <f t="shared" si="2"/>
        <v>7.1962500000000018</v>
      </c>
      <c r="G36" s="18">
        <f t="shared" si="2"/>
        <v>78.695217391304354</v>
      </c>
      <c r="H36" s="18">
        <f t="shared" si="2"/>
        <v>33.496956521739136</v>
      </c>
      <c r="I36" s="18">
        <f t="shared" si="2"/>
        <v>12.959583333333336</v>
      </c>
      <c r="J36" s="18">
        <f t="shared" si="2"/>
        <v>0.4941666666666667</v>
      </c>
      <c r="K36" s="18">
        <f t="shared" si="2"/>
        <v>149.60708333333335</v>
      </c>
      <c r="L36" s="18">
        <f t="shared" si="2"/>
        <v>17.314583333333335</v>
      </c>
      <c r="M36" s="18">
        <f t="shared" si="2"/>
        <v>22.383333333333336</v>
      </c>
      <c r="N36" s="18">
        <f t="shared" si="2"/>
        <v>146.66666666666666</v>
      </c>
      <c r="O36" s="18">
        <f t="shared" si="2"/>
        <v>0</v>
      </c>
      <c r="P36" s="18">
        <f t="shared" si="2"/>
        <v>0.6629166666666666</v>
      </c>
      <c r="Q36" s="18">
        <f t="shared" si="2"/>
        <v>9.319999999999995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11.879304986257477</v>
      </c>
      <c r="C37" s="18">
        <f t="shared" ref="C37:Q37" si="3">STDEV(C9:C32)</f>
        <v>5.0018926128161656</v>
      </c>
      <c r="D37" s="18">
        <f t="shared" si="3"/>
        <v>8.5239267674137054</v>
      </c>
      <c r="E37" s="18">
        <f t="shared" si="3"/>
        <v>2.3462944883554084</v>
      </c>
      <c r="F37" s="18">
        <f t="shared" si="3"/>
        <v>3.9771978474035299</v>
      </c>
      <c r="G37" s="18">
        <f t="shared" si="3"/>
        <v>33.263590506132729</v>
      </c>
      <c r="H37" s="18">
        <f t="shared" si="3"/>
        <v>21.602404629363615</v>
      </c>
      <c r="I37" s="18">
        <f t="shared" si="3"/>
        <v>3.4294130302260104</v>
      </c>
      <c r="J37" s="18">
        <f t="shared" si="3"/>
        <v>0.36527436581129058</v>
      </c>
      <c r="K37" s="18">
        <f t="shared" si="3"/>
        <v>88.151139008605483</v>
      </c>
      <c r="L37" s="18">
        <f t="shared" si="3"/>
        <v>2.7779864136623633</v>
      </c>
      <c r="M37" s="18">
        <f t="shared" si="3"/>
        <v>9.310096280577504</v>
      </c>
      <c r="N37" s="18">
        <f t="shared" si="3"/>
        <v>223.93194747835616</v>
      </c>
      <c r="O37" s="18">
        <f t="shared" si="3"/>
        <v>0</v>
      </c>
      <c r="P37" s="18">
        <f t="shared" si="3"/>
        <v>0.20931522237725722</v>
      </c>
      <c r="Q37" s="18">
        <f t="shared" si="3"/>
        <v>5.4436872977907584E-15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>COUNT(G9:G32)+1</f>
        <v>24</v>
      </c>
      <c r="H38" s="34">
        <f>COUNT(H9:H32)+1</f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96"/>
  <sheetViews>
    <sheetView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R38" sqref="R38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15/11/2025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397</v>
      </c>
      <c r="B9" s="41">
        <v>9.81</v>
      </c>
      <c r="C9" s="41">
        <v>14.99</v>
      </c>
      <c r="D9" s="41">
        <v>15.57</v>
      </c>
      <c r="E9" s="41">
        <v>7.75</v>
      </c>
      <c r="F9" s="27" t="s">
        <v>8</v>
      </c>
      <c r="G9" s="41">
        <v>58.16</v>
      </c>
      <c r="H9" s="41">
        <v>18.68</v>
      </c>
      <c r="I9" s="41">
        <v>14.09</v>
      </c>
      <c r="J9" s="41">
        <v>0.34</v>
      </c>
      <c r="K9" s="41">
        <v>197.03</v>
      </c>
      <c r="L9" s="41">
        <v>17.36</v>
      </c>
      <c r="M9" s="41">
        <v>25.88</v>
      </c>
      <c r="N9" s="41">
        <v>1.2</v>
      </c>
      <c r="O9" s="41">
        <v>0</v>
      </c>
      <c r="P9" s="41">
        <v>0.68</v>
      </c>
      <c r="Q9" s="41">
        <v>9.32</v>
      </c>
      <c r="R9" s="38"/>
      <c r="S9" s="38"/>
      <c r="T9" s="38"/>
      <c r="U9" s="38"/>
    </row>
    <row r="10" spans="1:21" customFormat="1">
      <c r="A10" s="40" t="s">
        <v>398</v>
      </c>
      <c r="B10" s="41">
        <v>11.49</v>
      </c>
      <c r="C10" s="41">
        <v>15.87</v>
      </c>
      <c r="D10" s="41">
        <v>17.510000000000002</v>
      </c>
      <c r="E10" s="41">
        <v>7.82</v>
      </c>
      <c r="F10" s="27" t="s">
        <v>8</v>
      </c>
      <c r="G10" s="41">
        <v>58.16</v>
      </c>
      <c r="H10" s="41">
        <v>18.68</v>
      </c>
      <c r="I10" s="41">
        <v>15.18</v>
      </c>
      <c r="J10" s="41">
        <v>0.36</v>
      </c>
      <c r="K10" s="41">
        <v>187.2</v>
      </c>
      <c r="L10" s="41">
        <v>18.75</v>
      </c>
      <c r="M10" s="41">
        <v>29.33</v>
      </c>
      <c r="N10" s="41">
        <v>1.6</v>
      </c>
      <c r="O10" s="41">
        <v>0</v>
      </c>
      <c r="P10" s="41">
        <v>0.71</v>
      </c>
      <c r="Q10" s="41">
        <v>9.32</v>
      </c>
      <c r="R10" s="38"/>
      <c r="S10" s="38"/>
      <c r="T10" s="38"/>
      <c r="U10" s="38"/>
    </row>
    <row r="11" spans="1:21" customFormat="1">
      <c r="A11" s="40" t="s">
        <v>399</v>
      </c>
      <c r="B11" s="41">
        <v>13.05</v>
      </c>
      <c r="C11" s="41">
        <v>16.23</v>
      </c>
      <c r="D11" s="41">
        <v>18.920000000000002</v>
      </c>
      <c r="E11" s="41">
        <v>5.62</v>
      </c>
      <c r="F11" s="27" t="s">
        <v>8</v>
      </c>
      <c r="G11" s="41">
        <v>53.8</v>
      </c>
      <c r="H11" s="41">
        <v>17.7</v>
      </c>
      <c r="I11" s="41">
        <v>14.83</v>
      </c>
      <c r="J11" s="41">
        <v>0.16</v>
      </c>
      <c r="K11" s="41">
        <v>188.02</v>
      </c>
      <c r="L11" s="41">
        <v>17.170000000000002</v>
      </c>
      <c r="M11" s="41">
        <v>25.32</v>
      </c>
      <c r="N11" s="41">
        <v>1.4</v>
      </c>
      <c r="O11" s="41">
        <v>0</v>
      </c>
      <c r="P11" s="41">
        <v>0.7</v>
      </c>
      <c r="Q11" s="41">
        <v>9.32</v>
      </c>
      <c r="R11" s="38"/>
      <c r="S11" s="38"/>
      <c r="T11" s="38"/>
      <c r="U11" s="38"/>
    </row>
    <row r="12" spans="1:21" customFormat="1">
      <c r="A12" s="40" t="s">
        <v>400</v>
      </c>
      <c r="B12" s="41">
        <v>16.239999999999998</v>
      </c>
      <c r="C12" s="41">
        <v>16.29</v>
      </c>
      <c r="D12" s="41">
        <v>21.53</v>
      </c>
      <c r="E12" s="41">
        <v>5.34</v>
      </c>
      <c r="F12" s="27" t="s">
        <v>8</v>
      </c>
      <c r="G12" s="41">
        <v>52.65</v>
      </c>
      <c r="H12" s="41">
        <v>16.84</v>
      </c>
      <c r="I12" s="41">
        <v>14.32</v>
      </c>
      <c r="J12" s="41">
        <v>0.12</v>
      </c>
      <c r="K12" s="41">
        <v>205.45</v>
      </c>
      <c r="L12" s="41">
        <v>18.7</v>
      </c>
      <c r="M12" s="41">
        <v>29.19</v>
      </c>
      <c r="N12" s="41">
        <v>1.2</v>
      </c>
      <c r="O12" s="41">
        <v>0</v>
      </c>
      <c r="P12" s="41">
        <v>0.68</v>
      </c>
      <c r="Q12" s="41">
        <v>9.32</v>
      </c>
      <c r="R12" s="38"/>
      <c r="S12" s="38"/>
      <c r="T12" s="38"/>
      <c r="U12" s="38"/>
    </row>
    <row r="13" spans="1:21" customFormat="1">
      <c r="A13" s="40" t="s">
        <v>401</v>
      </c>
      <c r="B13" s="41">
        <v>17.95</v>
      </c>
      <c r="C13" s="41">
        <v>16.399999999999999</v>
      </c>
      <c r="D13" s="41">
        <v>22.9</v>
      </c>
      <c r="E13" s="41">
        <v>5.26</v>
      </c>
      <c r="F13" s="27" t="s">
        <v>8</v>
      </c>
      <c r="G13" s="41">
        <v>48.87</v>
      </c>
      <c r="H13" s="41">
        <v>16.09</v>
      </c>
      <c r="I13" s="41">
        <v>13.83</v>
      </c>
      <c r="J13" s="41">
        <v>0.2</v>
      </c>
      <c r="K13" s="41">
        <v>197.89</v>
      </c>
      <c r="L13" s="41">
        <v>17.98</v>
      </c>
      <c r="M13" s="41">
        <v>27.38</v>
      </c>
      <c r="N13" s="41">
        <v>1.2</v>
      </c>
      <c r="O13" s="41">
        <v>0</v>
      </c>
      <c r="P13" s="41">
        <v>0.67</v>
      </c>
      <c r="Q13" s="41">
        <v>9.32</v>
      </c>
      <c r="R13" s="38"/>
      <c r="S13" s="38"/>
      <c r="T13" s="38"/>
      <c r="U13" s="38"/>
    </row>
    <row r="14" spans="1:21" customFormat="1">
      <c r="A14" s="40" t="s">
        <v>402</v>
      </c>
      <c r="B14" s="41">
        <v>18.690000000000001</v>
      </c>
      <c r="C14" s="41">
        <v>16.329999999999998</v>
      </c>
      <c r="D14" s="41">
        <v>23.48</v>
      </c>
      <c r="E14" s="41">
        <v>5.0999999999999996</v>
      </c>
      <c r="F14" s="27" t="s">
        <v>8</v>
      </c>
      <c r="G14" s="41">
        <v>48.87</v>
      </c>
      <c r="H14" s="41">
        <v>16.09</v>
      </c>
      <c r="I14" s="41">
        <v>13.56</v>
      </c>
      <c r="J14" s="41">
        <v>0.16</v>
      </c>
      <c r="K14" s="41">
        <v>232.47</v>
      </c>
      <c r="L14" s="41">
        <v>20.81</v>
      </c>
      <c r="M14" s="41">
        <v>34.450000000000003</v>
      </c>
      <c r="N14" s="41">
        <v>1.4</v>
      </c>
      <c r="O14" s="41">
        <v>0</v>
      </c>
      <c r="P14" s="41">
        <v>0.67</v>
      </c>
      <c r="Q14" s="41">
        <v>9.32</v>
      </c>
      <c r="R14" s="38"/>
      <c r="S14" s="38"/>
      <c r="T14" s="38"/>
      <c r="U14" s="38"/>
    </row>
    <row r="15" spans="1:21" customFormat="1">
      <c r="A15" s="40" t="s">
        <v>403</v>
      </c>
      <c r="B15" s="41">
        <v>18.91</v>
      </c>
      <c r="C15" s="41">
        <v>15.74</v>
      </c>
      <c r="D15" s="41">
        <v>23.39</v>
      </c>
      <c r="E15" s="41">
        <v>5.33</v>
      </c>
      <c r="F15" s="27" t="s">
        <v>8</v>
      </c>
      <c r="G15" s="41">
        <v>46.66</v>
      </c>
      <c r="H15" s="41">
        <v>16.059999999999999</v>
      </c>
      <c r="I15" s="41">
        <v>13.71</v>
      </c>
      <c r="J15" s="41">
        <v>0.15</v>
      </c>
      <c r="K15" s="41">
        <v>214.72</v>
      </c>
      <c r="L15" s="41">
        <v>19.079999999999998</v>
      </c>
      <c r="M15" s="41">
        <v>29.95</v>
      </c>
      <c r="N15" s="41">
        <v>30.6</v>
      </c>
      <c r="O15" s="41">
        <v>0</v>
      </c>
      <c r="P15" s="41">
        <v>0.67</v>
      </c>
      <c r="Q15" s="41">
        <v>9.32</v>
      </c>
      <c r="R15" s="38"/>
      <c r="S15" s="38"/>
      <c r="T15" s="38"/>
      <c r="U15" s="38"/>
    </row>
    <row r="16" spans="1:21" customFormat="1">
      <c r="A16" s="40" t="s">
        <v>404</v>
      </c>
      <c r="B16" s="41">
        <v>19.28</v>
      </c>
      <c r="C16" s="41">
        <v>16.850000000000001</v>
      </c>
      <c r="D16" s="41">
        <v>24.05</v>
      </c>
      <c r="E16" s="41">
        <v>5.47</v>
      </c>
      <c r="F16" s="27" t="s">
        <v>8</v>
      </c>
      <c r="G16" s="41">
        <v>51.61</v>
      </c>
      <c r="H16" s="41">
        <v>17</v>
      </c>
      <c r="I16" s="41">
        <v>13.76</v>
      </c>
      <c r="J16" s="41">
        <v>0.44</v>
      </c>
      <c r="K16" s="41">
        <v>65.67</v>
      </c>
      <c r="L16" s="41">
        <v>12.58</v>
      </c>
      <c r="M16" s="41">
        <v>11.92</v>
      </c>
      <c r="N16" s="41">
        <v>168</v>
      </c>
      <c r="O16" s="41">
        <v>0</v>
      </c>
      <c r="P16" s="41">
        <v>0.69</v>
      </c>
      <c r="Q16" s="41">
        <v>9.32</v>
      </c>
      <c r="R16" s="38"/>
      <c r="S16" s="38"/>
      <c r="T16" s="38"/>
      <c r="U16" s="38"/>
    </row>
    <row r="17" spans="1:21" customFormat="1">
      <c r="A17" s="40" t="s">
        <v>405</v>
      </c>
      <c r="B17" s="41">
        <v>18.399999999999999</v>
      </c>
      <c r="C17" s="41">
        <v>18.32</v>
      </c>
      <c r="D17" s="41">
        <v>23.81</v>
      </c>
      <c r="E17" s="41">
        <v>5.63</v>
      </c>
      <c r="F17" s="27" t="s">
        <v>8</v>
      </c>
      <c r="G17" s="41">
        <v>52.43</v>
      </c>
      <c r="H17" s="41">
        <v>17.39</v>
      </c>
      <c r="I17" s="41">
        <v>13.8</v>
      </c>
      <c r="J17" s="41">
        <v>0.82</v>
      </c>
      <c r="K17" s="41">
        <v>59.32</v>
      </c>
      <c r="L17" s="41">
        <v>11.6</v>
      </c>
      <c r="M17" s="41">
        <v>3.93</v>
      </c>
      <c r="N17" s="41">
        <v>325.89999999999998</v>
      </c>
      <c r="O17" s="41">
        <v>0</v>
      </c>
      <c r="P17" s="41">
        <v>0.7</v>
      </c>
      <c r="Q17" s="41">
        <v>9.32</v>
      </c>
      <c r="R17" s="38"/>
      <c r="S17" s="38"/>
      <c r="T17" s="38"/>
      <c r="U17" s="38"/>
    </row>
    <row r="18" spans="1:21" customFormat="1">
      <c r="A18" s="40" t="s">
        <v>406</v>
      </c>
      <c r="B18" s="41">
        <v>15.04</v>
      </c>
      <c r="C18" s="41">
        <v>20.079999999999998</v>
      </c>
      <c r="D18" s="41">
        <v>21.9</v>
      </c>
      <c r="E18" s="41">
        <v>5.88</v>
      </c>
      <c r="F18" s="27" t="s">
        <v>8</v>
      </c>
      <c r="G18" s="41">
        <v>55.57</v>
      </c>
      <c r="H18" s="41">
        <v>17.39</v>
      </c>
      <c r="I18" s="41">
        <v>13.8</v>
      </c>
      <c r="J18" s="41">
        <v>1.2</v>
      </c>
      <c r="K18" s="41">
        <v>45.01</v>
      </c>
      <c r="L18" s="41">
        <v>12.1</v>
      </c>
      <c r="M18" s="41">
        <v>5.04</v>
      </c>
      <c r="N18" s="41">
        <v>397.4</v>
      </c>
      <c r="O18" s="41">
        <v>0</v>
      </c>
      <c r="P18" s="41">
        <v>0.69</v>
      </c>
      <c r="Q18" s="41">
        <v>9.32</v>
      </c>
      <c r="R18" s="38"/>
      <c r="S18" s="38"/>
      <c r="T18" s="38"/>
      <c r="U18" s="38"/>
    </row>
    <row r="19" spans="1:21" customFormat="1">
      <c r="A19" s="40" t="s">
        <v>407</v>
      </c>
      <c r="B19" s="41">
        <v>11.02</v>
      </c>
      <c r="C19" s="41">
        <v>20.3</v>
      </c>
      <c r="D19" s="41">
        <v>19.39</v>
      </c>
      <c r="E19" s="41">
        <v>7.01</v>
      </c>
      <c r="F19" s="27" t="s">
        <v>8</v>
      </c>
      <c r="G19" s="41">
        <v>55.57</v>
      </c>
      <c r="H19" s="41">
        <v>16.82</v>
      </c>
      <c r="I19" s="41">
        <v>13.3</v>
      </c>
      <c r="J19" s="41">
        <v>1.1000000000000001</v>
      </c>
      <c r="K19" s="41">
        <v>45.77</v>
      </c>
      <c r="L19" s="41">
        <v>15.09</v>
      </c>
      <c r="M19" s="41">
        <v>7.4</v>
      </c>
      <c r="N19" s="41">
        <v>552.4</v>
      </c>
      <c r="O19" s="41">
        <v>0</v>
      </c>
      <c r="P19" s="41">
        <v>0.65</v>
      </c>
      <c r="Q19" s="41">
        <v>9.32</v>
      </c>
      <c r="R19" s="38"/>
      <c r="S19" s="38"/>
      <c r="T19" s="38"/>
      <c r="U19" s="38"/>
    </row>
    <row r="20" spans="1:21" customFormat="1">
      <c r="A20" s="40" t="s">
        <v>408</v>
      </c>
      <c r="B20" s="41">
        <v>6.22</v>
      </c>
      <c r="C20" s="41">
        <v>20.260000000000002</v>
      </c>
      <c r="D20" s="41">
        <v>15.56</v>
      </c>
      <c r="E20" s="41">
        <v>7.77</v>
      </c>
      <c r="F20" s="27" t="s">
        <v>8</v>
      </c>
      <c r="G20" s="41">
        <v>50.6</v>
      </c>
      <c r="H20" s="41">
        <v>15.38</v>
      </c>
      <c r="I20" s="41">
        <v>12.45</v>
      </c>
      <c r="J20" s="41">
        <v>1.45</v>
      </c>
      <c r="K20" s="41">
        <v>83.77</v>
      </c>
      <c r="L20" s="41">
        <v>18.309999999999999</v>
      </c>
      <c r="M20" s="41">
        <v>13.69</v>
      </c>
      <c r="N20" s="41">
        <v>608.9</v>
      </c>
      <c r="O20" s="41">
        <v>0</v>
      </c>
      <c r="P20" s="41">
        <v>0.61</v>
      </c>
      <c r="Q20" s="41">
        <v>9.32</v>
      </c>
      <c r="R20" s="38"/>
      <c r="S20" s="38"/>
      <c r="T20" s="38"/>
      <c r="U20" s="38"/>
    </row>
    <row r="21" spans="1:21" customFormat="1">
      <c r="A21" s="40" t="s">
        <v>409</v>
      </c>
      <c r="B21" s="41">
        <v>3.38</v>
      </c>
      <c r="C21" s="41">
        <v>18.82</v>
      </c>
      <c r="D21" s="41">
        <v>12.54</v>
      </c>
      <c r="E21" s="41">
        <v>8.1</v>
      </c>
      <c r="F21" s="27" t="s">
        <v>8</v>
      </c>
      <c r="G21" s="41">
        <v>43.26</v>
      </c>
      <c r="H21" s="41">
        <v>12.98</v>
      </c>
      <c r="I21" s="41">
        <v>11.17</v>
      </c>
      <c r="J21" s="41">
        <v>0.79</v>
      </c>
      <c r="K21" s="41">
        <v>74.92</v>
      </c>
      <c r="L21" s="41">
        <v>17.510000000000002</v>
      </c>
      <c r="M21" s="41">
        <v>13.15</v>
      </c>
      <c r="N21" s="41">
        <v>588.70000000000005</v>
      </c>
      <c r="O21" s="41">
        <v>0</v>
      </c>
      <c r="P21" s="41">
        <v>0.59</v>
      </c>
      <c r="Q21" s="41">
        <v>9.32</v>
      </c>
      <c r="R21" s="38"/>
      <c r="S21" s="38"/>
      <c r="T21" s="38"/>
      <c r="U21" s="38"/>
    </row>
    <row r="22" spans="1:21" customFormat="1">
      <c r="A22" s="40" t="s">
        <v>410</v>
      </c>
      <c r="B22" s="41">
        <v>2.61</v>
      </c>
      <c r="C22" s="41">
        <v>17.010000000000002</v>
      </c>
      <c r="D22" s="41">
        <v>10.98</v>
      </c>
      <c r="E22" s="41">
        <v>8.2899999999999991</v>
      </c>
      <c r="F22" s="27" t="s">
        <v>8</v>
      </c>
      <c r="G22" s="41">
        <v>37.69</v>
      </c>
      <c r="H22" s="41">
        <v>11.73</v>
      </c>
      <c r="I22" s="41">
        <v>10.43</v>
      </c>
      <c r="J22" s="41">
        <v>0.61</v>
      </c>
      <c r="K22" s="41">
        <v>59.9</v>
      </c>
      <c r="L22" s="41">
        <v>18.899999999999999</v>
      </c>
      <c r="M22" s="41">
        <v>20.77</v>
      </c>
      <c r="N22" s="41">
        <v>499.4</v>
      </c>
      <c r="O22" s="41">
        <v>0</v>
      </c>
      <c r="P22" s="41">
        <v>0.55000000000000004</v>
      </c>
      <c r="Q22" s="41">
        <v>9.32</v>
      </c>
      <c r="R22" s="38"/>
      <c r="S22" s="38"/>
      <c r="T22" s="38"/>
      <c r="U22" s="38"/>
    </row>
    <row r="23" spans="1:21" customFormat="1">
      <c r="A23" s="40" t="s">
        <v>411</v>
      </c>
      <c r="B23" s="41">
        <v>2.48</v>
      </c>
      <c r="C23" s="41">
        <v>16.97</v>
      </c>
      <c r="D23" s="41">
        <v>10.84</v>
      </c>
      <c r="E23" s="41">
        <v>9.59</v>
      </c>
      <c r="F23" s="27" t="s">
        <v>8</v>
      </c>
      <c r="G23" s="41">
        <v>35.47</v>
      </c>
      <c r="H23" s="41">
        <v>11.21</v>
      </c>
      <c r="I23" s="41">
        <v>9.86</v>
      </c>
      <c r="J23" s="41">
        <v>0.56999999999999995</v>
      </c>
      <c r="K23" s="41">
        <v>119.48</v>
      </c>
      <c r="L23" s="41">
        <v>19.760000000000002</v>
      </c>
      <c r="M23" s="41">
        <v>28.03</v>
      </c>
      <c r="N23" s="41">
        <v>124.5</v>
      </c>
      <c r="O23" s="41">
        <v>0</v>
      </c>
      <c r="P23" s="41">
        <v>0.47</v>
      </c>
      <c r="Q23" s="41">
        <v>9.32</v>
      </c>
      <c r="R23" s="38"/>
      <c r="S23" s="38"/>
      <c r="T23" s="38"/>
      <c r="U23" s="38"/>
    </row>
    <row r="24" spans="1:21" customFormat="1">
      <c r="A24" s="40" t="s">
        <v>412</v>
      </c>
      <c r="B24" s="41">
        <v>2.38</v>
      </c>
      <c r="C24" s="41">
        <v>16.78</v>
      </c>
      <c r="D24" s="41">
        <v>10.64</v>
      </c>
      <c r="E24" s="41">
        <v>11.98</v>
      </c>
      <c r="F24" s="27" t="s">
        <v>8</v>
      </c>
      <c r="G24" s="41">
        <v>36.28</v>
      </c>
      <c r="H24" s="41">
        <v>10.47</v>
      </c>
      <c r="I24" s="41">
        <v>9.3699999999999992</v>
      </c>
      <c r="J24" s="41">
        <v>0.63</v>
      </c>
      <c r="K24" s="41">
        <v>80.94</v>
      </c>
      <c r="L24" s="41">
        <v>12.8</v>
      </c>
      <c r="M24" s="41">
        <v>12.26</v>
      </c>
      <c r="N24" s="41">
        <v>82.2</v>
      </c>
      <c r="O24" s="41">
        <v>0</v>
      </c>
      <c r="P24" s="41">
        <v>0.45</v>
      </c>
      <c r="Q24" s="41">
        <v>9.32</v>
      </c>
      <c r="R24" s="38"/>
      <c r="S24" s="38"/>
      <c r="T24" s="38"/>
      <c r="U24" s="38"/>
    </row>
    <row r="25" spans="1:21" customFormat="1">
      <c r="A25" s="40" t="s">
        <v>413</v>
      </c>
      <c r="B25" s="41">
        <v>2.38</v>
      </c>
      <c r="C25" s="41">
        <v>16.78</v>
      </c>
      <c r="D25" s="41">
        <v>10.68</v>
      </c>
      <c r="E25" s="41">
        <v>8.69</v>
      </c>
      <c r="F25" s="27" t="s">
        <v>8</v>
      </c>
      <c r="G25" s="41">
        <v>36.28</v>
      </c>
      <c r="H25" s="41">
        <v>10.47</v>
      </c>
      <c r="I25" s="41">
        <v>9.01</v>
      </c>
      <c r="J25" s="41">
        <v>0.37</v>
      </c>
      <c r="K25" s="41">
        <v>156.47999999999999</v>
      </c>
      <c r="L25" s="41">
        <v>14.82</v>
      </c>
      <c r="M25" s="41">
        <v>19.18</v>
      </c>
      <c r="N25" s="41">
        <v>43</v>
      </c>
      <c r="O25" s="41">
        <v>0</v>
      </c>
      <c r="P25" s="41">
        <v>0.44</v>
      </c>
      <c r="Q25" s="41">
        <v>9.32</v>
      </c>
      <c r="R25" s="38"/>
      <c r="S25" s="38"/>
      <c r="T25" s="38"/>
      <c r="U25" s="38"/>
    </row>
    <row r="26" spans="1:21" customFormat="1">
      <c r="A26" s="40" t="s">
        <v>414</v>
      </c>
      <c r="B26" s="41">
        <v>2.66</v>
      </c>
      <c r="C26" s="41">
        <v>16.93</v>
      </c>
      <c r="D26" s="41">
        <v>10.98</v>
      </c>
      <c r="E26" s="41">
        <v>7.09</v>
      </c>
      <c r="F26" s="27" t="s">
        <v>8</v>
      </c>
      <c r="G26" s="41">
        <v>41.74</v>
      </c>
      <c r="H26" s="41">
        <v>11.65</v>
      </c>
      <c r="I26" s="41">
        <v>9.0500000000000007</v>
      </c>
      <c r="J26" s="41">
        <v>0.31</v>
      </c>
      <c r="K26" s="41">
        <v>164.7</v>
      </c>
      <c r="L26" s="41">
        <v>15.68</v>
      </c>
      <c r="M26" s="41">
        <v>21.49</v>
      </c>
      <c r="N26" s="41">
        <v>8</v>
      </c>
      <c r="O26" s="41">
        <v>0</v>
      </c>
      <c r="P26" s="41">
        <v>0.43</v>
      </c>
      <c r="Q26" s="41">
        <v>9.32</v>
      </c>
      <c r="R26" s="38"/>
      <c r="S26" s="38"/>
      <c r="T26" s="38"/>
      <c r="U26" s="38"/>
    </row>
    <row r="27" spans="1:21" customFormat="1">
      <c r="A27" s="40" t="s">
        <v>415</v>
      </c>
      <c r="B27" s="41">
        <v>4.1500000000000004</v>
      </c>
      <c r="C27" s="41">
        <v>18.12</v>
      </c>
      <c r="D27" s="41">
        <v>12.8</v>
      </c>
      <c r="E27" s="41">
        <v>6.35</v>
      </c>
      <c r="F27" s="27" t="s">
        <v>8</v>
      </c>
      <c r="G27" s="41">
        <v>51.52</v>
      </c>
      <c r="H27" s="41">
        <v>12.99</v>
      </c>
      <c r="I27" s="41">
        <v>10.53</v>
      </c>
      <c r="J27" s="41">
        <v>0.31</v>
      </c>
      <c r="K27" s="41">
        <v>164.55</v>
      </c>
      <c r="L27" s="41">
        <v>15.64</v>
      </c>
      <c r="M27" s="41">
        <v>21.58</v>
      </c>
      <c r="N27" s="41">
        <v>1.7</v>
      </c>
      <c r="O27" s="41">
        <v>0</v>
      </c>
      <c r="P27" s="41">
        <v>0.49</v>
      </c>
      <c r="Q27" s="41">
        <v>9.32</v>
      </c>
      <c r="R27" s="38"/>
      <c r="S27" s="38"/>
      <c r="T27" s="38"/>
      <c r="U27" s="38"/>
    </row>
    <row r="28" spans="1:21" customFormat="1">
      <c r="A28" s="40" t="s">
        <v>416</v>
      </c>
      <c r="B28" s="41">
        <v>6.26</v>
      </c>
      <c r="C28" s="41">
        <v>18.77</v>
      </c>
      <c r="D28" s="41">
        <v>14.78</v>
      </c>
      <c r="E28" s="41">
        <v>6.4</v>
      </c>
      <c r="F28" s="27" t="s">
        <v>8</v>
      </c>
      <c r="G28" s="41">
        <v>55.16</v>
      </c>
      <c r="H28" s="41">
        <v>14.18</v>
      </c>
      <c r="I28" s="41">
        <v>12.05</v>
      </c>
      <c r="J28" s="41">
        <v>0.28000000000000003</v>
      </c>
      <c r="K28" s="41">
        <v>186.03</v>
      </c>
      <c r="L28" s="41">
        <v>17.260000000000002</v>
      </c>
      <c r="M28" s="41">
        <v>25.64</v>
      </c>
      <c r="N28" s="41">
        <v>1.4</v>
      </c>
      <c r="O28" s="41">
        <v>0</v>
      </c>
      <c r="P28" s="41">
        <v>0.59</v>
      </c>
      <c r="Q28" s="41">
        <v>9.32</v>
      </c>
      <c r="R28" s="38"/>
      <c r="S28" s="38"/>
      <c r="T28" s="38"/>
      <c r="U28" s="38"/>
    </row>
    <row r="29" spans="1:21" customFormat="1">
      <c r="A29" s="40" t="s">
        <v>417</v>
      </c>
      <c r="B29" s="41">
        <v>8.89</v>
      </c>
      <c r="C29" s="41">
        <v>18.48</v>
      </c>
      <c r="D29" s="41">
        <v>16.78</v>
      </c>
      <c r="E29" s="41">
        <v>6.67</v>
      </c>
      <c r="F29" s="27" t="s">
        <v>8</v>
      </c>
      <c r="G29" s="41">
        <v>55.16</v>
      </c>
      <c r="H29" s="41">
        <v>14.46</v>
      </c>
      <c r="I29" s="41">
        <v>13.37</v>
      </c>
      <c r="J29" s="41">
        <v>0.22</v>
      </c>
      <c r="K29" s="41">
        <v>193.81</v>
      </c>
      <c r="L29" s="41">
        <v>17.79</v>
      </c>
      <c r="M29" s="41">
        <v>26.98</v>
      </c>
      <c r="N29" s="41">
        <v>1.4</v>
      </c>
      <c r="O29" s="41">
        <v>0</v>
      </c>
      <c r="P29" s="41">
        <v>0.69</v>
      </c>
      <c r="Q29" s="41">
        <v>9.32</v>
      </c>
      <c r="R29" s="38"/>
      <c r="S29" s="38"/>
      <c r="T29" s="38"/>
      <c r="U29" s="38"/>
    </row>
    <row r="30" spans="1:21" customFormat="1">
      <c r="A30" s="40" t="s">
        <v>418</v>
      </c>
      <c r="B30" s="41">
        <v>11.87</v>
      </c>
      <c r="C30" s="41">
        <v>18.68</v>
      </c>
      <c r="D30" s="41">
        <v>18.73</v>
      </c>
      <c r="E30" s="41">
        <v>6.79</v>
      </c>
      <c r="F30" s="27" t="s">
        <v>8</v>
      </c>
      <c r="G30" s="41">
        <v>58.91</v>
      </c>
      <c r="H30" s="41">
        <v>14.79</v>
      </c>
      <c r="I30" s="41">
        <v>14.01</v>
      </c>
      <c r="J30" s="41">
        <v>0.26</v>
      </c>
      <c r="K30" s="41">
        <v>212.38</v>
      </c>
      <c r="L30" s="41">
        <v>19.010000000000002</v>
      </c>
      <c r="M30" s="41">
        <v>30.04</v>
      </c>
      <c r="N30" s="41">
        <v>1.5</v>
      </c>
      <c r="O30" s="41">
        <v>0</v>
      </c>
      <c r="P30" s="41">
        <v>0.75</v>
      </c>
      <c r="Q30" s="41">
        <v>10.92</v>
      </c>
      <c r="R30" s="38"/>
      <c r="S30" s="38"/>
      <c r="T30" s="38"/>
      <c r="U30" s="38"/>
    </row>
    <row r="31" spans="1:21" customFormat="1">
      <c r="A31" s="40" t="s">
        <v>419</v>
      </c>
      <c r="B31" s="41">
        <v>13.82</v>
      </c>
      <c r="C31" s="41">
        <v>17.190000000000001</v>
      </c>
      <c r="D31" s="41">
        <v>20.02</v>
      </c>
      <c r="E31" s="41">
        <v>6.4</v>
      </c>
      <c r="F31" s="27" t="s">
        <v>8</v>
      </c>
      <c r="G31" s="41">
        <v>59.31</v>
      </c>
      <c r="H31" s="41">
        <v>15.71</v>
      </c>
      <c r="I31" s="41">
        <v>14</v>
      </c>
      <c r="J31" s="41">
        <v>0.18</v>
      </c>
      <c r="K31" s="41">
        <v>211.27</v>
      </c>
      <c r="L31" s="41">
        <v>18.899999999999999</v>
      </c>
      <c r="M31" s="41">
        <v>29.72</v>
      </c>
      <c r="N31" s="41">
        <v>1.2</v>
      </c>
      <c r="O31" s="41">
        <v>0</v>
      </c>
      <c r="P31" s="41">
        <v>0.77</v>
      </c>
      <c r="Q31" s="41">
        <v>13.89</v>
      </c>
      <c r="R31" s="38"/>
      <c r="S31" s="38"/>
      <c r="T31" s="38"/>
      <c r="U31" s="38"/>
    </row>
    <row r="32" spans="1:21" customFormat="1">
      <c r="A32" s="40" t="s">
        <v>420</v>
      </c>
      <c r="B32" s="41">
        <v>22.6</v>
      </c>
      <c r="C32" s="41">
        <v>18.41</v>
      </c>
      <c r="D32" s="41">
        <v>27.74</v>
      </c>
      <c r="E32" s="41">
        <v>6.41</v>
      </c>
      <c r="F32" s="27" t="s">
        <v>8</v>
      </c>
      <c r="G32" s="41">
        <v>61.11</v>
      </c>
      <c r="H32" s="41">
        <v>16.510000000000002</v>
      </c>
      <c r="I32" s="41">
        <v>14.24</v>
      </c>
      <c r="J32" s="41">
        <v>0.17</v>
      </c>
      <c r="K32" s="41">
        <v>225.02</v>
      </c>
      <c r="L32" s="41">
        <v>19.79</v>
      </c>
      <c r="M32" s="41">
        <v>31.96</v>
      </c>
      <c r="N32" s="41">
        <v>1.3</v>
      </c>
      <c r="O32" s="41">
        <v>0</v>
      </c>
      <c r="P32" s="41">
        <v>0.8</v>
      </c>
      <c r="Q32" s="41">
        <v>9.64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2.38</v>
      </c>
      <c r="C34" s="18">
        <f t="shared" si="0"/>
        <v>14.99</v>
      </c>
      <c r="D34" s="18">
        <f t="shared" si="0"/>
        <v>10.64</v>
      </c>
      <c r="E34" s="18">
        <f t="shared" si="0"/>
        <v>5.0999999999999996</v>
      </c>
      <c r="F34" s="18">
        <f t="shared" si="0"/>
        <v>0</v>
      </c>
      <c r="G34" s="18">
        <f t="shared" si="0"/>
        <v>35.47</v>
      </c>
      <c r="H34" s="18">
        <f t="shared" si="0"/>
        <v>10.47</v>
      </c>
      <c r="I34" s="18">
        <f t="shared" si="0"/>
        <v>9.01</v>
      </c>
      <c r="J34" s="18">
        <f t="shared" si="0"/>
        <v>0.12</v>
      </c>
      <c r="K34" s="18">
        <f t="shared" si="0"/>
        <v>45.01</v>
      </c>
      <c r="L34" s="18">
        <f t="shared" si="0"/>
        <v>11.6</v>
      </c>
      <c r="M34" s="18">
        <f t="shared" si="0"/>
        <v>3.93</v>
      </c>
      <c r="N34" s="18">
        <f t="shared" si="0"/>
        <v>1.2</v>
      </c>
      <c r="O34" s="18">
        <f t="shared" si="0"/>
        <v>0</v>
      </c>
      <c r="P34" s="18">
        <f t="shared" si="0"/>
        <v>0.43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22.6</v>
      </c>
      <c r="C35" s="3">
        <f t="shared" si="1"/>
        <v>20.3</v>
      </c>
      <c r="D35" s="3">
        <f t="shared" si="1"/>
        <v>27.74</v>
      </c>
      <c r="E35" s="3">
        <f t="shared" si="1"/>
        <v>11.98</v>
      </c>
      <c r="F35" s="3">
        <f t="shared" si="1"/>
        <v>0</v>
      </c>
      <c r="G35" s="3">
        <f t="shared" si="1"/>
        <v>61.11</v>
      </c>
      <c r="H35" s="3">
        <f t="shared" si="1"/>
        <v>18.68</v>
      </c>
      <c r="I35" s="3">
        <f t="shared" si="1"/>
        <v>15.18</v>
      </c>
      <c r="J35" s="3">
        <f t="shared" si="1"/>
        <v>1.45</v>
      </c>
      <c r="K35" s="3">
        <f t="shared" si="1"/>
        <v>232.47</v>
      </c>
      <c r="L35" s="3">
        <f t="shared" si="1"/>
        <v>20.81</v>
      </c>
      <c r="M35" s="3">
        <f t="shared" si="1"/>
        <v>34.450000000000003</v>
      </c>
      <c r="N35" s="3">
        <f t="shared" si="1"/>
        <v>608.9</v>
      </c>
      <c r="O35" s="3">
        <f t="shared" si="1"/>
        <v>0</v>
      </c>
      <c r="P35" s="3">
        <f t="shared" si="1"/>
        <v>0.8</v>
      </c>
      <c r="Q35" s="3">
        <f t="shared" si="1"/>
        <v>13.89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10.815833333333332</v>
      </c>
      <c r="C36" s="18">
        <f t="shared" si="2"/>
        <v>17.524999999999995</v>
      </c>
      <c r="D36" s="18">
        <f t="shared" si="2"/>
        <v>17.730000000000004</v>
      </c>
      <c r="E36" s="18">
        <f t="shared" si="2"/>
        <v>6.9475000000000007</v>
      </c>
      <c r="F36" s="18" t="e">
        <f t="shared" si="2"/>
        <v>#DIV/0!</v>
      </c>
      <c r="G36" s="18">
        <f t="shared" si="2"/>
        <v>50.201666666666661</v>
      </c>
      <c r="H36" s="18">
        <f t="shared" si="2"/>
        <v>15.052916666666667</v>
      </c>
      <c r="I36" s="18">
        <f t="shared" si="2"/>
        <v>12.655000000000001</v>
      </c>
      <c r="J36" s="18">
        <f t="shared" si="2"/>
        <v>0.46666666666666662</v>
      </c>
      <c r="K36" s="18">
        <f t="shared" si="2"/>
        <v>148.82500000000002</v>
      </c>
      <c r="L36" s="18">
        <f t="shared" si="2"/>
        <v>16.974583333333332</v>
      </c>
      <c r="M36" s="18">
        <f t="shared" si="2"/>
        <v>21.844999999999999</v>
      </c>
      <c r="N36" s="18">
        <f t="shared" si="2"/>
        <v>143.56249999999997</v>
      </c>
      <c r="O36" s="18">
        <f t="shared" si="2"/>
        <v>0</v>
      </c>
      <c r="P36" s="18">
        <f t="shared" si="2"/>
        <v>0.63083333333333336</v>
      </c>
      <c r="Q36" s="18">
        <f t="shared" si="2"/>
        <v>9.5904166666666626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6.5981571318233954</v>
      </c>
      <c r="C37" s="18">
        <f t="shared" ref="C37:Q37" si="3">STDEV(C9:C32)</f>
        <v>1.4715239069398949</v>
      </c>
      <c r="D37" s="18">
        <f t="shared" si="3"/>
        <v>5.1920390565958998</v>
      </c>
      <c r="E37" s="18">
        <f t="shared" si="3"/>
        <v>1.6179811628935201</v>
      </c>
      <c r="F37" s="18" t="e">
        <f t="shared" si="3"/>
        <v>#DIV/0!</v>
      </c>
      <c r="G37" s="18">
        <f t="shared" si="3"/>
        <v>7.901900523548651</v>
      </c>
      <c r="H37" s="18">
        <f t="shared" si="3"/>
        <v>2.5478729051072655</v>
      </c>
      <c r="I37" s="18">
        <f t="shared" si="3"/>
        <v>1.9464884770540851</v>
      </c>
      <c r="J37" s="18">
        <f t="shared" si="3"/>
        <v>0.3652237749614633</v>
      </c>
      <c r="K37" s="18">
        <f t="shared" si="3"/>
        <v>65.736663517665519</v>
      </c>
      <c r="L37" s="18">
        <f t="shared" si="3"/>
        <v>2.6173916308560665</v>
      </c>
      <c r="M37" s="18">
        <f t="shared" si="3"/>
        <v>8.985514913507723</v>
      </c>
      <c r="N37" s="18">
        <f t="shared" si="3"/>
        <v>218.1662146810566</v>
      </c>
      <c r="O37" s="18">
        <f t="shared" si="3"/>
        <v>0</v>
      </c>
      <c r="P37" s="18">
        <f t="shared" si="3"/>
        <v>0.10709267285725066</v>
      </c>
      <c r="Q37" s="18">
        <f t="shared" si="3"/>
        <v>0.97339155697407098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>COUNT(F9:F32)+24</f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96"/>
  <sheetViews>
    <sheetView zoomScale="85" zoomScaleNormal="85" workbookViewId="0">
      <pane xSplit="1" ySplit="8" topLeftCell="B31" activePane="bottomRight" state="frozen"/>
      <selection activeCell="G19" sqref="G19"/>
      <selection pane="topRight" activeCell="G19" sqref="G19"/>
      <selection pane="bottomLeft" activeCell="G19" sqref="G19"/>
      <selection pane="bottomRight" activeCell="F39" sqref="F3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16/11/2025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421</v>
      </c>
      <c r="B9" s="41">
        <v>27.14</v>
      </c>
      <c r="C9" s="41">
        <v>19.09</v>
      </c>
      <c r="D9" s="41">
        <v>31.74</v>
      </c>
      <c r="E9" s="41">
        <v>6.41</v>
      </c>
      <c r="F9" s="27" t="s">
        <v>8</v>
      </c>
      <c r="G9" s="41">
        <v>61.11</v>
      </c>
      <c r="H9" s="41">
        <v>17.39</v>
      </c>
      <c r="I9" s="41">
        <v>14.6</v>
      </c>
      <c r="J9" s="41">
        <v>0.21</v>
      </c>
      <c r="K9" s="41">
        <v>230.31</v>
      </c>
      <c r="L9" s="41">
        <v>19.96</v>
      </c>
      <c r="M9" s="41">
        <v>32.36</v>
      </c>
      <c r="N9" s="41">
        <v>1.3</v>
      </c>
      <c r="O9" s="41">
        <v>0</v>
      </c>
      <c r="P9" s="41">
        <v>0.82</v>
      </c>
      <c r="Q9" s="41">
        <v>9.32</v>
      </c>
      <c r="R9" s="38"/>
      <c r="S9" s="38"/>
      <c r="T9" s="38"/>
      <c r="U9" s="38"/>
    </row>
    <row r="10" spans="1:21" customFormat="1">
      <c r="A10" s="40" t="s">
        <v>422</v>
      </c>
      <c r="B10" s="41">
        <v>29.38</v>
      </c>
      <c r="C10" s="41">
        <v>19.53</v>
      </c>
      <c r="D10" s="41">
        <v>33.75</v>
      </c>
      <c r="E10" s="41">
        <v>6.39</v>
      </c>
      <c r="F10" s="27" t="s">
        <v>8</v>
      </c>
      <c r="G10" s="41">
        <v>60.86</v>
      </c>
      <c r="H10" s="41">
        <v>17.54</v>
      </c>
      <c r="I10" s="41">
        <v>15.21</v>
      </c>
      <c r="J10" s="41">
        <v>0.21</v>
      </c>
      <c r="K10" s="41">
        <v>177.64</v>
      </c>
      <c r="L10" s="41">
        <v>16.2</v>
      </c>
      <c r="M10" s="41">
        <v>22.95</v>
      </c>
      <c r="N10" s="41">
        <v>1.2</v>
      </c>
      <c r="O10" s="41">
        <v>0</v>
      </c>
      <c r="P10" s="41">
        <v>0.86</v>
      </c>
      <c r="Q10" s="41">
        <v>9.32</v>
      </c>
      <c r="R10" s="38"/>
      <c r="S10" s="38"/>
      <c r="T10" s="38"/>
      <c r="U10" s="38"/>
    </row>
    <row r="11" spans="1:21" customFormat="1">
      <c r="A11" s="40" t="s">
        <v>423</v>
      </c>
      <c r="B11" s="41">
        <v>28.88</v>
      </c>
      <c r="C11" s="41">
        <v>19.309999999999999</v>
      </c>
      <c r="D11" s="41">
        <v>33.25</v>
      </c>
      <c r="E11" s="41">
        <v>7.15</v>
      </c>
      <c r="F11" s="27" t="s">
        <v>8</v>
      </c>
      <c r="G11" s="41">
        <v>67.67</v>
      </c>
      <c r="H11" s="41">
        <v>18.72</v>
      </c>
      <c r="I11" s="41">
        <v>16.940000000000001</v>
      </c>
      <c r="J11" s="41">
        <v>0.28000000000000003</v>
      </c>
      <c r="K11" s="41">
        <v>50.98</v>
      </c>
      <c r="L11" s="41">
        <v>12.27</v>
      </c>
      <c r="M11" s="41">
        <v>12.9</v>
      </c>
      <c r="N11" s="41">
        <v>1.4</v>
      </c>
      <c r="O11" s="41">
        <v>0</v>
      </c>
      <c r="P11" s="41">
        <v>0.88</v>
      </c>
      <c r="Q11" s="41">
        <v>9.32</v>
      </c>
      <c r="R11" s="38"/>
      <c r="S11" s="38"/>
      <c r="T11" s="38"/>
      <c r="U11" s="38"/>
    </row>
    <row r="12" spans="1:21" customFormat="1">
      <c r="A12" s="40" t="s">
        <v>424</v>
      </c>
      <c r="B12" s="41">
        <v>26.12</v>
      </c>
      <c r="C12" s="41">
        <v>18.690000000000001</v>
      </c>
      <c r="D12" s="41">
        <v>30.71</v>
      </c>
      <c r="E12" s="41">
        <v>7.04</v>
      </c>
      <c r="F12" s="27" t="s">
        <v>8</v>
      </c>
      <c r="G12" s="41">
        <v>68.34</v>
      </c>
      <c r="H12" s="41">
        <v>18.72</v>
      </c>
      <c r="I12" s="41">
        <v>17.420000000000002</v>
      </c>
      <c r="J12" s="41">
        <v>0.45</v>
      </c>
      <c r="K12" s="41">
        <v>69.06</v>
      </c>
      <c r="L12" s="41">
        <v>9.84</v>
      </c>
      <c r="M12" s="41">
        <v>6.84</v>
      </c>
      <c r="N12" s="41">
        <v>1.4</v>
      </c>
      <c r="O12" s="41">
        <v>0</v>
      </c>
      <c r="P12" s="41">
        <v>0.88</v>
      </c>
      <c r="Q12" s="41">
        <v>9.3800000000000008</v>
      </c>
      <c r="R12" s="38"/>
      <c r="S12" s="38"/>
      <c r="T12" s="38"/>
      <c r="U12" s="38"/>
    </row>
    <row r="13" spans="1:21" customFormat="1">
      <c r="A13" s="40" t="s">
        <v>425</v>
      </c>
      <c r="B13" s="41">
        <v>22.83</v>
      </c>
      <c r="C13" s="41">
        <v>18.96</v>
      </c>
      <c r="D13" s="41">
        <v>28.17</v>
      </c>
      <c r="E13" s="41">
        <v>6.64</v>
      </c>
      <c r="F13" s="27" t="s">
        <v>8</v>
      </c>
      <c r="G13" s="41">
        <v>68.34</v>
      </c>
      <c r="H13" s="41">
        <v>18.579999999999998</v>
      </c>
      <c r="I13" s="41">
        <v>17.39</v>
      </c>
      <c r="J13" s="41">
        <v>0.3</v>
      </c>
      <c r="K13" s="41">
        <v>197.56</v>
      </c>
      <c r="L13" s="41">
        <v>18.489999999999998</v>
      </c>
      <c r="M13" s="41">
        <v>28.75</v>
      </c>
      <c r="N13" s="41">
        <v>1.6</v>
      </c>
      <c r="O13" s="41">
        <v>0</v>
      </c>
      <c r="P13" s="41">
        <v>0.84</v>
      </c>
      <c r="Q13" s="41">
        <v>9.5</v>
      </c>
      <c r="R13" s="38"/>
      <c r="S13" s="38"/>
      <c r="T13" s="38"/>
      <c r="U13" s="38"/>
    </row>
    <row r="14" spans="1:21" customFormat="1">
      <c r="A14" s="40" t="s">
        <v>426</v>
      </c>
      <c r="B14" s="41">
        <v>19.600000000000001</v>
      </c>
      <c r="C14" s="41">
        <v>18.38</v>
      </c>
      <c r="D14" s="41">
        <v>25.32</v>
      </c>
      <c r="E14" s="41">
        <v>6.75</v>
      </c>
      <c r="F14" s="27" t="s">
        <v>8</v>
      </c>
      <c r="G14" s="41">
        <v>59.49</v>
      </c>
      <c r="H14" s="41">
        <v>17.73</v>
      </c>
      <c r="I14" s="41">
        <v>15.92</v>
      </c>
      <c r="J14" s="41">
        <v>0.17</v>
      </c>
      <c r="K14" s="41">
        <v>154.44999999999999</v>
      </c>
      <c r="L14" s="41">
        <v>16.32</v>
      </c>
      <c r="M14" s="41">
        <v>23.09</v>
      </c>
      <c r="N14" s="41">
        <v>1.3</v>
      </c>
      <c r="O14" s="41">
        <v>0</v>
      </c>
      <c r="P14" s="41">
        <v>0.76</v>
      </c>
      <c r="Q14" s="41">
        <v>9.5299999999999994</v>
      </c>
      <c r="R14" s="38"/>
      <c r="S14" s="38"/>
      <c r="T14" s="38"/>
      <c r="U14" s="38"/>
    </row>
    <row r="15" spans="1:21" customFormat="1">
      <c r="A15" s="40" t="s">
        <v>427</v>
      </c>
      <c r="B15" s="41">
        <v>20.66</v>
      </c>
      <c r="C15" s="41">
        <v>18.82</v>
      </c>
      <c r="D15" s="41">
        <v>26.4</v>
      </c>
      <c r="E15" s="41">
        <v>6.56</v>
      </c>
      <c r="F15" s="27" t="s">
        <v>8</v>
      </c>
      <c r="G15" s="41">
        <v>52.17</v>
      </c>
      <c r="H15" s="41">
        <v>16.829999999999998</v>
      </c>
      <c r="I15" s="41">
        <v>14.58</v>
      </c>
      <c r="J15" s="41">
        <v>0.17</v>
      </c>
      <c r="K15" s="41">
        <v>159.63999999999999</v>
      </c>
      <c r="L15" s="41">
        <v>15.2</v>
      </c>
      <c r="M15" s="41">
        <v>20.11</v>
      </c>
      <c r="N15" s="41">
        <v>30.1</v>
      </c>
      <c r="O15" s="41">
        <v>0</v>
      </c>
      <c r="P15" s="41">
        <v>0.71</v>
      </c>
      <c r="Q15" s="41">
        <v>9.6199999999999992</v>
      </c>
      <c r="R15" s="38"/>
      <c r="S15" s="38"/>
      <c r="T15" s="38"/>
      <c r="U15" s="38"/>
    </row>
    <row r="16" spans="1:21" customFormat="1">
      <c r="A16" s="40" t="s">
        <v>428</v>
      </c>
      <c r="B16" s="41">
        <v>20.8</v>
      </c>
      <c r="C16" s="41">
        <v>19.260000000000002</v>
      </c>
      <c r="D16" s="41">
        <v>26.55</v>
      </c>
      <c r="E16" s="41">
        <v>6.55</v>
      </c>
      <c r="F16" s="27" t="s">
        <v>8</v>
      </c>
      <c r="G16" s="41">
        <v>51.58</v>
      </c>
      <c r="H16" s="41">
        <v>16.72</v>
      </c>
      <c r="I16" s="41">
        <v>13.79</v>
      </c>
      <c r="J16" s="41">
        <v>0.66</v>
      </c>
      <c r="K16" s="41">
        <v>47.58</v>
      </c>
      <c r="L16" s="41">
        <v>14.16</v>
      </c>
      <c r="M16" s="41">
        <v>13.73</v>
      </c>
      <c r="N16" s="41">
        <v>156.4</v>
      </c>
      <c r="O16" s="41">
        <v>0</v>
      </c>
      <c r="P16" s="41">
        <v>0.74</v>
      </c>
      <c r="Q16" s="41">
        <v>10.28</v>
      </c>
      <c r="R16" s="38"/>
      <c r="S16" s="38"/>
      <c r="T16" s="38"/>
      <c r="U16" s="38"/>
    </row>
    <row r="17" spans="1:21" customFormat="1">
      <c r="A17" s="40" t="s">
        <v>429</v>
      </c>
      <c r="B17" s="41">
        <v>19.920000000000002</v>
      </c>
      <c r="C17" s="41">
        <v>19.61</v>
      </c>
      <c r="D17" s="41">
        <v>26.22</v>
      </c>
      <c r="E17" s="41">
        <v>6.59</v>
      </c>
      <c r="F17" s="27" t="s">
        <v>8</v>
      </c>
      <c r="G17" s="41">
        <v>52.71</v>
      </c>
      <c r="H17" s="41">
        <v>16.8</v>
      </c>
      <c r="I17" s="41">
        <v>14.02</v>
      </c>
      <c r="J17" s="41">
        <v>0.78</v>
      </c>
      <c r="K17" s="41">
        <v>44.58</v>
      </c>
      <c r="L17" s="41">
        <v>15.36</v>
      </c>
      <c r="M17" s="41">
        <v>14.1</v>
      </c>
      <c r="N17" s="41">
        <v>312</v>
      </c>
      <c r="O17" s="41">
        <v>0</v>
      </c>
      <c r="P17" s="41">
        <v>0.74</v>
      </c>
      <c r="Q17" s="41">
        <v>9.8699999999999992</v>
      </c>
      <c r="R17" s="38"/>
      <c r="S17" s="38"/>
      <c r="T17" s="38"/>
      <c r="U17" s="38"/>
    </row>
    <row r="18" spans="1:21" customFormat="1">
      <c r="A18" s="40" t="s">
        <v>430</v>
      </c>
      <c r="B18" s="41">
        <v>17.22</v>
      </c>
      <c r="C18" s="41">
        <v>19.420000000000002</v>
      </c>
      <c r="D18" s="41">
        <v>23.77</v>
      </c>
      <c r="E18" s="41">
        <v>6.39</v>
      </c>
      <c r="F18" s="27" t="s">
        <v>8</v>
      </c>
      <c r="G18" s="41">
        <v>52.81</v>
      </c>
      <c r="H18" s="41">
        <v>16.8</v>
      </c>
      <c r="I18" s="41">
        <v>13.89</v>
      </c>
      <c r="J18" s="41">
        <v>1.1000000000000001</v>
      </c>
      <c r="K18" s="41">
        <v>44.51</v>
      </c>
      <c r="L18" s="41">
        <v>12.44</v>
      </c>
      <c r="M18" s="41">
        <v>6.18</v>
      </c>
      <c r="N18" s="41">
        <v>388.9</v>
      </c>
      <c r="O18" s="41">
        <v>0</v>
      </c>
      <c r="P18" s="41">
        <v>0.72</v>
      </c>
      <c r="Q18" s="41">
        <v>9.32</v>
      </c>
      <c r="R18" s="38"/>
      <c r="S18" s="38"/>
      <c r="T18" s="38"/>
      <c r="U18" s="38"/>
    </row>
    <row r="19" spans="1:21" customFormat="1">
      <c r="A19" s="40" t="s">
        <v>431</v>
      </c>
      <c r="B19" s="41">
        <v>14.71</v>
      </c>
      <c r="C19" s="41">
        <v>19.59</v>
      </c>
      <c r="D19" s="41">
        <v>21.96</v>
      </c>
      <c r="E19" s="41">
        <v>7.6</v>
      </c>
      <c r="F19" s="27" t="s">
        <v>8</v>
      </c>
      <c r="G19" s="41">
        <v>52.81</v>
      </c>
      <c r="H19" s="41">
        <v>16.5</v>
      </c>
      <c r="I19" s="41">
        <v>13.29</v>
      </c>
      <c r="J19" s="41">
        <v>1.51</v>
      </c>
      <c r="K19" s="41">
        <v>59.68</v>
      </c>
      <c r="L19" s="41">
        <v>14.79</v>
      </c>
      <c r="M19" s="41">
        <v>6.37</v>
      </c>
      <c r="N19" s="41">
        <v>541.5</v>
      </c>
      <c r="O19" s="41">
        <v>0</v>
      </c>
      <c r="P19" s="41">
        <v>0.69</v>
      </c>
      <c r="Q19" s="41">
        <v>9.32</v>
      </c>
      <c r="R19" s="38"/>
      <c r="S19" s="38"/>
      <c r="T19" s="38"/>
      <c r="U19" s="38"/>
    </row>
    <row r="20" spans="1:21" customFormat="1">
      <c r="A20" s="40" t="s">
        <v>432</v>
      </c>
      <c r="B20" s="41">
        <v>10.15</v>
      </c>
      <c r="C20" s="41">
        <v>19.47</v>
      </c>
      <c r="D20" s="41">
        <v>18.309999999999999</v>
      </c>
      <c r="E20" s="41">
        <v>7.08</v>
      </c>
      <c r="F20" s="27" t="s">
        <v>8</v>
      </c>
      <c r="G20" s="41">
        <v>45.71</v>
      </c>
      <c r="H20" s="41">
        <v>16.100000000000001</v>
      </c>
      <c r="I20" s="41">
        <v>12.31</v>
      </c>
      <c r="J20" s="41">
        <v>1.04</v>
      </c>
      <c r="K20" s="41">
        <v>62.14</v>
      </c>
      <c r="L20" s="41">
        <v>17.53</v>
      </c>
      <c r="M20" s="41">
        <v>13.31</v>
      </c>
      <c r="N20" s="41">
        <v>579.6</v>
      </c>
      <c r="O20" s="41">
        <v>0</v>
      </c>
      <c r="P20" s="41">
        <v>0.64</v>
      </c>
      <c r="Q20" s="41">
        <v>9.32</v>
      </c>
      <c r="R20" s="38"/>
      <c r="S20" s="38"/>
      <c r="T20" s="38"/>
      <c r="U20" s="38"/>
    </row>
    <row r="21" spans="1:21" customFormat="1">
      <c r="A21" s="40" t="s">
        <v>433</v>
      </c>
      <c r="B21" s="41">
        <v>6.15</v>
      </c>
      <c r="C21" s="41">
        <v>19.440000000000001</v>
      </c>
      <c r="D21" s="41">
        <v>15.02</v>
      </c>
      <c r="E21" s="41">
        <v>6.71</v>
      </c>
      <c r="F21" s="27" t="s">
        <v>8</v>
      </c>
      <c r="G21" s="41">
        <v>40.01</v>
      </c>
      <c r="H21" s="41">
        <v>12.8</v>
      </c>
      <c r="I21" s="41">
        <v>11.42</v>
      </c>
      <c r="J21" s="41">
        <v>1.0900000000000001</v>
      </c>
      <c r="K21" s="41">
        <v>39.01</v>
      </c>
      <c r="L21" s="41">
        <v>17.96</v>
      </c>
      <c r="M21" s="41">
        <v>14.77</v>
      </c>
      <c r="N21" s="41">
        <v>568.70000000000005</v>
      </c>
      <c r="O21" s="41">
        <v>0</v>
      </c>
      <c r="P21" s="41">
        <v>0.56000000000000005</v>
      </c>
      <c r="Q21" s="41">
        <v>9.32</v>
      </c>
      <c r="R21" s="38"/>
      <c r="S21" s="38"/>
      <c r="T21" s="38"/>
      <c r="U21" s="38"/>
    </row>
    <row r="22" spans="1:21" customFormat="1">
      <c r="A22" s="40" t="s">
        <v>434</v>
      </c>
      <c r="B22" s="41">
        <v>3</v>
      </c>
      <c r="C22" s="41">
        <v>18.78</v>
      </c>
      <c r="D22" s="41">
        <v>12.22</v>
      </c>
      <c r="E22" s="41">
        <v>6.81</v>
      </c>
      <c r="F22" s="27" t="s">
        <v>8</v>
      </c>
      <c r="G22" s="41">
        <v>33.86</v>
      </c>
      <c r="H22" s="41">
        <v>11.92</v>
      </c>
      <c r="I22" s="41">
        <v>10.43</v>
      </c>
      <c r="J22" s="41">
        <v>0.79</v>
      </c>
      <c r="K22" s="41">
        <v>335.57</v>
      </c>
      <c r="L22" s="41">
        <v>23.07</v>
      </c>
      <c r="M22" s="41">
        <v>30.59</v>
      </c>
      <c r="N22" s="41">
        <v>500.9</v>
      </c>
      <c r="O22" s="41">
        <v>0</v>
      </c>
      <c r="P22" s="41">
        <v>0.5</v>
      </c>
      <c r="Q22" s="41">
        <v>9.7200000000000006</v>
      </c>
      <c r="R22" s="38"/>
      <c r="S22" s="38"/>
      <c r="T22" s="38"/>
      <c r="U22" s="38"/>
    </row>
    <row r="23" spans="1:21" customFormat="1">
      <c r="A23" s="40" t="s">
        <v>435</v>
      </c>
      <c r="B23" s="41">
        <v>1.9</v>
      </c>
      <c r="C23" s="41">
        <v>16.850000000000001</v>
      </c>
      <c r="D23" s="41">
        <v>10.33</v>
      </c>
      <c r="E23" s="41">
        <v>6.91</v>
      </c>
      <c r="F23" s="27" t="s">
        <v>8</v>
      </c>
      <c r="G23" s="41">
        <v>30.55</v>
      </c>
      <c r="H23" s="41">
        <v>11.48</v>
      </c>
      <c r="I23" s="41">
        <v>9.7899999999999991</v>
      </c>
      <c r="J23" s="41">
        <v>0.74</v>
      </c>
      <c r="K23" s="41">
        <v>44.5</v>
      </c>
      <c r="L23" s="41">
        <v>16.89</v>
      </c>
      <c r="M23" s="41">
        <v>21.68</v>
      </c>
      <c r="N23" s="41">
        <v>116.5</v>
      </c>
      <c r="O23" s="41">
        <v>0</v>
      </c>
      <c r="P23" s="41">
        <v>0.51</v>
      </c>
      <c r="Q23" s="41">
        <v>10.050000000000001</v>
      </c>
      <c r="R23" s="38"/>
      <c r="S23" s="38"/>
      <c r="T23" s="38"/>
      <c r="U23" s="38"/>
    </row>
    <row r="24" spans="1:21" customFormat="1">
      <c r="A24" s="40" t="s">
        <v>436</v>
      </c>
      <c r="B24" s="41">
        <v>1.84</v>
      </c>
      <c r="C24" s="41">
        <v>15.71</v>
      </c>
      <c r="D24" s="41">
        <v>9.69</v>
      </c>
      <c r="E24" s="41">
        <v>6.78</v>
      </c>
      <c r="F24" s="27" t="s">
        <v>8</v>
      </c>
      <c r="G24" s="41">
        <v>29.97</v>
      </c>
      <c r="H24" s="41">
        <v>10.63</v>
      </c>
      <c r="I24" s="41">
        <v>9.1300000000000008</v>
      </c>
      <c r="J24" s="41">
        <v>0.61</v>
      </c>
      <c r="K24" s="41">
        <v>339.22</v>
      </c>
      <c r="L24" s="41">
        <v>20.76</v>
      </c>
      <c r="M24" s="41">
        <v>32.340000000000003</v>
      </c>
      <c r="N24" s="41">
        <v>77.599999999999994</v>
      </c>
      <c r="O24" s="41">
        <v>0</v>
      </c>
      <c r="P24" s="41">
        <v>0.5</v>
      </c>
      <c r="Q24" s="41">
        <v>9.75</v>
      </c>
      <c r="R24" s="38"/>
      <c r="S24" s="38"/>
      <c r="T24" s="38"/>
      <c r="U24" s="38"/>
    </row>
    <row r="25" spans="1:21" customFormat="1">
      <c r="A25" s="40" t="s">
        <v>437</v>
      </c>
      <c r="B25" s="41">
        <v>2.13</v>
      </c>
      <c r="C25" s="41">
        <v>16.52</v>
      </c>
      <c r="D25" s="41">
        <v>10.34</v>
      </c>
      <c r="E25" s="41">
        <v>6.82</v>
      </c>
      <c r="F25" s="27" t="s">
        <v>8</v>
      </c>
      <c r="G25" s="41">
        <v>29.97</v>
      </c>
      <c r="H25" s="41">
        <v>10.1</v>
      </c>
      <c r="I25" s="41">
        <v>8.58</v>
      </c>
      <c r="J25" s="41">
        <v>0.41</v>
      </c>
      <c r="K25" s="41">
        <v>46.77</v>
      </c>
      <c r="L25" s="41">
        <v>13.62</v>
      </c>
      <c r="M25" s="41">
        <v>15.35</v>
      </c>
      <c r="N25" s="41">
        <v>42</v>
      </c>
      <c r="O25" s="41">
        <v>0</v>
      </c>
      <c r="P25" s="41">
        <v>0.48</v>
      </c>
      <c r="Q25" s="41">
        <v>9.34</v>
      </c>
      <c r="R25" s="38"/>
      <c r="S25" s="38"/>
      <c r="T25" s="38"/>
      <c r="U25" s="38"/>
    </row>
    <row r="26" spans="1:21" customFormat="1">
      <c r="A26" s="40" t="s">
        <v>438</v>
      </c>
      <c r="B26" s="41">
        <v>3.25</v>
      </c>
      <c r="C26" s="41">
        <v>17.03</v>
      </c>
      <c r="D26" s="41">
        <v>11.49</v>
      </c>
      <c r="E26" s="41">
        <v>6.56</v>
      </c>
      <c r="F26" s="27" t="s">
        <v>8</v>
      </c>
      <c r="G26" s="41">
        <v>37.450000000000003</v>
      </c>
      <c r="H26" s="41">
        <v>11.02</v>
      </c>
      <c r="I26" s="41">
        <v>8.32</v>
      </c>
      <c r="J26" s="41">
        <v>0.24</v>
      </c>
      <c r="K26" s="41">
        <v>179.98</v>
      </c>
      <c r="L26" s="41">
        <v>16.940000000000001</v>
      </c>
      <c r="M26" s="41">
        <v>24.78</v>
      </c>
      <c r="N26" s="41">
        <v>8</v>
      </c>
      <c r="O26" s="41">
        <v>0</v>
      </c>
      <c r="P26" s="41">
        <v>0.53</v>
      </c>
      <c r="Q26" s="41">
        <v>9.92</v>
      </c>
      <c r="R26" s="38"/>
      <c r="S26" s="38"/>
      <c r="T26" s="38"/>
      <c r="U26" s="38"/>
    </row>
    <row r="27" spans="1:21" customFormat="1">
      <c r="A27" s="40" t="s">
        <v>439</v>
      </c>
      <c r="B27" s="41">
        <v>4.38</v>
      </c>
      <c r="C27" s="41">
        <v>17.37</v>
      </c>
      <c r="D27" s="41">
        <v>12.53</v>
      </c>
      <c r="E27" s="41">
        <v>6.09</v>
      </c>
      <c r="F27" s="27" t="s">
        <v>8</v>
      </c>
      <c r="G27" s="41">
        <v>46.35</v>
      </c>
      <c r="H27" s="41">
        <v>11.71</v>
      </c>
      <c r="I27" s="41">
        <v>8.67</v>
      </c>
      <c r="J27" s="41">
        <v>0.3</v>
      </c>
      <c r="K27" s="41">
        <v>183.8</v>
      </c>
      <c r="L27" s="41">
        <v>17.36</v>
      </c>
      <c r="M27" s="41">
        <v>25.86</v>
      </c>
      <c r="N27" s="41">
        <v>1.6</v>
      </c>
      <c r="O27" s="41">
        <v>0</v>
      </c>
      <c r="P27" s="41">
        <v>0.56999999999999995</v>
      </c>
      <c r="Q27" s="41">
        <v>9.32</v>
      </c>
      <c r="R27" s="38"/>
      <c r="S27" s="38"/>
      <c r="T27" s="38"/>
      <c r="U27" s="38"/>
    </row>
    <row r="28" spans="1:21" customFormat="1">
      <c r="A28" s="40" t="s">
        <v>440</v>
      </c>
      <c r="B28" s="41">
        <v>5.13</v>
      </c>
      <c r="C28" s="41">
        <v>17.100000000000001</v>
      </c>
      <c r="D28" s="41">
        <v>12.88</v>
      </c>
      <c r="E28" s="41">
        <v>5.83</v>
      </c>
      <c r="F28" s="27" t="s">
        <v>8</v>
      </c>
      <c r="G28" s="41">
        <v>47.43</v>
      </c>
      <c r="H28" s="41">
        <v>12.89</v>
      </c>
      <c r="I28" s="41">
        <v>9.39</v>
      </c>
      <c r="J28" s="41">
        <v>0.21</v>
      </c>
      <c r="K28" s="41">
        <v>212.39</v>
      </c>
      <c r="L28" s="41">
        <v>19.010000000000002</v>
      </c>
      <c r="M28" s="41">
        <v>30.01</v>
      </c>
      <c r="N28" s="41">
        <v>1.5</v>
      </c>
      <c r="O28" s="41">
        <v>0</v>
      </c>
      <c r="P28" s="41">
        <v>0.61</v>
      </c>
      <c r="Q28" s="41">
        <v>9.32</v>
      </c>
      <c r="R28" s="38"/>
      <c r="S28" s="38"/>
      <c r="T28" s="38"/>
      <c r="U28" s="38"/>
    </row>
    <row r="29" spans="1:21" customFormat="1">
      <c r="A29" s="40" t="s">
        <v>441</v>
      </c>
      <c r="B29" s="41">
        <v>5.86</v>
      </c>
      <c r="C29" s="41">
        <v>16.48</v>
      </c>
      <c r="D29" s="41">
        <v>13.01</v>
      </c>
      <c r="E29" s="41">
        <v>5.87</v>
      </c>
      <c r="F29" s="27" t="s">
        <v>8</v>
      </c>
      <c r="G29" s="41">
        <v>47.43</v>
      </c>
      <c r="H29" s="41">
        <v>12.89</v>
      </c>
      <c r="I29" s="41">
        <v>9.67</v>
      </c>
      <c r="J29" s="41">
        <v>0.19</v>
      </c>
      <c r="K29" s="41">
        <v>217.12</v>
      </c>
      <c r="L29" s="41">
        <v>19.37</v>
      </c>
      <c r="M29" s="41">
        <v>30.9</v>
      </c>
      <c r="N29" s="41">
        <v>1.2</v>
      </c>
      <c r="O29" s="41">
        <v>0</v>
      </c>
      <c r="P29" s="41">
        <v>0.63</v>
      </c>
      <c r="Q29" s="41">
        <v>9.32</v>
      </c>
      <c r="R29" s="38"/>
      <c r="S29" s="38"/>
      <c r="T29" s="38"/>
      <c r="U29" s="38"/>
    </row>
    <row r="30" spans="1:21" customFormat="1">
      <c r="A30" s="40" t="s">
        <v>442</v>
      </c>
      <c r="B30" s="41">
        <v>7.52</v>
      </c>
      <c r="C30" s="41">
        <v>16.02</v>
      </c>
      <c r="D30" s="41">
        <v>14.4</v>
      </c>
      <c r="E30" s="41">
        <v>5.98</v>
      </c>
      <c r="F30" s="27" t="s">
        <v>8</v>
      </c>
      <c r="G30" s="41">
        <v>45.87</v>
      </c>
      <c r="H30" s="41">
        <v>12.7</v>
      </c>
      <c r="I30" s="41">
        <v>9.8800000000000008</v>
      </c>
      <c r="J30" s="41">
        <v>0.18</v>
      </c>
      <c r="K30" s="41">
        <v>231.56</v>
      </c>
      <c r="L30" s="41">
        <v>19.809999999999999</v>
      </c>
      <c r="M30" s="41">
        <v>32.01</v>
      </c>
      <c r="N30" s="41">
        <v>1.2</v>
      </c>
      <c r="O30" s="41">
        <v>0</v>
      </c>
      <c r="P30" s="41">
        <v>0.65</v>
      </c>
      <c r="Q30" s="41">
        <v>9.32</v>
      </c>
      <c r="R30" s="38"/>
      <c r="S30" s="38"/>
      <c r="T30" s="38"/>
      <c r="U30" s="38"/>
    </row>
    <row r="31" spans="1:21" customFormat="1">
      <c r="A31" s="40" t="s">
        <v>443</v>
      </c>
      <c r="B31" s="41">
        <v>8.19</v>
      </c>
      <c r="C31" s="41">
        <v>15.98</v>
      </c>
      <c r="D31" s="41">
        <v>14.85</v>
      </c>
      <c r="E31" s="41">
        <v>6.19</v>
      </c>
      <c r="F31" s="27" t="s">
        <v>8</v>
      </c>
      <c r="G31" s="41">
        <v>45.76</v>
      </c>
      <c r="H31" s="41">
        <v>13.18</v>
      </c>
      <c r="I31" s="41">
        <v>10.83</v>
      </c>
      <c r="J31" s="41">
        <v>0.21</v>
      </c>
      <c r="K31" s="41">
        <v>216.29</v>
      </c>
      <c r="L31" s="41">
        <v>19.2</v>
      </c>
      <c r="M31" s="41">
        <v>30.53</v>
      </c>
      <c r="N31" s="41">
        <v>1.2</v>
      </c>
      <c r="O31" s="41">
        <v>0</v>
      </c>
      <c r="P31" s="41">
        <v>0.69</v>
      </c>
      <c r="Q31" s="41">
        <v>9.32</v>
      </c>
      <c r="R31" s="38"/>
      <c r="S31" s="38"/>
      <c r="T31" s="38"/>
      <c r="U31" s="38"/>
    </row>
    <row r="32" spans="1:21" customFormat="1">
      <c r="A32" s="40" t="s">
        <v>444</v>
      </c>
      <c r="B32" s="41">
        <v>9.83</v>
      </c>
      <c r="C32" s="41">
        <v>16.149999999999999</v>
      </c>
      <c r="D32" s="41">
        <v>16.32</v>
      </c>
      <c r="E32" s="41">
        <v>6.13</v>
      </c>
      <c r="F32" s="27" t="s">
        <v>8</v>
      </c>
      <c r="G32" s="41">
        <v>44.34</v>
      </c>
      <c r="H32" s="41">
        <v>13.87</v>
      </c>
      <c r="I32" s="41">
        <v>11.61</v>
      </c>
      <c r="J32" s="41">
        <v>0.2</v>
      </c>
      <c r="K32" s="41">
        <v>214.75</v>
      </c>
      <c r="L32" s="41">
        <v>18.89</v>
      </c>
      <c r="M32" s="41">
        <v>29.77</v>
      </c>
      <c r="N32" s="41">
        <v>1.3</v>
      </c>
      <c r="O32" s="41">
        <v>0</v>
      </c>
      <c r="P32" s="41">
        <v>0.72</v>
      </c>
      <c r="Q32" s="41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1.84</v>
      </c>
      <c r="C34" s="18">
        <f t="shared" si="0"/>
        <v>15.71</v>
      </c>
      <c r="D34" s="18">
        <f t="shared" si="0"/>
        <v>9.69</v>
      </c>
      <c r="E34" s="18">
        <f t="shared" si="0"/>
        <v>5.83</v>
      </c>
      <c r="F34" s="18">
        <f t="shared" si="0"/>
        <v>0</v>
      </c>
      <c r="G34" s="18">
        <f t="shared" si="0"/>
        <v>29.97</v>
      </c>
      <c r="H34" s="18">
        <f t="shared" si="0"/>
        <v>10.1</v>
      </c>
      <c r="I34" s="18">
        <f t="shared" si="0"/>
        <v>8.32</v>
      </c>
      <c r="J34" s="18">
        <f t="shared" si="0"/>
        <v>0.17</v>
      </c>
      <c r="K34" s="18">
        <f t="shared" si="0"/>
        <v>39.01</v>
      </c>
      <c r="L34" s="18">
        <f t="shared" si="0"/>
        <v>9.84</v>
      </c>
      <c r="M34" s="18">
        <f t="shared" si="0"/>
        <v>6.18</v>
      </c>
      <c r="N34" s="18">
        <f t="shared" si="0"/>
        <v>1.2</v>
      </c>
      <c r="O34" s="18">
        <f t="shared" si="0"/>
        <v>0</v>
      </c>
      <c r="P34" s="18">
        <f t="shared" si="0"/>
        <v>0.48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29.38</v>
      </c>
      <c r="C35" s="3">
        <f t="shared" si="1"/>
        <v>19.61</v>
      </c>
      <c r="D35" s="3">
        <f t="shared" si="1"/>
        <v>33.75</v>
      </c>
      <c r="E35" s="3">
        <f t="shared" si="1"/>
        <v>7.6</v>
      </c>
      <c r="F35" s="3">
        <f t="shared" si="1"/>
        <v>0</v>
      </c>
      <c r="G35" s="3">
        <f t="shared" si="1"/>
        <v>68.34</v>
      </c>
      <c r="H35" s="3">
        <f t="shared" si="1"/>
        <v>18.72</v>
      </c>
      <c r="I35" s="3">
        <f t="shared" si="1"/>
        <v>17.420000000000002</v>
      </c>
      <c r="J35" s="3">
        <f t="shared" si="1"/>
        <v>1.51</v>
      </c>
      <c r="K35" s="3">
        <f t="shared" si="1"/>
        <v>339.22</v>
      </c>
      <c r="L35" s="3">
        <f t="shared" si="1"/>
        <v>23.07</v>
      </c>
      <c r="M35" s="3">
        <f t="shared" si="1"/>
        <v>32.36</v>
      </c>
      <c r="N35" s="3">
        <f t="shared" si="1"/>
        <v>579.6</v>
      </c>
      <c r="O35" s="3">
        <f t="shared" si="1"/>
        <v>0</v>
      </c>
      <c r="P35" s="3">
        <f t="shared" si="1"/>
        <v>0.88</v>
      </c>
      <c r="Q35" s="3">
        <f t="shared" si="1"/>
        <v>10.28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13.191249999999995</v>
      </c>
      <c r="C36" s="18">
        <f t="shared" si="2"/>
        <v>18.065000000000001</v>
      </c>
      <c r="D36" s="18">
        <f t="shared" si="2"/>
        <v>19.967916666666664</v>
      </c>
      <c r="E36" s="18">
        <f t="shared" si="2"/>
        <v>6.576249999999999</v>
      </c>
      <c r="F36" s="18" t="e">
        <f t="shared" si="2"/>
        <v>#DIV/0!</v>
      </c>
      <c r="G36" s="18">
        <f t="shared" si="2"/>
        <v>48.857916666666661</v>
      </c>
      <c r="H36" s="18">
        <f t="shared" si="2"/>
        <v>14.734166666666665</v>
      </c>
      <c r="I36" s="18">
        <f t="shared" si="2"/>
        <v>12.378333333333332</v>
      </c>
      <c r="J36" s="18">
        <f t="shared" si="2"/>
        <v>0.50208333333333333</v>
      </c>
      <c r="K36" s="18">
        <f t="shared" si="2"/>
        <v>148.29541666666665</v>
      </c>
      <c r="L36" s="18">
        <f t="shared" si="2"/>
        <v>16.893333333333331</v>
      </c>
      <c r="M36" s="18">
        <f t="shared" si="2"/>
        <v>21.636666666666667</v>
      </c>
      <c r="N36" s="18">
        <f t="shared" si="2"/>
        <v>139.09999999999997</v>
      </c>
      <c r="O36" s="18">
        <f t="shared" si="2"/>
        <v>0</v>
      </c>
      <c r="P36" s="18">
        <f t="shared" si="2"/>
        <v>0.67625000000000002</v>
      </c>
      <c r="Q36" s="18">
        <f t="shared" si="2"/>
        <v>9.5049999999999972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9.5244642951032112</v>
      </c>
      <c r="C37" s="18">
        <f t="shared" ref="C37:Q37" si="3">STDEV(C9:C32)</f>
        <v>1.4074923739078289</v>
      </c>
      <c r="D37" s="18">
        <f t="shared" si="3"/>
        <v>8.1648626704639806</v>
      </c>
      <c r="E37" s="18">
        <f t="shared" si="3"/>
        <v>0.43034680150457422</v>
      </c>
      <c r="F37" s="18" t="e">
        <f t="shared" si="3"/>
        <v>#DIV/0!</v>
      </c>
      <c r="G37" s="18">
        <f t="shared" si="3"/>
        <v>11.658029507286139</v>
      </c>
      <c r="H37" s="18">
        <f t="shared" si="3"/>
        <v>2.8736644030661282</v>
      </c>
      <c r="I37" s="18">
        <f t="shared" si="3"/>
        <v>2.9606618923105277</v>
      </c>
      <c r="J37" s="18">
        <f t="shared" si="3"/>
        <v>0.3803199930340887</v>
      </c>
      <c r="K37" s="18">
        <f t="shared" si="3"/>
        <v>94.295331434030331</v>
      </c>
      <c r="L37" s="18">
        <f t="shared" si="3"/>
        <v>3.0563002166823896</v>
      </c>
      <c r="M37" s="18">
        <f t="shared" si="3"/>
        <v>8.9577363535499401</v>
      </c>
      <c r="N37" s="18">
        <f t="shared" si="3"/>
        <v>212.08138101661129</v>
      </c>
      <c r="O37" s="18">
        <f t="shared" si="3"/>
        <v>0</v>
      </c>
      <c r="P37" s="18">
        <f t="shared" si="3"/>
        <v>0.12645028237628961</v>
      </c>
      <c r="Q37" s="18">
        <f t="shared" si="3"/>
        <v>0.28060493658305891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>COUNT(F9:F32)+24</f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96"/>
  <sheetViews>
    <sheetView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F39" sqref="F3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17/11/2025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445</v>
      </c>
      <c r="B9" s="41">
        <v>11</v>
      </c>
      <c r="C9" s="41">
        <v>15.88</v>
      </c>
      <c r="D9" s="41">
        <v>17.11</v>
      </c>
      <c r="E9" s="41">
        <v>6.04</v>
      </c>
      <c r="F9" s="27" t="s">
        <v>8</v>
      </c>
      <c r="G9" s="41">
        <v>43.62</v>
      </c>
      <c r="H9" s="41">
        <v>13.95</v>
      </c>
      <c r="I9" s="41">
        <v>11.83</v>
      </c>
      <c r="J9" s="41">
        <v>0.34</v>
      </c>
      <c r="K9" s="41">
        <v>213.31</v>
      </c>
      <c r="L9" s="41">
        <v>18.72</v>
      </c>
      <c r="M9" s="41">
        <v>29.3</v>
      </c>
      <c r="N9" s="41">
        <v>1.2</v>
      </c>
      <c r="O9" s="41">
        <v>0</v>
      </c>
      <c r="P9" s="41">
        <v>0.72</v>
      </c>
      <c r="Q9" s="41">
        <v>9.32</v>
      </c>
      <c r="R9" s="38"/>
      <c r="S9" s="38"/>
      <c r="T9" s="38"/>
      <c r="U9" s="38"/>
    </row>
    <row r="10" spans="1:21" customFormat="1">
      <c r="A10" s="40" t="s">
        <v>446</v>
      </c>
      <c r="B10" s="41">
        <v>12.09</v>
      </c>
      <c r="C10" s="41">
        <v>17.12</v>
      </c>
      <c r="D10" s="41">
        <v>18.64</v>
      </c>
      <c r="E10" s="41">
        <v>6.42</v>
      </c>
      <c r="F10" s="27" t="s">
        <v>8</v>
      </c>
      <c r="G10" s="41">
        <v>45.13</v>
      </c>
      <c r="H10" s="41">
        <v>13.95</v>
      </c>
      <c r="I10" s="41">
        <v>12.14</v>
      </c>
      <c r="J10" s="41">
        <v>0.45</v>
      </c>
      <c r="K10" s="41">
        <v>101.04</v>
      </c>
      <c r="L10" s="41">
        <v>13.46</v>
      </c>
      <c r="M10" s="41">
        <v>15.98</v>
      </c>
      <c r="N10" s="41">
        <v>1.1000000000000001</v>
      </c>
      <c r="O10" s="41">
        <v>0</v>
      </c>
      <c r="P10" s="41">
        <v>0.73</v>
      </c>
      <c r="Q10" s="41">
        <v>9.32</v>
      </c>
      <c r="R10" s="38"/>
      <c r="S10" s="38"/>
      <c r="T10" s="38"/>
      <c r="U10" s="38"/>
    </row>
    <row r="11" spans="1:21" customFormat="1">
      <c r="A11" s="40" t="s">
        <v>447</v>
      </c>
      <c r="B11" s="41">
        <v>12</v>
      </c>
      <c r="C11" s="41">
        <v>17.52</v>
      </c>
      <c r="D11" s="41">
        <v>18.649999999999999</v>
      </c>
      <c r="E11" s="41">
        <v>5.6</v>
      </c>
      <c r="F11" s="27" t="s">
        <v>8</v>
      </c>
      <c r="G11" s="41">
        <v>45.7</v>
      </c>
      <c r="H11" s="41">
        <v>14.01</v>
      </c>
      <c r="I11" s="41">
        <v>13.03</v>
      </c>
      <c r="J11" s="41">
        <v>0.34</v>
      </c>
      <c r="K11" s="41">
        <v>41.32</v>
      </c>
      <c r="L11" s="41">
        <v>12.83</v>
      </c>
      <c r="M11" s="41">
        <v>14.33</v>
      </c>
      <c r="N11" s="41">
        <v>1.3</v>
      </c>
      <c r="O11" s="41">
        <v>0</v>
      </c>
      <c r="P11" s="41">
        <v>0.72</v>
      </c>
      <c r="Q11" s="41">
        <v>9.32</v>
      </c>
      <c r="R11" s="38"/>
      <c r="S11" s="38"/>
      <c r="T11" s="38"/>
      <c r="U11" s="38"/>
    </row>
    <row r="12" spans="1:21" customFormat="1">
      <c r="A12" s="40" t="s">
        <v>448</v>
      </c>
      <c r="B12" s="41">
        <v>10.92</v>
      </c>
      <c r="C12" s="41">
        <v>17.579999999999998</v>
      </c>
      <c r="D12" s="41">
        <v>17.850000000000001</v>
      </c>
      <c r="E12" s="41">
        <v>5.72</v>
      </c>
      <c r="F12" s="27" t="s">
        <v>8</v>
      </c>
      <c r="G12" s="41">
        <v>46.28</v>
      </c>
      <c r="H12" s="41">
        <v>14.01</v>
      </c>
      <c r="I12" s="41">
        <v>12.81</v>
      </c>
      <c r="J12" s="41">
        <v>0.31</v>
      </c>
      <c r="K12" s="41">
        <v>99.58</v>
      </c>
      <c r="L12" s="41">
        <v>14.3</v>
      </c>
      <c r="M12" s="41">
        <v>17.87</v>
      </c>
      <c r="N12" s="41">
        <v>1.4</v>
      </c>
      <c r="O12" s="41">
        <v>0</v>
      </c>
      <c r="P12" s="41">
        <v>0.72</v>
      </c>
      <c r="Q12" s="41">
        <v>9.32</v>
      </c>
      <c r="R12" s="38"/>
      <c r="S12" s="38"/>
      <c r="T12" s="38"/>
      <c r="U12" s="38"/>
    </row>
    <row r="13" spans="1:21" customFormat="1">
      <c r="A13" s="40" t="s">
        <v>449</v>
      </c>
      <c r="B13" s="41">
        <v>10.72</v>
      </c>
      <c r="C13" s="41">
        <v>17.579999999999998</v>
      </c>
      <c r="D13" s="41">
        <v>17.75</v>
      </c>
      <c r="E13" s="41">
        <v>5.22</v>
      </c>
      <c r="F13" s="27" t="s">
        <v>8</v>
      </c>
      <c r="G13" s="41">
        <v>46.28</v>
      </c>
      <c r="H13" s="41">
        <v>14.93</v>
      </c>
      <c r="I13" s="41">
        <v>12.05</v>
      </c>
      <c r="J13" s="41">
        <v>0.42</v>
      </c>
      <c r="K13" s="41">
        <v>186.55</v>
      </c>
      <c r="L13" s="41">
        <v>17.55</v>
      </c>
      <c r="M13" s="41">
        <v>26.37</v>
      </c>
      <c r="N13" s="41">
        <v>1.7</v>
      </c>
      <c r="O13" s="41">
        <v>0</v>
      </c>
      <c r="P13" s="41">
        <v>0.68</v>
      </c>
      <c r="Q13" s="41">
        <v>9.5</v>
      </c>
      <c r="R13" s="38"/>
      <c r="S13" s="38"/>
      <c r="T13" s="38"/>
      <c r="U13" s="38"/>
    </row>
    <row r="14" spans="1:21" customFormat="1">
      <c r="A14" s="40" t="s">
        <v>450</v>
      </c>
      <c r="B14" s="41">
        <v>11.44</v>
      </c>
      <c r="C14" s="41">
        <v>17.86</v>
      </c>
      <c r="D14" s="41">
        <v>18.5</v>
      </c>
      <c r="E14" s="41">
        <v>5.38</v>
      </c>
      <c r="F14" s="27" t="s">
        <v>8</v>
      </c>
      <c r="G14" s="41">
        <v>45.32</v>
      </c>
      <c r="H14" s="41">
        <v>14.93</v>
      </c>
      <c r="I14" s="41">
        <v>11.28</v>
      </c>
      <c r="J14" s="41">
        <v>0.13</v>
      </c>
      <c r="K14" s="41">
        <v>207.69</v>
      </c>
      <c r="L14" s="41">
        <v>18.690000000000001</v>
      </c>
      <c r="M14" s="41">
        <v>29.2</v>
      </c>
      <c r="N14" s="41">
        <v>1.4</v>
      </c>
      <c r="O14" s="41">
        <v>0</v>
      </c>
      <c r="P14" s="41">
        <v>0.65</v>
      </c>
      <c r="Q14" s="41">
        <v>9.41</v>
      </c>
      <c r="R14" s="38"/>
      <c r="S14" s="38"/>
      <c r="T14" s="38"/>
      <c r="U14" s="38"/>
    </row>
    <row r="15" spans="1:21" customFormat="1">
      <c r="A15" s="40" t="s">
        <v>451</v>
      </c>
      <c r="B15" s="41">
        <v>14.78</v>
      </c>
      <c r="C15" s="41">
        <v>18.61</v>
      </c>
      <c r="D15" s="41">
        <v>21.58</v>
      </c>
      <c r="E15" s="41">
        <v>5.5</v>
      </c>
      <c r="F15" s="27" t="s">
        <v>8</v>
      </c>
      <c r="G15" s="41">
        <v>46.06</v>
      </c>
      <c r="H15" s="41">
        <v>14.56</v>
      </c>
      <c r="I15" s="41">
        <v>10.79</v>
      </c>
      <c r="J15" s="41">
        <v>0.31</v>
      </c>
      <c r="K15" s="41">
        <v>212.77</v>
      </c>
      <c r="L15" s="41">
        <v>18.75</v>
      </c>
      <c r="M15" s="41">
        <v>29.33</v>
      </c>
      <c r="N15" s="41">
        <v>28.8</v>
      </c>
      <c r="O15" s="41">
        <v>0</v>
      </c>
      <c r="P15" s="41">
        <v>0.66</v>
      </c>
      <c r="Q15" s="41">
        <v>9.32</v>
      </c>
      <c r="R15" s="38"/>
      <c r="S15" s="38"/>
      <c r="T15" s="38"/>
      <c r="U15" s="38"/>
    </row>
    <row r="16" spans="1:21" customFormat="1">
      <c r="A16" s="40" t="s">
        <v>452</v>
      </c>
      <c r="B16" s="41">
        <v>15.76</v>
      </c>
      <c r="C16" s="41">
        <v>19.52</v>
      </c>
      <c r="D16" s="41">
        <v>22.61</v>
      </c>
      <c r="E16" s="41">
        <v>5.23</v>
      </c>
      <c r="F16" s="27" t="s">
        <v>8</v>
      </c>
      <c r="G16" s="41">
        <v>49.89</v>
      </c>
      <c r="H16" s="41">
        <v>14.9</v>
      </c>
      <c r="I16" s="41">
        <v>11.32</v>
      </c>
      <c r="J16" s="41">
        <v>0.84</v>
      </c>
      <c r="K16" s="41">
        <v>46.61</v>
      </c>
      <c r="L16" s="41">
        <v>12.75</v>
      </c>
      <c r="M16" s="41">
        <v>12.63</v>
      </c>
      <c r="N16" s="41">
        <v>149.1</v>
      </c>
      <c r="O16" s="41">
        <v>0</v>
      </c>
      <c r="P16" s="41">
        <v>0.69</v>
      </c>
      <c r="Q16" s="41">
        <v>9.32</v>
      </c>
      <c r="R16" s="38"/>
      <c r="S16" s="38"/>
      <c r="T16" s="38"/>
      <c r="U16" s="38"/>
    </row>
    <row r="17" spans="1:21" customFormat="1">
      <c r="A17" s="40" t="s">
        <v>453</v>
      </c>
      <c r="B17" s="41">
        <v>14.69</v>
      </c>
      <c r="C17" s="41">
        <v>20.05</v>
      </c>
      <c r="D17" s="41">
        <v>22.19</v>
      </c>
      <c r="E17" s="41">
        <v>5.32</v>
      </c>
      <c r="F17" s="27" t="s">
        <v>8</v>
      </c>
      <c r="G17" s="41">
        <v>52.18</v>
      </c>
      <c r="H17" s="41">
        <v>16.05</v>
      </c>
      <c r="I17" s="41">
        <v>12.3</v>
      </c>
      <c r="J17" s="41">
        <v>0.74</v>
      </c>
      <c r="K17" s="41">
        <v>42.3</v>
      </c>
      <c r="L17" s="41">
        <v>12.85</v>
      </c>
      <c r="M17" s="41">
        <v>9</v>
      </c>
      <c r="N17" s="41">
        <v>303.8</v>
      </c>
      <c r="O17" s="41">
        <v>0</v>
      </c>
      <c r="P17" s="41">
        <v>0.7</v>
      </c>
      <c r="Q17" s="41">
        <v>9.32</v>
      </c>
      <c r="R17" s="38"/>
      <c r="S17" s="38"/>
      <c r="T17" s="38"/>
      <c r="U17" s="38"/>
    </row>
    <row r="18" spans="1:21" customFormat="1">
      <c r="A18" s="40" t="s">
        <v>454</v>
      </c>
      <c r="B18" s="41">
        <v>12.66</v>
      </c>
      <c r="C18" s="41">
        <v>21.02</v>
      </c>
      <c r="D18" s="41">
        <v>20.64</v>
      </c>
      <c r="E18" s="41">
        <v>5.57</v>
      </c>
      <c r="F18" s="27" t="s">
        <v>8</v>
      </c>
      <c r="G18" s="41">
        <v>52.18</v>
      </c>
      <c r="H18" s="41">
        <v>16.05</v>
      </c>
      <c r="I18" s="41">
        <v>12.14</v>
      </c>
      <c r="J18" s="41">
        <v>0.95</v>
      </c>
      <c r="K18" s="41">
        <v>75.989999999999995</v>
      </c>
      <c r="L18" s="41">
        <v>13.73</v>
      </c>
      <c r="M18" s="41">
        <v>9.5</v>
      </c>
      <c r="N18" s="41">
        <v>368.6</v>
      </c>
      <c r="O18" s="41">
        <v>0</v>
      </c>
      <c r="P18" s="41">
        <v>0.7</v>
      </c>
      <c r="Q18" s="41">
        <v>9.32</v>
      </c>
      <c r="R18" s="38"/>
      <c r="S18" s="38"/>
      <c r="T18" s="38"/>
      <c r="U18" s="38"/>
    </row>
    <row r="19" spans="1:21" customFormat="1">
      <c r="A19" s="40" t="s">
        <v>455</v>
      </c>
      <c r="B19" s="41">
        <v>9.7200000000000006</v>
      </c>
      <c r="C19" s="41">
        <v>21.41</v>
      </c>
      <c r="D19" s="41">
        <v>18.920000000000002</v>
      </c>
      <c r="E19" s="41">
        <v>6.1</v>
      </c>
      <c r="F19" s="27" t="s">
        <v>8</v>
      </c>
      <c r="G19" s="41">
        <v>50.69</v>
      </c>
      <c r="H19" s="41">
        <v>15.47</v>
      </c>
      <c r="I19" s="41">
        <v>11.68</v>
      </c>
      <c r="J19" s="41">
        <v>0.65</v>
      </c>
      <c r="K19" s="41">
        <v>78.709999999999994</v>
      </c>
      <c r="L19" s="41">
        <v>16.96</v>
      </c>
      <c r="M19" s="41">
        <v>11.95</v>
      </c>
      <c r="N19" s="41">
        <v>544.4</v>
      </c>
      <c r="O19" s="41">
        <v>0</v>
      </c>
      <c r="P19" s="41">
        <v>0.69</v>
      </c>
      <c r="Q19" s="41">
        <v>9.32</v>
      </c>
      <c r="R19" s="38"/>
      <c r="S19" s="38"/>
      <c r="T19" s="38"/>
      <c r="U19" s="38"/>
    </row>
    <row r="20" spans="1:21" customFormat="1">
      <c r="A20" s="40" t="s">
        <v>456</v>
      </c>
      <c r="B20" s="41">
        <v>4.79</v>
      </c>
      <c r="C20" s="41">
        <v>21.04</v>
      </c>
      <c r="D20" s="41">
        <v>14.83</v>
      </c>
      <c r="E20" s="41">
        <v>5.98</v>
      </c>
      <c r="F20" s="27" t="s">
        <v>8</v>
      </c>
      <c r="G20" s="41">
        <v>46.47</v>
      </c>
      <c r="H20" s="41">
        <v>15.47</v>
      </c>
      <c r="I20" s="41">
        <v>11.03</v>
      </c>
      <c r="J20" s="41">
        <v>0.54</v>
      </c>
      <c r="K20" s="41">
        <v>170.31</v>
      </c>
      <c r="L20" s="41">
        <v>20.96</v>
      </c>
      <c r="M20" s="41">
        <v>21.21</v>
      </c>
      <c r="N20" s="41">
        <v>594.29999999999995</v>
      </c>
      <c r="O20" s="41">
        <v>0</v>
      </c>
      <c r="P20" s="41">
        <v>0.65</v>
      </c>
      <c r="Q20" s="41">
        <v>9.32</v>
      </c>
      <c r="R20" s="38"/>
      <c r="S20" s="38"/>
      <c r="T20" s="38"/>
      <c r="U20" s="38"/>
    </row>
    <row r="21" spans="1:21" customFormat="1">
      <c r="A21" s="40" t="s">
        <v>457</v>
      </c>
      <c r="B21" s="41">
        <v>2.34</v>
      </c>
      <c r="C21" s="41">
        <v>18.77</v>
      </c>
      <c r="D21" s="41">
        <v>11.68</v>
      </c>
      <c r="E21" s="41">
        <v>6.25</v>
      </c>
      <c r="F21" s="27" t="s">
        <v>8</v>
      </c>
      <c r="G21" s="41">
        <v>41.94</v>
      </c>
      <c r="H21" s="41">
        <v>14.14</v>
      </c>
      <c r="I21" s="41">
        <v>10.33</v>
      </c>
      <c r="J21" s="41">
        <v>0.4</v>
      </c>
      <c r="K21" s="41">
        <v>250.83</v>
      </c>
      <c r="L21" s="41">
        <v>23.91</v>
      </c>
      <c r="M21" s="41">
        <v>29.48</v>
      </c>
      <c r="N21" s="41">
        <v>592.6</v>
      </c>
      <c r="O21" s="41">
        <v>0</v>
      </c>
      <c r="P21" s="41">
        <v>0.61</v>
      </c>
      <c r="Q21" s="41">
        <v>9.32</v>
      </c>
      <c r="R21" s="38"/>
      <c r="S21" s="38"/>
      <c r="T21" s="38"/>
      <c r="U21" s="38"/>
    </row>
    <row r="22" spans="1:21" customFormat="1">
      <c r="A22" s="40" t="s">
        <v>458</v>
      </c>
      <c r="B22" s="41">
        <v>2.0299999999999998</v>
      </c>
      <c r="C22" s="41">
        <v>15.8</v>
      </c>
      <c r="D22" s="41">
        <v>9.86</v>
      </c>
      <c r="E22" s="41">
        <v>6.66</v>
      </c>
      <c r="F22" s="27" t="s">
        <v>8</v>
      </c>
      <c r="G22" s="41">
        <v>34.94</v>
      </c>
      <c r="H22" s="41">
        <v>12.75</v>
      </c>
      <c r="I22" s="41">
        <v>9.7100000000000009</v>
      </c>
      <c r="J22" s="41">
        <v>0.33</v>
      </c>
      <c r="K22" s="41">
        <v>154.13</v>
      </c>
      <c r="L22" s="41">
        <v>21.23</v>
      </c>
      <c r="M22" s="41">
        <v>23.75</v>
      </c>
      <c r="N22" s="41">
        <v>495.4</v>
      </c>
      <c r="O22" s="41">
        <v>0</v>
      </c>
      <c r="P22" s="41">
        <v>0.61</v>
      </c>
      <c r="Q22" s="41">
        <v>9.32</v>
      </c>
      <c r="R22" s="38"/>
      <c r="S22" s="38"/>
      <c r="T22" s="38"/>
      <c r="U22" s="38"/>
    </row>
    <row r="23" spans="1:21" customFormat="1">
      <c r="A23" s="40" t="s">
        <v>459</v>
      </c>
      <c r="B23" s="41">
        <v>2.2000000000000002</v>
      </c>
      <c r="C23" s="41">
        <v>15.53</v>
      </c>
      <c r="D23" s="41">
        <v>9.8800000000000008</v>
      </c>
      <c r="E23" s="41">
        <v>8.19</v>
      </c>
      <c r="F23" s="27" t="s">
        <v>8</v>
      </c>
      <c r="G23" s="41">
        <v>32.159999999999997</v>
      </c>
      <c r="H23" s="41">
        <v>11.76</v>
      </c>
      <c r="I23" s="41">
        <v>9.17</v>
      </c>
      <c r="J23" s="41">
        <v>0.68</v>
      </c>
      <c r="K23" s="41">
        <v>49.39</v>
      </c>
      <c r="L23" s="41">
        <v>16.75</v>
      </c>
      <c r="M23" s="41">
        <v>21.66</v>
      </c>
      <c r="N23" s="41">
        <v>112.3</v>
      </c>
      <c r="O23" s="41">
        <v>0</v>
      </c>
      <c r="P23" s="41">
        <v>0.48</v>
      </c>
      <c r="Q23" s="41">
        <v>9.32</v>
      </c>
      <c r="R23" s="38"/>
      <c r="S23" s="38"/>
      <c r="T23" s="38"/>
      <c r="U23" s="38"/>
    </row>
    <row r="24" spans="1:21" customFormat="1">
      <c r="A24" s="40" t="s">
        <v>460</v>
      </c>
      <c r="B24" s="41">
        <v>2.13</v>
      </c>
      <c r="C24" s="41">
        <v>14.91</v>
      </c>
      <c r="D24" s="41">
        <v>9.5</v>
      </c>
      <c r="E24" s="41">
        <v>8.0299999999999994</v>
      </c>
      <c r="F24" s="27" t="s">
        <v>8</v>
      </c>
      <c r="G24" s="41">
        <v>31.49</v>
      </c>
      <c r="H24" s="41">
        <v>11.91</v>
      </c>
      <c r="I24" s="41">
        <v>8.74</v>
      </c>
      <c r="J24" s="41">
        <v>0.56999999999999995</v>
      </c>
      <c r="K24" s="41">
        <v>180.5</v>
      </c>
      <c r="L24" s="41">
        <v>17.149999999999999</v>
      </c>
      <c r="M24" s="41">
        <v>24.08</v>
      </c>
      <c r="N24" s="41">
        <v>74.5</v>
      </c>
      <c r="O24" s="41">
        <v>0</v>
      </c>
      <c r="P24" s="41">
        <v>0.47</v>
      </c>
      <c r="Q24" s="41">
        <v>9.32</v>
      </c>
      <c r="R24" s="38"/>
      <c r="S24" s="38"/>
      <c r="T24" s="38"/>
      <c r="U24" s="38"/>
    </row>
    <row r="25" spans="1:21" customFormat="1">
      <c r="A25" s="40" t="s">
        <v>461</v>
      </c>
      <c r="B25" s="41">
        <v>2.2799999999999998</v>
      </c>
      <c r="C25" s="41">
        <v>15.19</v>
      </c>
      <c r="D25" s="41">
        <v>9.7100000000000009</v>
      </c>
      <c r="E25" s="41">
        <v>7.1</v>
      </c>
      <c r="F25" s="27" t="s">
        <v>8</v>
      </c>
      <c r="G25" s="41">
        <v>33.200000000000003</v>
      </c>
      <c r="H25" s="41">
        <v>11.91</v>
      </c>
      <c r="I25" s="41">
        <v>8.4700000000000006</v>
      </c>
      <c r="J25" s="41">
        <v>0.26</v>
      </c>
      <c r="K25" s="41">
        <v>169.69</v>
      </c>
      <c r="L25" s="41">
        <v>16.100000000000001</v>
      </c>
      <c r="M25" s="41">
        <v>22.38</v>
      </c>
      <c r="N25" s="41">
        <v>49.2</v>
      </c>
      <c r="O25" s="41">
        <v>0</v>
      </c>
      <c r="P25" s="41">
        <v>0.46</v>
      </c>
      <c r="Q25" s="41">
        <v>9.32</v>
      </c>
      <c r="R25" s="38"/>
      <c r="S25" s="38"/>
      <c r="T25" s="38"/>
      <c r="U25" s="38"/>
    </row>
    <row r="26" spans="1:21" customFormat="1">
      <c r="A26" s="40" t="s">
        <v>462</v>
      </c>
      <c r="B26" s="41">
        <v>2.74</v>
      </c>
      <c r="C26" s="41">
        <v>16.29</v>
      </c>
      <c r="D26" s="41">
        <v>10.71</v>
      </c>
      <c r="E26" s="41">
        <v>6.84</v>
      </c>
      <c r="F26" s="27" t="s">
        <v>8</v>
      </c>
      <c r="G26" s="41">
        <v>40.57</v>
      </c>
      <c r="H26" s="41">
        <v>12.11</v>
      </c>
      <c r="I26" s="41">
        <v>8.25</v>
      </c>
      <c r="J26" s="41">
        <v>0.28999999999999998</v>
      </c>
      <c r="K26" s="41">
        <v>175.37</v>
      </c>
      <c r="L26" s="41">
        <v>16.46</v>
      </c>
      <c r="M26" s="41">
        <v>23.67</v>
      </c>
      <c r="N26" s="41">
        <v>7.8</v>
      </c>
      <c r="O26" s="41">
        <v>0</v>
      </c>
      <c r="P26" s="41">
        <v>0.47</v>
      </c>
      <c r="Q26" s="41">
        <v>9.32</v>
      </c>
      <c r="R26" s="38"/>
      <c r="S26" s="38"/>
      <c r="T26" s="38"/>
      <c r="U26" s="38"/>
    </row>
    <row r="27" spans="1:21" customFormat="1">
      <c r="A27" s="40" t="s">
        <v>463</v>
      </c>
      <c r="B27" s="41">
        <v>4.41</v>
      </c>
      <c r="C27" s="41">
        <v>18.84</v>
      </c>
      <c r="D27" s="41">
        <v>13.38</v>
      </c>
      <c r="E27" s="41">
        <v>6.81</v>
      </c>
      <c r="F27" s="27" t="s">
        <v>8</v>
      </c>
      <c r="G27" s="41">
        <v>47.48</v>
      </c>
      <c r="H27" s="41">
        <v>13.5</v>
      </c>
      <c r="I27" s="41">
        <v>8.49</v>
      </c>
      <c r="J27" s="41">
        <v>0.31</v>
      </c>
      <c r="K27" s="41">
        <v>205.27</v>
      </c>
      <c r="L27" s="41">
        <v>17.100000000000001</v>
      </c>
      <c r="M27" s="41">
        <v>25.17</v>
      </c>
      <c r="N27" s="41">
        <v>1.7</v>
      </c>
      <c r="O27" s="41">
        <v>0</v>
      </c>
      <c r="P27" s="41">
        <v>0.53</v>
      </c>
      <c r="Q27" s="41">
        <v>9.32</v>
      </c>
      <c r="R27" s="38"/>
      <c r="S27" s="38"/>
      <c r="T27" s="38"/>
      <c r="U27" s="38"/>
    </row>
    <row r="28" spans="1:21" customFormat="1">
      <c r="A28" s="40" t="s">
        <v>464</v>
      </c>
      <c r="B28" s="41">
        <v>5.92</v>
      </c>
      <c r="C28" s="41">
        <v>19.93</v>
      </c>
      <c r="D28" s="41">
        <v>15.16</v>
      </c>
      <c r="E28" s="41">
        <v>6.97</v>
      </c>
      <c r="F28" s="27" t="s">
        <v>8</v>
      </c>
      <c r="G28" s="41">
        <v>55.71</v>
      </c>
      <c r="H28" s="41">
        <v>14.92</v>
      </c>
      <c r="I28" s="41">
        <v>9.35</v>
      </c>
      <c r="J28" s="41">
        <v>0.26</v>
      </c>
      <c r="K28" s="41">
        <v>190.5</v>
      </c>
      <c r="L28" s="41">
        <v>17.170000000000002</v>
      </c>
      <c r="M28" s="41">
        <v>25.48</v>
      </c>
      <c r="N28" s="41">
        <v>1.5</v>
      </c>
      <c r="O28" s="41">
        <v>0</v>
      </c>
      <c r="P28" s="41">
        <v>0.61</v>
      </c>
      <c r="Q28" s="41">
        <v>11</v>
      </c>
      <c r="R28" s="38"/>
      <c r="S28" s="38"/>
      <c r="T28" s="38"/>
      <c r="U28" s="38"/>
    </row>
    <row r="29" spans="1:21" customFormat="1">
      <c r="A29" s="40" t="s">
        <v>465</v>
      </c>
      <c r="B29" s="41">
        <v>8.35</v>
      </c>
      <c r="C29" s="41">
        <v>20.83</v>
      </c>
      <c r="D29" s="41">
        <v>17.57</v>
      </c>
      <c r="E29" s="41">
        <v>7.13</v>
      </c>
      <c r="F29" s="27" t="s">
        <v>8</v>
      </c>
      <c r="G29" s="41">
        <v>63.92</v>
      </c>
      <c r="H29" s="41">
        <v>17.16</v>
      </c>
      <c r="I29" s="41">
        <v>10.41</v>
      </c>
      <c r="J29" s="41">
        <v>0.26</v>
      </c>
      <c r="K29" s="41">
        <v>190.29</v>
      </c>
      <c r="L29" s="41">
        <v>17.29</v>
      </c>
      <c r="M29" s="41">
        <v>25.79</v>
      </c>
      <c r="N29" s="41">
        <v>1.4</v>
      </c>
      <c r="O29" s="41">
        <v>0</v>
      </c>
      <c r="P29" s="41">
        <v>0.67</v>
      </c>
      <c r="Q29" s="41">
        <v>9.9600000000000009</v>
      </c>
      <c r="R29" s="38"/>
      <c r="S29" s="38"/>
      <c r="T29" s="38"/>
      <c r="U29" s="38"/>
    </row>
    <row r="30" spans="1:21" customFormat="1">
      <c r="A30" s="40" t="s">
        <v>466</v>
      </c>
      <c r="B30" s="41">
        <v>10.88</v>
      </c>
      <c r="C30" s="41">
        <v>21.24</v>
      </c>
      <c r="D30" s="41">
        <v>19.82</v>
      </c>
      <c r="E30" s="41">
        <v>7.16</v>
      </c>
      <c r="F30" s="27" t="s">
        <v>8</v>
      </c>
      <c r="G30" s="41">
        <v>63.92</v>
      </c>
      <c r="H30" s="41">
        <v>18.36</v>
      </c>
      <c r="I30" s="41">
        <v>11.39</v>
      </c>
      <c r="J30" s="41">
        <v>0.2</v>
      </c>
      <c r="K30" s="41">
        <v>208.14</v>
      </c>
      <c r="L30" s="41">
        <v>18.510000000000002</v>
      </c>
      <c r="M30" s="41">
        <v>28.84</v>
      </c>
      <c r="N30" s="41">
        <v>1.4</v>
      </c>
      <c r="O30" s="41">
        <v>0</v>
      </c>
      <c r="P30" s="41">
        <v>0.74</v>
      </c>
      <c r="Q30" s="41">
        <v>9.33</v>
      </c>
      <c r="R30" s="38"/>
      <c r="S30" s="38"/>
      <c r="T30" s="38"/>
      <c r="U30" s="38"/>
    </row>
    <row r="31" spans="1:21" customFormat="1">
      <c r="A31" s="40" t="s">
        <v>467</v>
      </c>
      <c r="B31" s="41">
        <v>11.88</v>
      </c>
      <c r="C31" s="41">
        <v>21.24</v>
      </c>
      <c r="D31" s="41">
        <v>20.420000000000002</v>
      </c>
      <c r="E31" s="41">
        <v>7.06</v>
      </c>
      <c r="F31" s="27" t="s">
        <v>8</v>
      </c>
      <c r="G31" s="41">
        <v>67.31</v>
      </c>
      <c r="H31" s="41">
        <v>18.850000000000001</v>
      </c>
      <c r="I31" s="41">
        <v>12.19</v>
      </c>
      <c r="J31" s="41">
        <v>0.22</v>
      </c>
      <c r="K31" s="41">
        <v>178.82</v>
      </c>
      <c r="L31" s="41">
        <v>16.52</v>
      </c>
      <c r="M31" s="41">
        <v>23.78</v>
      </c>
      <c r="N31" s="41">
        <v>1.4</v>
      </c>
      <c r="O31" s="41">
        <v>0</v>
      </c>
      <c r="P31" s="41">
        <v>0.79</v>
      </c>
      <c r="Q31" s="41">
        <v>9.32</v>
      </c>
      <c r="R31" s="38"/>
      <c r="S31" s="38"/>
      <c r="T31" s="38"/>
      <c r="U31" s="38"/>
    </row>
    <row r="32" spans="1:21" customFormat="1">
      <c r="A32" s="40" t="s">
        <v>468</v>
      </c>
      <c r="B32" s="41">
        <v>11.86</v>
      </c>
      <c r="C32" s="41">
        <v>20.28</v>
      </c>
      <c r="D32" s="41">
        <v>20.100000000000001</v>
      </c>
      <c r="E32" s="41">
        <v>6.96</v>
      </c>
      <c r="F32" s="27" t="s">
        <v>8</v>
      </c>
      <c r="G32" s="41">
        <v>67.31</v>
      </c>
      <c r="H32" s="41">
        <v>19.38</v>
      </c>
      <c r="I32" s="41">
        <v>12.57</v>
      </c>
      <c r="J32" s="41">
        <v>0.24</v>
      </c>
      <c r="K32" s="41">
        <v>228.86</v>
      </c>
      <c r="L32" s="41">
        <v>20.11</v>
      </c>
      <c r="M32" s="41">
        <v>32.75</v>
      </c>
      <c r="N32" s="41">
        <v>1.5</v>
      </c>
      <c r="O32" s="41">
        <v>0</v>
      </c>
      <c r="P32" s="41">
        <v>0.82</v>
      </c>
      <c r="Q32" s="41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2.0299999999999998</v>
      </c>
      <c r="C34" s="18">
        <f t="shared" si="0"/>
        <v>14.91</v>
      </c>
      <c r="D34" s="18">
        <f t="shared" si="0"/>
        <v>9.5</v>
      </c>
      <c r="E34" s="18">
        <f t="shared" si="0"/>
        <v>5.22</v>
      </c>
      <c r="F34" s="18">
        <f t="shared" si="0"/>
        <v>0</v>
      </c>
      <c r="G34" s="18">
        <f t="shared" si="0"/>
        <v>31.49</v>
      </c>
      <c r="H34" s="18">
        <f t="shared" si="0"/>
        <v>11.76</v>
      </c>
      <c r="I34" s="18">
        <f t="shared" si="0"/>
        <v>8.25</v>
      </c>
      <c r="J34" s="18">
        <f t="shared" si="0"/>
        <v>0.13</v>
      </c>
      <c r="K34" s="18">
        <f t="shared" si="0"/>
        <v>41.32</v>
      </c>
      <c r="L34" s="18">
        <f t="shared" si="0"/>
        <v>12.75</v>
      </c>
      <c r="M34" s="18">
        <f t="shared" si="0"/>
        <v>9</v>
      </c>
      <c r="N34" s="18">
        <f t="shared" si="0"/>
        <v>1.1000000000000001</v>
      </c>
      <c r="O34" s="18">
        <f t="shared" si="0"/>
        <v>0</v>
      </c>
      <c r="P34" s="18">
        <f t="shared" si="0"/>
        <v>0.46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15.76</v>
      </c>
      <c r="C35" s="3">
        <f t="shared" si="1"/>
        <v>21.41</v>
      </c>
      <c r="D35" s="3">
        <f t="shared" si="1"/>
        <v>22.61</v>
      </c>
      <c r="E35" s="3">
        <f t="shared" si="1"/>
        <v>8.19</v>
      </c>
      <c r="F35" s="3">
        <f t="shared" si="1"/>
        <v>0</v>
      </c>
      <c r="G35" s="3">
        <f t="shared" si="1"/>
        <v>67.31</v>
      </c>
      <c r="H35" s="3">
        <f t="shared" si="1"/>
        <v>19.38</v>
      </c>
      <c r="I35" s="3">
        <f t="shared" si="1"/>
        <v>13.03</v>
      </c>
      <c r="J35" s="3">
        <f t="shared" si="1"/>
        <v>0.95</v>
      </c>
      <c r="K35" s="3">
        <f t="shared" si="1"/>
        <v>250.83</v>
      </c>
      <c r="L35" s="3">
        <f t="shared" si="1"/>
        <v>23.91</v>
      </c>
      <c r="M35" s="3">
        <f t="shared" si="1"/>
        <v>32.75</v>
      </c>
      <c r="N35" s="3">
        <f t="shared" si="1"/>
        <v>594.29999999999995</v>
      </c>
      <c r="O35" s="3">
        <f t="shared" si="1"/>
        <v>0</v>
      </c>
      <c r="P35" s="3">
        <f t="shared" si="1"/>
        <v>0.82</v>
      </c>
      <c r="Q35" s="3">
        <f t="shared" si="1"/>
        <v>11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8.6495833333333323</v>
      </c>
      <c r="C36" s="18">
        <f t="shared" si="2"/>
        <v>18.501666666666665</v>
      </c>
      <c r="D36" s="18">
        <f t="shared" si="2"/>
        <v>16.544166666666666</v>
      </c>
      <c r="E36" s="18">
        <f t="shared" si="2"/>
        <v>6.3850000000000007</v>
      </c>
      <c r="F36" s="18" t="e">
        <f t="shared" si="2"/>
        <v>#DIV/0!</v>
      </c>
      <c r="G36" s="18">
        <f t="shared" si="2"/>
        <v>47.90625</v>
      </c>
      <c r="H36" s="18">
        <f t="shared" si="2"/>
        <v>14.79291666666667</v>
      </c>
      <c r="I36" s="18">
        <f t="shared" si="2"/>
        <v>10.894583333333335</v>
      </c>
      <c r="J36" s="18">
        <f t="shared" si="2"/>
        <v>0.41833333333333328</v>
      </c>
      <c r="K36" s="18">
        <f t="shared" si="2"/>
        <v>152.41541666666666</v>
      </c>
      <c r="L36" s="18">
        <f t="shared" si="2"/>
        <v>17.077083333333334</v>
      </c>
      <c r="M36" s="18">
        <f t="shared" si="2"/>
        <v>22.229166666666668</v>
      </c>
      <c r="N36" s="18">
        <f t="shared" si="2"/>
        <v>139.07500000000002</v>
      </c>
      <c r="O36" s="18">
        <f t="shared" si="2"/>
        <v>0</v>
      </c>
      <c r="P36" s="18">
        <f t="shared" si="2"/>
        <v>0.64875000000000005</v>
      </c>
      <c r="Q36" s="18">
        <f t="shared" si="2"/>
        <v>9.4283333333333292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4.6486299797258326</v>
      </c>
      <c r="C37" s="18">
        <f t="shared" ref="C37:Q37" si="3">STDEV(C9:C32)</f>
        <v>2.1593249079217172</v>
      </c>
      <c r="D37" s="18">
        <f t="shared" si="3"/>
        <v>4.3238981171549646</v>
      </c>
      <c r="E37" s="18">
        <f t="shared" si="3"/>
        <v>0.85840600508454834</v>
      </c>
      <c r="F37" s="18" t="e">
        <f t="shared" si="3"/>
        <v>#DIV/0!</v>
      </c>
      <c r="G37" s="18">
        <f t="shared" si="3"/>
        <v>10.246599356350645</v>
      </c>
      <c r="H37" s="18">
        <f t="shared" si="3"/>
        <v>2.1055072282957705</v>
      </c>
      <c r="I37" s="18">
        <f t="shared" si="3"/>
        <v>1.5012429029384884</v>
      </c>
      <c r="J37" s="18">
        <f t="shared" si="3"/>
        <v>0.21610518104701321</v>
      </c>
      <c r="K37" s="18">
        <f t="shared" si="3"/>
        <v>66.430620295631158</v>
      </c>
      <c r="L37" s="18">
        <f t="shared" si="3"/>
        <v>2.8517096003849103</v>
      </c>
      <c r="M37" s="18">
        <f t="shared" si="3"/>
        <v>6.8268115395916338</v>
      </c>
      <c r="N37" s="18">
        <f t="shared" si="3"/>
        <v>214.05437393335362</v>
      </c>
      <c r="O37" s="18">
        <f t="shared" si="3"/>
        <v>0</v>
      </c>
      <c r="P37" s="18">
        <f t="shared" si="3"/>
        <v>0.10135226987441177</v>
      </c>
      <c r="Q37" s="18">
        <f t="shared" si="3"/>
        <v>0.36061139708853479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>COUNT(F9:F32)+24</f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96"/>
  <sheetViews>
    <sheetView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F25" sqref="F25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18/11/2025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469</v>
      </c>
      <c r="B9" s="41">
        <v>15.32</v>
      </c>
      <c r="C9" s="41">
        <v>18.91</v>
      </c>
      <c r="D9" s="41">
        <v>22.16</v>
      </c>
      <c r="E9" s="41">
        <v>6.7</v>
      </c>
      <c r="F9" s="41">
        <v>2.6</v>
      </c>
      <c r="G9" s="41">
        <v>57.94</v>
      </c>
      <c r="H9" s="41">
        <v>18.8</v>
      </c>
      <c r="I9" s="41">
        <v>12.66</v>
      </c>
      <c r="J9" s="41">
        <v>0.14000000000000001</v>
      </c>
      <c r="K9" s="41">
        <v>214.74</v>
      </c>
      <c r="L9" s="41">
        <v>18.98</v>
      </c>
      <c r="M9" s="41">
        <v>29.91</v>
      </c>
      <c r="N9" s="41">
        <v>1.3</v>
      </c>
      <c r="O9" s="41">
        <v>0</v>
      </c>
      <c r="P9" s="41">
        <v>0.81</v>
      </c>
      <c r="Q9" s="41">
        <v>9.32</v>
      </c>
      <c r="R9" s="38"/>
      <c r="S9" s="38"/>
      <c r="T9" s="38"/>
      <c r="U9" s="38"/>
    </row>
    <row r="10" spans="1:21" customFormat="1">
      <c r="A10" s="40" t="s">
        <v>470</v>
      </c>
      <c r="B10" s="41">
        <v>19.739999999999998</v>
      </c>
      <c r="C10" s="41">
        <v>20.22</v>
      </c>
      <c r="D10" s="41">
        <v>26.39</v>
      </c>
      <c r="E10" s="41">
        <v>6.89</v>
      </c>
      <c r="F10" s="41">
        <v>2.6</v>
      </c>
      <c r="G10" s="41">
        <v>52.66</v>
      </c>
      <c r="H10" s="41">
        <v>18.54</v>
      </c>
      <c r="I10" s="41">
        <v>12.58</v>
      </c>
      <c r="J10" s="41">
        <v>0.14000000000000001</v>
      </c>
      <c r="K10" s="41">
        <v>348.5</v>
      </c>
      <c r="L10" s="41">
        <v>17.55</v>
      </c>
      <c r="M10" s="41">
        <v>26.18</v>
      </c>
      <c r="N10" s="41">
        <v>1.3</v>
      </c>
      <c r="O10" s="41">
        <v>0</v>
      </c>
      <c r="P10" s="41">
        <v>0.8</v>
      </c>
      <c r="Q10" s="41">
        <v>9.32</v>
      </c>
      <c r="R10" s="38"/>
      <c r="S10" s="38"/>
      <c r="T10" s="38"/>
      <c r="U10" s="38"/>
    </row>
    <row r="11" spans="1:21" customFormat="1">
      <c r="A11" s="40" t="s">
        <v>471</v>
      </c>
      <c r="B11" s="41">
        <v>19.48</v>
      </c>
      <c r="C11" s="41">
        <v>19.93</v>
      </c>
      <c r="D11" s="41">
        <v>26.03</v>
      </c>
      <c r="E11" s="41">
        <v>5.26</v>
      </c>
      <c r="F11" s="41">
        <v>2.6</v>
      </c>
      <c r="G11" s="41">
        <v>51.51</v>
      </c>
      <c r="H11" s="41">
        <v>17.649999999999999</v>
      </c>
      <c r="I11" s="41">
        <v>12.4</v>
      </c>
      <c r="J11" s="41">
        <v>0.2</v>
      </c>
      <c r="K11" s="41">
        <v>171.86</v>
      </c>
      <c r="L11" s="41">
        <v>16.260000000000002</v>
      </c>
      <c r="M11" s="41">
        <v>23.15</v>
      </c>
      <c r="N11" s="41">
        <v>1.4</v>
      </c>
      <c r="O11" s="41">
        <v>0</v>
      </c>
      <c r="P11" s="41">
        <v>0.77</v>
      </c>
      <c r="Q11" s="41">
        <v>9.32</v>
      </c>
      <c r="R11" s="38"/>
      <c r="S11" s="38"/>
      <c r="T11" s="38"/>
      <c r="U11" s="38"/>
    </row>
    <row r="12" spans="1:21" customFormat="1">
      <c r="A12" s="40" t="s">
        <v>472</v>
      </c>
      <c r="B12" s="41">
        <v>17.690000000000001</v>
      </c>
      <c r="C12" s="41">
        <v>19.420000000000002</v>
      </c>
      <c r="D12" s="41">
        <v>24.33</v>
      </c>
      <c r="E12" s="41">
        <v>5.29</v>
      </c>
      <c r="F12" s="41">
        <v>2.6</v>
      </c>
      <c r="G12" s="41">
        <v>50.2</v>
      </c>
      <c r="H12" s="41">
        <v>17.649999999999999</v>
      </c>
      <c r="I12" s="41">
        <v>12.24</v>
      </c>
      <c r="J12" s="41">
        <v>0.14000000000000001</v>
      </c>
      <c r="K12" s="41">
        <v>159.79</v>
      </c>
      <c r="L12" s="41">
        <v>14.85</v>
      </c>
      <c r="M12" s="41">
        <v>19.63</v>
      </c>
      <c r="N12" s="41">
        <v>1.3</v>
      </c>
      <c r="O12" s="41">
        <v>0</v>
      </c>
      <c r="P12" s="41">
        <v>0.76</v>
      </c>
      <c r="Q12" s="41">
        <v>9.32</v>
      </c>
      <c r="R12" s="38"/>
      <c r="S12" s="38"/>
      <c r="T12" s="38"/>
      <c r="U12" s="38"/>
    </row>
    <row r="13" spans="1:21" customFormat="1">
      <c r="A13" s="40" t="s">
        <v>473</v>
      </c>
      <c r="B13" s="41">
        <v>16.3</v>
      </c>
      <c r="C13" s="41">
        <v>19.010000000000002</v>
      </c>
      <c r="D13" s="41">
        <v>23</v>
      </c>
      <c r="E13" s="41">
        <v>5.37</v>
      </c>
      <c r="F13" s="41">
        <v>2.6</v>
      </c>
      <c r="G13" s="41">
        <v>49.26</v>
      </c>
      <c r="H13" s="41">
        <v>16.95</v>
      </c>
      <c r="I13" s="41">
        <v>12.1</v>
      </c>
      <c r="J13" s="41">
        <v>0.24</v>
      </c>
      <c r="K13" s="41">
        <v>140.33000000000001</v>
      </c>
      <c r="L13" s="41">
        <v>12.89</v>
      </c>
      <c r="M13" s="41">
        <v>14.74</v>
      </c>
      <c r="N13" s="41">
        <v>1.3</v>
      </c>
      <c r="O13" s="41">
        <v>0</v>
      </c>
      <c r="P13" s="41">
        <v>0.7</v>
      </c>
      <c r="Q13" s="41">
        <v>9.32</v>
      </c>
      <c r="R13" s="38"/>
      <c r="S13" s="38"/>
      <c r="T13" s="38"/>
      <c r="U13" s="38"/>
    </row>
    <row r="14" spans="1:21" customFormat="1">
      <c r="A14" s="40" t="s">
        <v>474</v>
      </c>
      <c r="B14" s="41">
        <v>14.8</v>
      </c>
      <c r="C14" s="41">
        <v>18.78</v>
      </c>
      <c r="D14" s="41">
        <v>21.68</v>
      </c>
      <c r="E14" s="41">
        <v>5.32</v>
      </c>
      <c r="F14" s="41">
        <v>5.6</v>
      </c>
      <c r="G14" s="41">
        <v>48.29</v>
      </c>
      <c r="H14" s="41">
        <v>16.68</v>
      </c>
      <c r="I14" s="41">
        <v>12.32</v>
      </c>
      <c r="J14" s="41">
        <v>0.16</v>
      </c>
      <c r="K14" s="41">
        <v>204.42</v>
      </c>
      <c r="L14" s="41">
        <v>18.14</v>
      </c>
      <c r="M14" s="41">
        <v>27.89</v>
      </c>
      <c r="N14" s="41">
        <v>1.4</v>
      </c>
      <c r="O14" s="41">
        <v>0</v>
      </c>
      <c r="P14" s="41">
        <v>0.69</v>
      </c>
      <c r="Q14" s="41">
        <v>9.32</v>
      </c>
      <c r="R14" s="38"/>
      <c r="S14" s="38"/>
      <c r="T14" s="38"/>
      <c r="U14" s="38"/>
    </row>
    <row r="15" spans="1:21" customFormat="1">
      <c r="A15" s="40" t="s">
        <v>475</v>
      </c>
      <c r="B15" s="41">
        <v>14.82</v>
      </c>
      <c r="C15" s="41">
        <v>18.21</v>
      </c>
      <c r="D15" s="41">
        <v>21.2</v>
      </c>
      <c r="E15" s="41">
        <v>5.36</v>
      </c>
      <c r="F15" s="41">
        <v>2.2999999999999998</v>
      </c>
      <c r="G15" s="41">
        <v>46.91</v>
      </c>
      <c r="H15" s="41">
        <v>16.75</v>
      </c>
      <c r="I15" s="41">
        <v>12.36</v>
      </c>
      <c r="J15" s="41">
        <v>0.19</v>
      </c>
      <c r="K15" s="41">
        <v>225.45</v>
      </c>
      <c r="L15" s="41">
        <v>19.63</v>
      </c>
      <c r="M15" s="41">
        <v>31.59</v>
      </c>
      <c r="N15" s="41">
        <v>27.8</v>
      </c>
      <c r="O15" s="41">
        <v>0</v>
      </c>
      <c r="P15" s="41">
        <v>0.68</v>
      </c>
      <c r="Q15" s="41">
        <v>9.32</v>
      </c>
      <c r="R15" s="38"/>
      <c r="S15" s="38"/>
      <c r="T15" s="38"/>
      <c r="U15" s="38"/>
    </row>
    <row r="16" spans="1:21" customFormat="1">
      <c r="A16" s="40" t="s">
        <v>476</v>
      </c>
      <c r="B16" s="41">
        <v>17.43</v>
      </c>
      <c r="C16" s="41">
        <v>18.190000000000001</v>
      </c>
      <c r="D16" s="41">
        <v>23.48</v>
      </c>
      <c r="E16" s="41">
        <v>5.51</v>
      </c>
      <c r="F16" s="41">
        <v>2.6</v>
      </c>
      <c r="G16" s="41">
        <v>45.98</v>
      </c>
      <c r="H16" s="41">
        <v>17.649999999999999</v>
      </c>
      <c r="I16" s="41">
        <v>12.51</v>
      </c>
      <c r="J16" s="41">
        <v>0.4</v>
      </c>
      <c r="K16" s="41">
        <v>217.25</v>
      </c>
      <c r="L16" s="41">
        <v>18.03</v>
      </c>
      <c r="M16" s="41">
        <v>26.38</v>
      </c>
      <c r="N16" s="41">
        <v>148.1</v>
      </c>
      <c r="O16" s="41">
        <v>0</v>
      </c>
      <c r="P16" s="41">
        <v>0.7</v>
      </c>
      <c r="Q16" s="41">
        <v>9.32</v>
      </c>
      <c r="R16" s="38"/>
      <c r="S16" s="38"/>
      <c r="T16" s="38"/>
      <c r="U16" s="38"/>
    </row>
    <row r="17" spans="1:21" customFormat="1">
      <c r="A17" s="40" t="s">
        <v>477</v>
      </c>
      <c r="B17" s="41">
        <v>17.190000000000001</v>
      </c>
      <c r="C17" s="41">
        <v>19.84</v>
      </c>
      <c r="D17" s="41">
        <v>23.64</v>
      </c>
      <c r="E17" s="41">
        <v>5.6</v>
      </c>
      <c r="F17" s="41">
        <v>5.6</v>
      </c>
      <c r="G17" s="41">
        <v>53.92</v>
      </c>
      <c r="H17" s="41">
        <v>19.829999999999998</v>
      </c>
      <c r="I17" s="41">
        <v>13.46</v>
      </c>
      <c r="J17" s="41">
        <v>0.79</v>
      </c>
      <c r="K17" s="41">
        <v>41.76</v>
      </c>
      <c r="L17" s="41">
        <v>11.98</v>
      </c>
      <c r="M17" s="41">
        <v>5.36</v>
      </c>
      <c r="N17" s="41">
        <v>306.60000000000002</v>
      </c>
      <c r="O17" s="41">
        <v>0</v>
      </c>
      <c r="P17" s="41">
        <v>0.77</v>
      </c>
      <c r="Q17" s="41">
        <v>9.32</v>
      </c>
      <c r="R17" s="38"/>
      <c r="S17" s="38"/>
      <c r="T17" s="38"/>
      <c r="U17" s="38"/>
    </row>
    <row r="18" spans="1:21" customFormat="1">
      <c r="A18" s="40" t="s">
        <v>478</v>
      </c>
      <c r="B18" s="41">
        <v>15.2</v>
      </c>
      <c r="C18" s="41">
        <v>20.29</v>
      </c>
      <c r="D18" s="41">
        <v>22.58</v>
      </c>
      <c r="E18" s="41">
        <v>5.87</v>
      </c>
      <c r="F18" s="41">
        <v>2.6</v>
      </c>
      <c r="G18" s="41">
        <v>58.42</v>
      </c>
      <c r="H18" s="41">
        <v>19.829999999999998</v>
      </c>
      <c r="I18" s="41">
        <v>13.69</v>
      </c>
      <c r="J18" s="41">
        <v>0.7</v>
      </c>
      <c r="K18" s="41">
        <v>47.7</v>
      </c>
      <c r="L18" s="41">
        <v>15.74</v>
      </c>
      <c r="M18" s="41">
        <v>12.87</v>
      </c>
      <c r="N18" s="41">
        <v>376.8</v>
      </c>
      <c r="O18" s="41">
        <v>0</v>
      </c>
      <c r="P18" s="41">
        <v>0.78</v>
      </c>
      <c r="Q18" s="41">
        <v>9.32</v>
      </c>
      <c r="R18" s="38"/>
      <c r="S18" s="38"/>
      <c r="T18" s="38"/>
      <c r="U18" s="38"/>
    </row>
    <row r="19" spans="1:21" customFormat="1">
      <c r="A19" s="40" t="s">
        <v>479</v>
      </c>
      <c r="B19" s="41">
        <v>13.11</v>
      </c>
      <c r="C19" s="41">
        <v>20.37</v>
      </c>
      <c r="D19" s="41">
        <v>21.16</v>
      </c>
      <c r="E19" s="41">
        <v>6.08</v>
      </c>
      <c r="F19" s="41">
        <v>2.6</v>
      </c>
      <c r="G19" s="41">
        <v>58.42</v>
      </c>
      <c r="H19" s="41">
        <v>19.399999999999999</v>
      </c>
      <c r="I19" s="41">
        <v>13.16</v>
      </c>
      <c r="J19" s="41">
        <v>0.7</v>
      </c>
      <c r="K19" s="41">
        <v>118.39</v>
      </c>
      <c r="L19" s="41">
        <v>17.73</v>
      </c>
      <c r="M19" s="41">
        <v>15.63</v>
      </c>
      <c r="N19" s="41">
        <v>527.1</v>
      </c>
      <c r="O19" s="41">
        <v>0</v>
      </c>
      <c r="P19" s="41">
        <v>0.77</v>
      </c>
      <c r="Q19" s="41">
        <v>9.32</v>
      </c>
      <c r="R19" s="38"/>
      <c r="S19" s="38"/>
      <c r="T19" s="38"/>
      <c r="U19" s="38"/>
    </row>
    <row r="20" spans="1:21" customFormat="1">
      <c r="A20" s="40" t="s">
        <v>480</v>
      </c>
      <c r="B20" s="41">
        <v>9.26</v>
      </c>
      <c r="C20" s="41">
        <v>20.07</v>
      </c>
      <c r="D20" s="41">
        <v>17.91</v>
      </c>
      <c r="E20" s="41">
        <v>6.52</v>
      </c>
      <c r="F20" s="41">
        <v>2.8</v>
      </c>
      <c r="G20" s="41">
        <v>49.61</v>
      </c>
      <c r="H20" s="41">
        <v>17.059999999999999</v>
      </c>
      <c r="I20" s="41">
        <v>12.68</v>
      </c>
      <c r="J20" s="41">
        <v>0.7</v>
      </c>
      <c r="K20" s="41">
        <v>42.95</v>
      </c>
      <c r="L20" s="41">
        <v>18.32</v>
      </c>
      <c r="M20" s="41">
        <v>15.18</v>
      </c>
      <c r="N20" s="41">
        <v>573.29999999999995</v>
      </c>
      <c r="O20" s="41">
        <v>0</v>
      </c>
      <c r="P20" s="41">
        <v>0.74</v>
      </c>
      <c r="Q20" s="41">
        <v>9.32</v>
      </c>
      <c r="R20" s="38"/>
      <c r="S20" s="38"/>
      <c r="T20" s="38"/>
      <c r="U20" s="38"/>
    </row>
    <row r="21" spans="1:21" customFormat="1">
      <c r="A21" s="40" t="s">
        <v>481</v>
      </c>
      <c r="B21" s="41">
        <v>5.5</v>
      </c>
      <c r="C21" s="41">
        <v>19.71</v>
      </c>
      <c r="D21" s="41">
        <v>14.71</v>
      </c>
      <c r="E21" s="41">
        <v>6.34</v>
      </c>
      <c r="F21" s="41">
        <v>3.6</v>
      </c>
      <c r="G21" s="41">
        <v>43.69</v>
      </c>
      <c r="H21" s="41">
        <v>13.78</v>
      </c>
      <c r="I21" s="41">
        <v>11.91</v>
      </c>
      <c r="J21" s="41">
        <v>0.53</v>
      </c>
      <c r="K21" s="41">
        <v>147.65</v>
      </c>
      <c r="L21" s="41">
        <v>20.170000000000002</v>
      </c>
      <c r="M21" s="41">
        <v>19.71</v>
      </c>
      <c r="N21" s="41">
        <v>550.9</v>
      </c>
      <c r="O21" s="41">
        <v>0</v>
      </c>
      <c r="P21" s="41">
        <v>0.68</v>
      </c>
      <c r="Q21" s="41">
        <v>9.83</v>
      </c>
      <c r="R21" s="38"/>
      <c r="S21" s="38"/>
      <c r="T21" s="38"/>
      <c r="U21" s="38"/>
    </row>
    <row r="22" spans="1:21" customFormat="1">
      <c r="A22" s="40" t="s">
        <v>482</v>
      </c>
      <c r="B22" s="41">
        <v>2.94</v>
      </c>
      <c r="C22" s="41">
        <v>18.239999999999998</v>
      </c>
      <c r="D22" s="41">
        <v>11.89</v>
      </c>
      <c r="E22" s="41">
        <v>6.46</v>
      </c>
      <c r="F22" s="41">
        <v>3.6</v>
      </c>
      <c r="G22" s="41">
        <v>34.69</v>
      </c>
      <c r="H22" s="41">
        <v>13.22</v>
      </c>
      <c r="I22" s="41">
        <v>11.33</v>
      </c>
      <c r="J22" s="41">
        <v>0.47</v>
      </c>
      <c r="K22" s="41">
        <v>155.1</v>
      </c>
      <c r="L22" s="41">
        <v>19.13</v>
      </c>
      <c r="M22" s="41">
        <v>19.489999999999998</v>
      </c>
      <c r="N22" s="41">
        <v>454.3</v>
      </c>
      <c r="O22" s="41">
        <v>0</v>
      </c>
      <c r="P22" s="41">
        <v>0.64</v>
      </c>
      <c r="Q22" s="41">
        <v>9.7100000000000009</v>
      </c>
      <c r="R22" s="38"/>
      <c r="S22" s="38"/>
      <c r="T22" s="38"/>
      <c r="U22" s="38"/>
    </row>
    <row r="23" spans="1:21" customFormat="1">
      <c r="A23" s="40" t="s">
        <v>483</v>
      </c>
      <c r="B23" s="41">
        <v>1.66</v>
      </c>
      <c r="C23" s="41">
        <v>16.760000000000002</v>
      </c>
      <c r="D23" s="41">
        <v>10.08</v>
      </c>
      <c r="E23" s="41">
        <v>6.39</v>
      </c>
      <c r="F23" s="41">
        <v>3.6</v>
      </c>
      <c r="G23" s="41">
        <v>33.35</v>
      </c>
      <c r="H23" s="41">
        <v>11.89</v>
      </c>
      <c r="I23" s="41">
        <v>10.86</v>
      </c>
      <c r="J23" s="41">
        <v>0.37</v>
      </c>
      <c r="K23" s="41">
        <v>263.82</v>
      </c>
      <c r="L23" s="41">
        <v>19.09</v>
      </c>
      <c r="M23" s="41">
        <v>27.35</v>
      </c>
      <c r="N23" s="41">
        <v>116.7</v>
      </c>
      <c r="O23" s="41">
        <v>0</v>
      </c>
      <c r="P23" s="41">
        <v>0.56000000000000005</v>
      </c>
      <c r="Q23" s="41">
        <v>9.32</v>
      </c>
      <c r="R23" s="38"/>
      <c r="S23" s="38"/>
      <c r="T23" s="38"/>
      <c r="U23" s="38"/>
    </row>
    <row r="24" spans="1:21" customFormat="1">
      <c r="A24" s="40" t="s">
        <v>484</v>
      </c>
      <c r="B24" s="41">
        <v>2.88</v>
      </c>
      <c r="C24" s="41">
        <v>15.26</v>
      </c>
      <c r="D24" s="41">
        <v>14.42</v>
      </c>
      <c r="E24" s="41">
        <v>9.3000000000000007</v>
      </c>
      <c r="F24" s="41">
        <v>17.3</v>
      </c>
      <c r="G24" s="41">
        <v>32.93</v>
      </c>
      <c r="H24" s="41">
        <v>11.83</v>
      </c>
      <c r="I24" s="41">
        <v>10.08</v>
      </c>
      <c r="J24" s="41">
        <v>0.26</v>
      </c>
      <c r="K24" s="41">
        <v>152.76</v>
      </c>
      <c r="L24" s="41">
        <v>15.46</v>
      </c>
      <c r="M24" s="41">
        <v>19.579999999999998</v>
      </c>
      <c r="N24" s="41">
        <v>72.3</v>
      </c>
      <c r="O24" s="41">
        <v>0</v>
      </c>
      <c r="P24" s="41">
        <v>0.52</v>
      </c>
      <c r="Q24" s="41">
        <v>9.32</v>
      </c>
      <c r="R24" s="38"/>
      <c r="S24" s="38"/>
      <c r="T24" s="38"/>
      <c r="U24" s="38"/>
    </row>
    <row r="25" spans="1:21" customFormat="1">
      <c r="A25" s="40" t="s">
        <v>485</v>
      </c>
      <c r="B25" s="41">
        <v>3.35</v>
      </c>
      <c r="C25" s="41">
        <v>16.66</v>
      </c>
      <c r="D25" s="41">
        <v>14.72</v>
      </c>
      <c r="E25" s="41">
        <v>9.24</v>
      </c>
      <c r="F25" s="41">
        <v>117.1</v>
      </c>
      <c r="G25" s="41">
        <v>33.450000000000003</v>
      </c>
      <c r="H25" s="41">
        <v>11.83</v>
      </c>
      <c r="I25" s="41">
        <v>8.59</v>
      </c>
      <c r="J25" s="41">
        <v>0.41</v>
      </c>
      <c r="K25" s="41">
        <v>164.06</v>
      </c>
      <c r="L25" s="41">
        <v>15.6</v>
      </c>
      <c r="M25" s="41">
        <v>21.1</v>
      </c>
      <c r="N25" s="41">
        <v>43.8</v>
      </c>
      <c r="O25" s="41">
        <v>0</v>
      </c>
      <c r="P25" s="41">
        <v>0.48</v>
      </c>
      <c r="Q25" s="41">
        <v>9.32</v>
      </c>
      <c r="R25" s="38"/>
      <c r="S25" s="38"/>
      <c r="T25" s="38"/>
      <c r="U25" s="38"/>
    </row>
    <row r="26" spans="1:21" customFormat="1">
      <c r="A26" s="40" t="s">
        <v>486</v>
      </c>
      <c r="B26" s="41">
        <v>3.38</v>
      </c>
      <c r="C26" s="41">
        <v>38.840000000000003</v>
      </c>
      <c r="D26" s="41">
        <v>23</v>
      </c>
      <c r="E26" s="41">
        <v>10.36</v>
      </c>
      <c r="F26" s="41">
        <v>5.9</v>
      </c>
      <c r="G26" s="41">
        <v>40.090000000000003</v>
      </c>
      <c r="H26" s="41">
        <v>11.44</v>
      </c>
      <c r="I26" s="41">
        <v>8.25</v>
      </c>
      <c r="J26" s="41">
        <v>0.28999999999999998</v>
      </c>
      <c r="K26" s="41">
        <v>167.89</v>
      </c>
      <c r="L26" s="41">
        <v>15.96</v>
      </c>
      <c r="M26" s="41">
        <v>21.74</v>
      </c>
      <c r="N26" s="41">
        <v>7.4</v>
      </c>
      <c r="O26" s="41">
        <v>0</v>
      </c>
      <c r="P26" s="41">
        <v>0.76</v>
      </c>
      <c r="Q26" s="41">
        <v>9.32</v>
      </c>
      <c r="R26" s="38"/>
      <c r="S26" s="38"/>
      <c r="T26" s="38"/>
      <c r="U26" s="38"/>
    </row>
    <row r="27" spans="1:21" customFormat="1">
      <c r="A27" s="40" t="s">
        <v>487</v>
      </c>
      <c r="B27" s="41">
        <v>5.85</v>
      </c>
      <c r="C27" s="41">
        <v>37.39</v>
      </c>
      <c r="D27" s="41">
        <v>22.58</v>
      </c>
      <c r="E27" s="41">
        <v>2.21</v>
      </c>
      <c r="F27" s="41">
        <v>5.9</v>
      </c>
      <c r="G27" s="41">
        <v>52.47</v>
      </c>
      <c r="H27" s="41">
        <v>13.86</v>
      </c>
      <c r="I27" s="41">
        <v>10.73</v>
      </c>
      <c r="J27" s="41">
        <v>0.27</v>
      </c>
      <c r="K27" s="41">
        <v>197.58</v>
      </c>
      <c r="L27" s="41">
        <v>18.48</v>
      </c>
      <c r="M27" s="41">
        <v>28.22</v>
      </c>
      <c r="N27" s="41">
        <v>1.7</v>
      </c>
      <c r="O27" s="41">
        <v>0</v>
      </c>
      <c r="P27" s="41">
        <v>0.81</v>
      </c>
      <c r="Q27" s="41">
        <v>9.32</v>
      </c>
      <c r="R27" s="38"/>
      <c r="S27" s="38"/>
      <c r="T27" s="38"/>
      <c r="U27" s="38"/>
    </row>
    <row r="28" spans="1:21" customFormat="1">
      <c r="A28" s="40" t="s">
        <v>488</v>
      </c>
      <c r="B28" s="41">
        <v>8.74</v>
      </c>
      <c r="C28" s="41">
        <v>26.09</v>
      </c>
      <c r="D28" s="41">
        <v>19.16</v>
      </c>
      <c r="E28" s="41">
        <v>1.51</v>
      </c>
      <c r="F28" s="41">
        <v>5.9</v>
      </c>
      <c r="G28" s="41">
        <v>55.7</v>
      </c>
      <c r="H28" s="41">
        <v>14.56</v>
      </c>
      <c r="I28" s="41">
        <v>9.2799999999999994</v>
      </c>
      <c r="J28" s="41">
        <v>0.26</v>
      </c>
      <c r="K28" s="41">
        <v>162.46</v>
      </c>
      <c r="L28" s="41">
        <v>15.44</v>
      </c>
      <c r="M28" s="41">
        <v>20.67</v>
      </c>
      <c r="N28" s="41">
        <v>1.6</v>
      </c>
      <c r="O28" s="41">
        <v>0</v>
      </c>
      <c r="P28" s="41">
        <v>0.87</v>
      </c>
      <c r="Q28" s="41">
        <v>9.32</v>
      </c>
      <c r="R28" s="38"/>
      <c r="S28" s="38"/>
      <c r="T28" s="38"/>
      <c r="U28" s="38"/>
    </row>
    <row r="29" spans="1:21" customFormat="1">
      <c r="A29" s="40" t="s">
        <v>489</v>
      </c>
      <c r="B29" s="41">
        <v>12.53</v>
      </c>
      <c r="C29" s="41">
        <v>21.87</v>
      </c>
      <c r="D29" s="41">
        <v>20.79</v>
      </c>
      <c r="E29" s="41">
        <v>1.88</v>
      </c>
      <c r="F29" s="41">
        <v>5.9</v>
      </c>
      <c r="G29" s="41">
        <v>65.349999999999994</v>
      </c>
      <c r="H29" s="41">
        <v>18.079999999999998</v>
      </c>
      <c r="I29" s="41">
        <v>13.08</v>
      </c>
      <c r="J29" s="41">
        <v>0.24</v>
      </c>
      <c r="K29" s="41">
        <v>208.42</v>
      </c>
      <c r="L29" s="41">
        <v>18.64</v>
      </c>
      <c r="M29" s="41">
        <v>28.69</v>
      </c>
      <c r="N29" s="41">
        <v>1.7</v>
      </c>
      <c r="O29" s="41">
        <v>0</v>
      </c>
      <c r="P29" s="41">
        <v>0.94</v>
      </c>
      <c r="Q29" s="41">
        <v>9.32</v>
      </c>
      <c r="R29" s="38"/>
      <c r="S29" s="38"/>
      <c r="T29" s="38"/>
      <c r="U29" s="38"/>
    </row>
    <row r="30" spans="1:21" customFormat="1">
      <c r="A30" s="40" t="s">
        <v>490</v>
      </c>
      <c r="B30" s="41">
        <v>12.53</v>
      </c>
      <c r="C30" s="41">
        <v>19.84</v>
      </c>
      <c r="D30" s="41">
        <v>20.41</v>
      </c>
      <c r="E30" s="41">
        <v>1.93</v>
      </c>
      <c r="F30" s="41">
        <v>5.9</v>
      </c>
      <c r="G30" s="41">
        <v>65.349999999999994</v>
      </c>
      <c r="H30" s="41">
        <v>18.079999999999998</v>
      </c>
      <c r="I30" s="41">
        <v>13.87</v>
      </c>
      <c r="J30" s="41">
        <v>0.24</v>
      </c>
      <c r="K30" s="41">
        <v>222.52</v>
      </c>
      <c r="L30" s="41">
        <v>20.12</v>
      </c>
      <c r="M30" s="41">
        <v>32.44</v>
      </c>
      <c r="N30" s="41">
        <v>1.6</v>
      </c>
      <c r="O30" s="41">
        <v>0</v>
      </c>
      <c r="P30" s="41">
        <v>0.94</v>
      </c>
      <c r="Q30" s="41">
        <v>9.32</v>
      </c>
      <c r="R30" s="38"/>
      <c r="S30" s="38"/>
      <c r="T30" s="38"/>
      <c r="U30" s="38"/>
    </row>
    <row r="31" spans="1:21" customFormat="1">
      <c r="A31" s="40" t="s">
        <v>491</v>
      </c>
      <c r="B31" s="41">
        <v>12.02</v>
      </c>
      <c r="C31" s="41">
        <v>16.88</v>
      </c>
      <c r="D31" s="41">
        <v>18.46</v>
      </c>
      <c r="E31" s="41">
        <v>2.37</v>
      </c>
      <c r="F31" s="41">
        <v>5.9</v>
      </c>
      <c r="G31" s="41">
        <v>62.01</v>
      </c>
      <c r="H31" s="41">
        <v>17.309999999999999</v>
      </c>
      <c r="I31" s="41">
        <v>13.99</v>
      </c>
      <c r="J31" s="41">
        <v>0.2</v>
      </c>
      <c r="K31" s="41">
        <v>236.87</v>
      </c>
      <c r="L31" s="41">
        <v>20.68</v>
      </c>
      <c r="M31" s="41">
        <v>33.79</v>
      </c>
      <c r="N31" s="41">
        <v>1.4</v>
      </c>
      <c r="O31" s="41">
        <v>0</v>
      </c>
      <c r="P31" s="41">
        <v>0.91</v>
      </c>
      <c r="Q31" s="41">
        <v>9.32</v>
      </c>
      <c r="R31" s="38"/>
      <c r="S31" s="38"/>
      <c r="T31" s="38"/>
      <c r="U31" s="38"/>
    </row>
    <row r="32" spans="1:21" customFormat="1">
      <c r="A32" s="40" t="s">
        <v>492</v>
      </c>
      <c r="B32" s="41">
        <v>11.53</v>
      </c>
      <c r="C32" s="41">
        <v>15.65</v>
      </c>
      <c r="D32" s="41">
        <v>17.420000000000002</v>
      </c>
      <c r="E32" s="41">
        <v>2.61</v>
      </c>
      <c r="F32" s="41">
        <v>5.9</v>
      </c>
      <c r="G32" s="41">
        <v>61.19</v>
      </c>
      <c r="H32" s="41">
        <v>17.510000000000002</v>
      </c>
      <c r="I32" s="41">
        <v>13.95</v>
      </c>
      <c r="J32" s="41">
        <v>0.2</v>
      </c>
      <c r="K32" s="41">
        <v>224.99</v>
      </c>
      <c r="L32" s="41">
        <v>20.02</v>
      </c>
      <c r="M32" s="41">
        <v>31.95</v>
      </c>
      <c r="N32" s="41">
        <v>1.4</v>
      </c>
      <c r="O32" s="41">
        <v>0</v>
      </c>
      <c r="P32" s="41">
        <v>0.84</v>
      </c>
      <c r="Q32" s="41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1.66</v>
      </c>
      <c r="C34" s="18">
        <f t="shared" si="0"/>
        <v>15.26</v>
      </c>
      <c r="D34" s="18">
        <f t="shared" si="0"/>
        <v>10.08</v>
      </c>
      <c r="E34" s="18">
        <f t="shared" si="0"/>
        <v>1.51</v>
      </c>
      <c r="F34" s="18">
        <f t="shared" si="0"/>
        <v>2.2999999999999998</v>
      </c>
      <c r="G34" s="18">
        <f t="shared" si="0"/>
        <v>32.93</v>
      </c>
      <c r="H34" s="18">
        <f t="shared" si="0"/>
        <v>11.44</v>
      </c>
      <c r="I34" s="18">
        <f t="shared" si="0"/>
        <v>8.25</v>
      </c>
      <c r="J34" s="18">
        <f t="shared" si="0"/>
        <v>0.14000000000000001</v>
      </c>
      <c r="K34" s="18">
        <f t="shared" si="0"/>
        <v>41.76</v>
      </c>
      <c r="L34" s="18">
        <f t="shared" si="0"/>
        <v>11.98</v>
      </c>
      <c r="M34" s="18">
        <f t="shared" si="0"/>
        <v>5.36</v>
      </c>
      <c r="N34" s="18">
        <f t="shared" si="0"/>
        <v>1.3</v>
      </c>
      <c r="O34" s="18">
        <f t="shared" si="0"/>
        <v>0</v>
      </c>
      <c r="P34" s="18">
        <f t="shared" si="0"/>
        <v>0.48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19.739999999999998</v>
      </c>
      <c r="C35" s="3">
        <f t="shared" si="1"/>
        <v>38.840000000000003</v>
      </c>
      <c r="D35" s="3">
        <f t="shared" si="1"/>
        <v>26.39</v>
      </c>
      <c r="E35" s="3">
        <f t="shared" si="1"/>
        <v>10.36</v>
      </c>
      <c r="F35" s="3">
        <f t="shared" si="1"/>
        <v>117.1</v>
      </c>
      <c r="G35" s="3">
        <f t="shared" si="1"/>
        <v>65.349999999999994</v>
      </c>
      <c r="H35" s="3">
        <f t="shared" si="1"/>
        <v>19.829999999999998</v>
      </c>
      <c r="I35" s="3">
        <f t="shared" si="1"/>
        <v>13.99</v>
      </c>
      <c r="J35" s="3">
        <f t="shared" si="1"/>
        <v>0.79</v>
      </c>
      <c r="K35" s="3">
        <f t="shared" si="1"/>
        <v>348.5</v>
      </c>
      <c r="L35" s="3">
        <f t="shared" si="1"/>
        <v>20.68</v>
      </c>
      <c r="M35" s="3">
        <f t="shared" si="1"/>
        <v>33.79</v>
      </c>
      <c r="N35" s="3">
        <f t="shared" si="1"/>
        <v>573.29999999999995</v>
      </c>
      <c r="O35" s="3">
        <f t="shared" si="1"/>
        <v>0</v>
      </c>
      <c r="P35" s="3">
        <f t="shared" si="1"/>
        <v>0.94</v>
      </c>
      <c r="Q35" s="3">
        <f t="shared" si="1"/>
        <v>9.83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11.385416666666664</v>
      </c>
      <c r="C36" s="18">
        <f t="shared" si="2"/>
        <v>20.684583333333332</v>
      </c>
      <c r="D36" s="18">
        <f t="shared" si="2"/>
        <v>20.05</v>
      </c>
      <c r="E36" s="18">
        <f t="shared" si="2"/>
        <v>5.4320833333333338</v>
      </c>
      <c r="F36" s="18">
        <f t="shared" si="2"/>
        <v>9.3166666666666682</v>
      </c>
      <c r="G36" s="18">
        <f t="shared" si="2"/>
        <v>50.141250000000007</v>
      </c>
      <c r="H36" s="18">
        <f t="shared" si="2"/>
        <v>16.257499999999997</v>
      </c>
      <c r="I36" s="18">
        <f t="shared" si="2"/>
        <v>12.003333333333336</v>
      </c>
      <c r="J36" s="18">
        <f t="shared" si="2"/>
        <v>0.34333333333333327</v>
      </c>
      <c r="K36" s="18">
        <f t="shared" si="2"/>
        <v>176.55250000000001</v>
      </c>
      <c r="L36" s="18">
        <f t="shared" si="2"/>
        <v>17.453749999999996</v>
      </c>
      <c r="M36" s="18">
        <f t="shared" si="2"/>
        <v>23.051666666666673</v>
      </c>
      <c r="N36" s="18">
        <f t="shared" si="2"/>
        <v>134.27083333333334</v>
      </c>
      <c r="O36" s="18">
        <f t="shared" si="2"/>
        <v>0</v>
      </c>
      <c r="P36" s="18">
        <f t="shared" si="2"/>
        <v>0.7466666666666667</v>
      </c>
      <c r="Q36" s="18">
        <f t="shared" si="2"/>
        <v>9.3574999999999964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5.7960188579273382</v>
      </c>
      <c r="C37" s="18">
        <f t="shared" ref="C37:Q37" si="3">STDEV(C9:C32)</f>
        <v>5.7990178922376847</v>
      </c>
      <c r="D37" s="18">
        <f t="shared" si="3"/>
        <v>4.3183108613961778</v>
      </c>
      <c r="E37" s="18">
        <f t="shared" si="3"/>
        <v>2.3789365164449778</v>
      </c>
      <c r="F37" s="18">
        <f t="shared" si="3"/>
        <v>23.163852399180371</v>
      </c>
      <c r="G37" s="18">
        <f t="shared" si="3"/>
        <v>9.8965832103372922</v>
      </c>
      <c r="H37" s="18">
        <f t="shared" si="3"/>
        <v>2.7126038349190313</v>
      </c>
      <c r="I37" s="18">
        <f t="shared" si="3"/>
        <v>1.6266521144514063</v>
      </c>
      <c r="J37" s="18">
        <f t="shared" si="3"/>
        <v>0.20187526641073647</v>
      </c>
      <c r="K37" s="18">
        <f t="shared" si="3"/>
        <v>70.071298363508475</v>
      </c>
      <c r="L37" s="18">
        <f t="shared" si="3"/>
        <v>2.3196922818789565</v>
      </c>
      <c r="M37" s="18">
        <f t="shared" si="3"/>
        <v>7.1791913476238234</v>
      </c>
      <c r="N37" s="18">
        <f t="shared" si="3"/>
        <v>204.64518282004406</v>
      </c>
      <c r="O37" s="18">
        <f t="shared" si="3"/>
        <v>0</v>
      </c>
      <c r="P37" s="18">
        <f t="shared" si="3"/>
        <v>0.11878613104035365</v>
      </c>
      <c r="Q37" s="18">
        <f t="shared" si="3"/>
        <v>0.12827450185476055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96"/>
  <sheetViews>
    <sheetView zoomScale="85" zoomScaleNormal="85" workbookViewId="0">
      <pane xSplit="1" ySplit="8" topLeftCell="B24" activePane="bottomRight" state="frozen"/>
      <selection activeCell="G19" sqref="G19"/>
      <selection pane="topRight" activeCell="G19" sqref="G19"/>
      <selection pane="bottomLeft" activeCell="G19" sqref="G19"/>
      <selection pane="bottomRight" activeCell="F24" sqref="F2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19/11/2025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493</v>
      </c>
      <c r="B9" s="41">
        <v>10.5</v>
      </c>
      <c r="C9" s="41">
        <v>14.27</v>
      </c>
      <c r="D9" s="41">
        <v>15.87</v>
      </c>
      <c r="E9" s="41">
        <v>2.79</v>
      </c>
      <c r="F9" s="41">
        <v>2.6</v>
      </c>
      <c r="G9" s="41">
        <v>57.67</v>
      </c>
      <c r="H9" s="41">
        <v>16.8</v>
      </c>
      <c r="I9" s="41">
        <v>13.71</v>
      </c>
      <c r="J9" s="41">
        <v>0.17</v>
      </c>
      <c r="K9" s="41">
        <v>211.8</v>
      </c>
      <c r="L9" s="41">
        <v>19.059999999999999</v>
      </c>
      <c r="M9" s="41">
        <v>29.58</v>
      </c>
      <c r="N9" s="41">
        <v>1.3</v>
      </c>
      <c r="O9" s="41">
        <v>0</v>
      </c>
      <c r="P9" s="41">
        <v>0.8</v>
      </c>
      <c r="Q9" s="41">
        <v>9.32</v>
      </c>
      <c r="R9" s="38"/>
      <c r="S9" s="38"/>
      <c r="T9" s="38"/>
      <c r="U9" s="38"/>
    </row>
    <row r="10" spans="1:21" customFormat="1">
      <c r="A10" s="40" t="s">
        <v>494</v>
      </c>
      <c r="B10" s="41">
        <v>9.82</v>
      </c>
      <c r="C10" s="41">
        <v>13.89</v>
      </c>
      <c r="D10" s="41">
        <v>15.13</v>
      </c>
      <c r="E10" s="41">
        <v>2.71</v>
      </c>
      <c r="F10" s="41">
        <v>2.5</v>
      </c>
      <c r="G10" s="41">
        <v>54.91</v>
      </c>
      <c r="H10" s="41">
        <v>16.559999999999999</v>
      </c>
      <c r="I10" s="41">
        <v>13.66</v>
      </c>
      <c r="J10" s="41">
        <v>0.14000000000000001</v>
      </c>
      <c r="K10" s="41">
        <v>206.06</v>
      </c>
      <c r="L10" s="41">
        <v>18.77</v>
      </c>
      <c r="M10" s="41">
        <v>28.86</v>
      </c>
      <c r="N10" s="41">
        <v>1.4</v>
      </c>
      <c r="O10" s="41">
        <v>0</v>
      </c>
      <c r="P10" s="41">
        <v>0.77</v>
      </c>
      <c r="Q10" s="41">
        <v>9.32</v>
      </c>
      <c r="R10" s="38"/>
      <c r="S10" s="38"/>
      <c r="T10" s="38"/>
      <c r="U10" s="38"/>
    </row>
    <row r="11" spans="1:21" customFormat="1">
      <c r="A11" s="40" t="s">
        <v>495</v>
      </c>
      <c r="B11" s="41">
        <v>8.81</v>
      </c>
      <c r="C11" s="41">
        <v>14.01</v>
      </c>
      <c r="D11" s="41">
        <v>14.38</v>
      </c>
      <c r="E11" s="41">
        <v>6.08</v>
      </c>
      <c r="F11" s="41">
        <v>3.4</v>
      </c>
      <c r="G11" s="41">
        <v>43.99</v>
      </c>
      <c r="H11" s="41">
        <v>14.7</v>
      </c>
      <c r="I11" s="41">
        <v>13.22</v>
      </c>
      <c r="J11" s="41">
        <v>0.17</v>
      </c>
      <c r="K11" s="41">
        <v>235.64</v>
      </c>
      <c r="L11" s="41">
        <v>19.45</v>
      </c>
      <c r="M11" s="41">
        <v>30.51</v>
      </c>
      <c r="N11" s="41">
        <v>1.4</v>
      </c>
      <c r="O11" s="41">
        <v>0</v>
      </c>
      <c r="P11" s="41">
        <v>0.72</v>
      </c>
      <c r="Q11" s="41">
        <v>9.32</v>
      </c>
      <c r="R11" s="38"/>
      <c r="S11" s="38"/>
      <c r="T11" s="38"/>
      <c r="U11" s="38"/>
    </row>
    <row r="12" spans="1:21" customFormat="1">
      <c r="A12" s="40" t="s">
        <v>496</v>
      </c>
      <c r="B12" s="41">
        <v>12.68</v>
      </c>
      <c r="C12" s="41">
        <v>15.31</v>
      </c>
      <c r="D12" s="41">
        <v>18.170000000000002</v>
      </c>
      <c r="E12" s="41">
        <v>6.4</v>
      </c>
      <c r="F12" s="41">
        <v>2.6</v>
      </c>
      <c r="G12" s="41">
        <v>41.5</v>
      </c>
      <c r="H12" s="41">
        <v>15.22</v>
      </c>
      <c r="I12" s="41">
        <v>12.73</v>
      </c>
      <c r="J12" s="41">
        <v>0.13</v>
      </c>
      <c r="K12" s="41">
        <v>209.71</v>
      </c>
      <c r="L12" s="41">
        <v>18.940000000000001</v>
      </c>
      <c r="M12" s="41">
        <v>29.2</v>
      </c>
      <c r="N12" s="41">
        <v>1.4</v>
      </c>
      <c r="O12" s="41">
        <v>0</v>
      </c>
      <c r="P12" s="41">
        <v>0.7</v>
      </c>
      <c r="Q12" s="41">
        <v>9.32</v>
      </c>
      <c r="R12" s="38"/>
      <c r="S12" s="38"/>
      <c r="T12" s="38"/>
      <c r="U12" s="38"/>
    </row>
    <row r="13" spans="1:21" customFormat="1">
      <c r="A13" s="40" t="s">
        <v>497</v>
      </c>
      <c r="B13" s="41">
        <v>14.11</v>
      </c>
      <c r="C13" s="41">
        <v>15.37</v>
      </c>
      <c r="D13" s="41">
        <v>19.21</v>
      </c>
      <c r="E13" s="41">
        <v>6.3</v>
      </c>
      <c r="F13" s="41">
        <v>3.5</v>
      </c>
      <c r="G13" s="41">
        <v>42.4</v>
      </c>
      <c r="H13" s="41">
        <v>15.22</v>
      </c>
      <c r="I13" s="41">
        <v>13.31</v>
      </c>
      <c r="J13" s="41">
        <v>0.2</v>
      </c>
      <c r="K13" s="41">
        <v>182.93</v>
      </c>
      <c r="L13" s="41">
        <v>17.14</v>
      </c>
      <c r="M13" s="41">
        <v>24.98</v>
      </c>
      <c r="N13" s="41">
        <v>1.6</v>
      </c>
      <c r="O13" s="41">
        <v>0</v>
      </c>
      <c r="P13" s="41">
        <v>0.75</v>
      </c>
      <c r="Q13" s="41">
        <v>9.32</v>
      </c>
      <c r="R13" s="38"/>
      <c r="S13" s="38"/>
      <c r="T13" s="38"/>
      <c r="U13" s="38"/>
    </row>
    <row r="14" spans="1:21" customFormat="1">
      <c r="A14" s="40" t="s">
        <v>498</v>
      </c>
      <c r="B14" s="41">
        <v>17.28</v>
      </c>
      <c r="C14" s="41">
        <v>14.69</v>
      </c>
      <c r="D14" s="41">
        <v>21.38</v>
      </c>
      <c r="E14" s="41">
        <v>6.05</v>
      </c>
      <c r="F14" s="41">
        <v>5.6</v>
      </c>
      <c r="G14" s="41">
        <v>42.4</v>
      </c>
      <c r="H14" s="41">
        <v>15.3</v>
      </c>
      <c r="I14" s="41">
        <v>13.54</v>
      </c>
      <c r="J14" s="41">
        <v>0.18</v>
      </c>
      <c r="K14" s="41">
        <v>221.57</v>
      </c>
      <c r="L14" s="41">
        <v>18.579999999999998</v>
      </c>
      <c r="M14" s="41">
        <v>28.59</v>
      </c>
      <c r="N14" s="41">
        <v>1.6</v>
      </c>
      <c r="O14" s="41">
        <v>0</v>
      </c>
      <c r="P14" s="41">
        <v>0.75</v>
      </c>
      <c r="Q14" s="41">
        <v>9.32</v>
      </c>
      <c r="R14" s="38"/>
      <c r="S14" s="38"/>
      <c r="T14" s="38"/>
      <c r="U14" s="38"/>
    </row>
    <row r="15" spans="1:21" customFormat="1">
      <c r="A15" s="40" t="s">
        <v>499</v>
      </c>
      <c r="B15" s="41">
        <v>22.49</v>
      </c>
      <c r="C15" s="41">
        <v>14.98</v>
      </c>
      <c r="D15" s="41">
        <v>25.84</v>
      </c>
      <c r="E15" s="41">
        <v>6.04</v>
      </c>
      <c r="F15" s="41">
        <v>6.4</v>
      </c>
      <c r="G15" s="41">
        <v>42.11</v>
      </c>
      <c r="H15" s="41">
        <v>15.37</v>
      </c>
      <c r="I15" s="41">
        <v>13.79</v>
      </c>
      <c r="J15" s="41">
        <v>0.28999999999999998</v>
      </c>
      <c r="K15" s="41">
        <v>248.66</v>
      </c>
      <c r="L15" s="41">
        <v>21.54</v>
      </c>
      <c r="M15" s="41">
        <v>35.799999999999997</v>
      </c>
      <c r="N15" s="41">
        <v>27.8</v>
      </c>
      <c r="O15" s="41">
        <v>0</v>
      </c>
      <c r="P15" s="41">
        <v>0.76</v>
      </c>
      <c r="Q15" s="41">
        <v>9.32</v>
      </c>
      <c r="R15" s="38"/>
      <c r="S15" s="38"/>
      <c r="T15" s="38"/>
      <c r="U15" s="38"/>
    </row>
    <row r="16" spans="1:21" customFormat="1">
      <c r="A16" s="40" t="s">
        <v>500</v>
      </c>
      <c r="B16" s="41">
        <v>24.26</v>
      </c>
      <c r="C16" s="41">
        <v>16.16</v>
      </c>
      <c r="D16" s="41">
        <v>27.9</v>
      </c>
      <c r="E16" s="41">
        <v>6.07</v>
      </c>
      <c r="F16" s="41">
        <v>4.5</v>
      </c>
      <c r="G16" s="41">
        <v>44.56</v>
      </c>
      <c r="H16" s="41">
        <v>17.37</v>
      </c>
      <c r="I16" s="41">
        <v>14.24</v>
      </c>
      <c r="J16" s="41">
        <v>0.34</v>
      </c>
      <c r="K16" s="41">
        <v>171.13</v>
      </c>
      <c r="L16" s="41">
        <v>16.079999999999998</v>
      </c>
      <c r="M16" s="41">
        <v>21.43</v>
      </c>
      <c r="N16" s="41">
        <v>146.19999999999999</v>
      </c>
      <c r="O16" s="41">
        <v>0</v>
      </c>
      <c r="P16" s="41">
        <v>0.79</v>
      </c>
      <c r="Q16" s="41">
        <v>9.33</v>
      </c>
      <c r="R16" s="38"/>
      <c r="S16" s="38"/>
      <c r="T16" s="38"/>
      <c r="U16" s="38"/>
    </row>
    <row r="17" spans="1:21" customFormat="1">
      <c r="A17" s="40" t="s">
        <v>501</v>
      </c>
      <c r="B17" s="41">
        <v>23.57</v>
      </c>
      <c r="C17" s="41">
        <v>16.86</v>
      </c>
      <c r="D17" s="41">
        <v>27.69</v>
      </c>
      <c r="E17" s="41">
        <v>6.35</v>
      </c>
      <c r="F17" s="41">
        <v>4.5</v>
      </c>
      <c r="G17" s="41">
        <v>44.56</v>
      </c>
      <c r="H17" s="41">
        <v>17.37</v>
      </c>
      <c r="I17" s="41">
        <v>14.56</v>
      </c>
      <c r="J17" s="41">
        <v>0.37</v>
      </c>
      <c r="K17" s="41">
        <v>348.41</v>
      </c>
      <c r="L17" s="41">
        <v>21.01</v>
      </c>
      <c r="M17" s="41">
        <v>27.25</v>
      </c>
      <c r="N17" s="41">
        <v>308.7</v>
      </c>
      <c r="O17" s="41">
        <v>0</v>
      </c>
      <c r="P17" s="41">
        <v>0.79</v>
      </c>
      <c r="Q17" s="41">
        <v>9.32</v>
      </c>
      <c r="R17" s="38"/>
      <c r="S17" s="38"/>
      <c r="T17" s="38"/>
      <c r="U17" s="38"/>
    </row>
    <row r="18" spans="1:21" customFormat="1">
      <c r="A18" s="40" t="s">
        <v>502</v>
      </c>
      <c r="B18" s="41">
        <v>19.28</v>
      </c>
      <c r="C18" s="41">
        <v>17.84</v>
      </c>
      <c r="D18" s="41">
        <v>24.29</v>
      </c>
      <c r="E18" s="41">
        <v>6.47</v>
      </c>
      <c r="F18" s="41">
        <v>4.5</v>
      </c>
      <c r="G18" s="41">
        <v>43.13</v>
      </c>
      <c r="H18" s="41">
        <v>17.04</v>
      </c>
      <c r="I18" s="41">
        <v>14.23</v>
      </c>
      <c r="J18" s="41">
        <v>0.53</v>
      </c>
      <c r="K18" s="41">
        <v>51.13</v>
      </c>
      <c r="L18" s="41">
        <v>18.239999999999998</v>
      </c>
      <c r="M18" s="41">
        <v>18.8</v>
      </c>
      <c r="N18" s="41">
        <v>369.5</v>
      </c>
      <c r="O18" s="41">
        <v>0</v>
      </c>
      <c r="P18" s="41">
        <v>0.73</v>
      </c>
      <c r="Q18" s="41">
        <v>9.32</v>
      </c>
      <c r="R18" s="38"/>
      <c r="S18" s="38"/>
      <c r="T18" s="38"/>
      <c r="U18" s="38"/>
    </row>
    <row r="19" spans="1:21" customFormat="1">
      <c r="A19" s="40" t="s">
        <v>503</v>
      </c>
      <c r="B19" s="41">
        <v>12.93</v>
      </c>
      <c r="C19" s="41">
        <v>18.559999999999999</v>
      </c>
      <c r="D19" s="41">
        <v>19.809999999999999</v>
      </c>
      <c r="E19" s="41">
        <v>5.52</v>
      </c>
      <c r="F19" s="41">
        <v>4.5</v>
      </c>
      <c r="G19" s="41">
        <v>39.49</v>
      </c>
      <c r="H19" s="41">
        <v>15.87</v>
      </c>
      <c r="I19" s="41">
        <v>13.4</v>
      </c>
      <c r="J19" s="41">
        <v>0.43</v>
      </c>
      <c r="K19" s="41">
        <v>83.38</v>
      </c>
      <c r="L19" s="41">
        <v>22.3</v>
      </c>
      <c r="M19" s="41">
        <v>25.62</v>
      </c>
      <c r="N19" s="41">
        <v>512.20000000000005</v>
      </c>
      <c r="O19" s="41">
        <v>0</v>
      </c>
      <c r="P19" s="41">
        <v>0.68</v>
      </c>
      <c r="Q19" s="41">
        <v>9.32</v>
      </c>
      <c r="R19" s="38"/>
      <c r="S19" s="38"/>
      <c r="T19" s="38"/>
      <c r="U19" s="38"/>
    </row>
    <row r="20" spans="1:21" customFormat="1">
      <c r="A20" s="40" t="s">
        <v>504</v>
      </c>
      <c r="B20" s="41">
        <v>7.09</v>
      </c>
      <c r="C20" s="41">
        <v>18.260000000000002</v>
      </c>
      <c r="D20" s="41">
        <v>15.22</v>
      </c>
      <c r="E20" s="41">
        <v>5.77</v>
      </c>
      <c r="F20" s="41">
        <v>4.5</v>
      </c>
      <c r="G20" s="41">
        <v>35.94</v>
      </c>
      <c r="H20" s="41">
        <v>13.66</v>
      </c>
      <c r="I20" s="41">
        <v>12.52</v>
      </c>
      <c r="J20" s="41">
        <v>0.42</v>
      </c>
      <c r="K20" s="41">
        <v>86.67</v>
      </c>
      <c r="L20" s="41">
        <v>19.12</v>
      </c>
      <c r="M20" s="41">
        <v>17.87</v>
      </c>
      <c r="N20" s="41">
        <v>553.6</v>
      </c>
      <c r="O20" s="41">
        <v>0</v>
      </c>
      <c r="P20" s="41">
        <v>0.64</v>
      </c>
      <c r="Q20" s="41">
        <v>9.32</v>
      </c>
      <c r="R20" s="38"/>
      <c r="S20" s="38"/>
      <c r="T20" s="38"/>
      <c r="U20" s="38"/>
    </row>
    <row r="21" spans="1:21" customFormat="1">
      <c r="A21" s="40" t="s">
        <v>505</v>
      </c>
      <c r="B21" s="41">
        <v>3.92</v>
      </c>
      <c r="C21" s="41">
        <v>16.440000000000001</v>
      </c>
      <c r="D21" s="41">
        <v>11.74</v>
      </c>
      <c r="E21" s="41">
        <v>5.78</v>
      </c>
      <c r="F21" s="41">
        <v>4.5</v>
      </c>
      <c r="G21" s="41">
        <v>34.049999999999997</v>
      </c>
      <c r="H21" s="41">
        <v>12.33</v>
      </c>
      <c r="I21" s="41">
        <v>11.12</v>
      </c>
      <c r="J21" s="41">
        <v>0.48</v>
      </c>
      <c r="K21" s="41">
        <v>159.09</v>
      </c>
      <c r="L21" s="41">
        <v>20.149999999999999</v>
      </c>
      <c r="M21" s="41">
        <v>21.14</v>
      </c>
      <c r="N21" s="41">
        <v>555.9</v>
      </c>
      <c r="O21" s="41">
        <v>0</v>
      </c>
      <c r="P21" s="41">
        <v>0.59</v>
      </c>
      <c r="Q21" s="41">
        <v>9.32</v>
      </c>
      <c r="R21" s="38"/>
      <c r="S21" s="38"/>
      <c r="T21" s="38"/>
      <c r="U21" s="38"/>
    </row>
    <row r="22" spans="1:21" customFormat="1">
      <c r="A22" s="40" t="s">
        <v>506</v>
      </c>
      <c r="B22" s="41">
        <v>3.22</v>
      </c>
      <c r="C22" s="41">
        <v>13.94</v>
      </c>
      <c r="D22" s="41">
        <v>9.86</v>
      </c>
      <c r="E22" s="41">
        <v>6.37</v>
      </c>
      <c r="F22" s="41">
        <v>4.5</v>
      </c>
      <c r="G22" s="41">
        <v>33.61</v>
      </c>
      <c r="H22" s="41">
        <v>11.26</v>
      </c>
      <c r="I22" s="41">
        <v>10.33</v>
      </c>
      <c r="J22" s="41">
        <v>0.47</v>
      </c>
      <c r="K22" s="41">
        <v>57.57</v>
      </c>
      <c r="L22" s="41">
        <v>19.399999999999999</v>
      </c>
      <c r="M22" s="41">
        <v>20.96</v>
      </c>
      <c r="N22" s="41">
        <v>435.5</v>
      </c>
      <c r="O22" s="41">
        <v>0</v>
      </c>
      <c r="P22" s="41">
        <v>0.54</v>
      </c>
      <c r="Q22" s="41">
        <v>9.32</v>
      </c>
      <c r="R22" s="38"/>
      <c r="S22" s="38"/>
      <c r="T22" s="38"/>
      <c r="U22" s="38"/>
    </row>
    <row r="23" spans="1:21" customFormat="1">
      <c r="A23" s="40" t="s">
        <v>507</v>
      </c>
      <c r="B23" s="41">
        <v>3.38</v>
      </c>
      <c r="C23" s="41">
        <v>13.03</v>
      </c>
      <c r="D23" s="41">
        <v>9.41</v>
      </c>
      <c r="E23" s="41">
        <v>6.96</v>
      </c>
      <c r="F23" s="41">
        <v>4.5</v>
      </c>
      <c r="G23" s="41">
        <v>31.64</v>
      </c>
      <c r="H23" s="41">
        <v>10.7</v>
      </c>
      <c r="I23" s="41">
        <v>9.69</v>
      </c>
      <c r="J23" s="41">
        <v>0.56000000000000005</v>
      </c>
      <c r="K23" s="41">
        <v>164.19</v>
      </c>
      <c r="L23" s="41">
        <v>18.079999999999998</v>
      </c>
      <c r="M23" s="41">
        <v>24.77</v>
      </c>
      <c r="N23" s="41">
        <v>121</v>
      </c>
      <c r="O23" s="41">
        <v>0</v>
      </c>
      <c r="P23" s="41">
        <v>0.49</v>
      </c>
      <c r="Q23" s="41">
        <v>9.8000000000000007</v>
      </c>
      <c r="R23" s="38"/>
      <c r="S23" s="38"/>
      <c r="T23" s="38"/>
      <c r="U23" s="38"/>
    </row>
    <row r="24" spans="1:21" customFormat="1">
      <c r="A24" s="40" t="s">
        <v>508</v>
      </c>
      <c r="B24" s="41">
        <v>3.54</v>
      </c>
      <c r="C24" s="41">
        <v>13.18</v>
      </c>
      <c r="D24" s="41">
        <v>9.73</v>
      </c>
      <c r="E24" s="41">
        <v>7.32</v>
      </c>
      <c r="F24" s="41">
        <v>4.5</v>
      </c>
      <c r="G24" s="41">
        <v>31.49</v>
      </c>
      <c r="H24" s="41">
        <v>10.78</v>
      </c>
      <c r="I24" s="41">
        <v>9.3800000000000008</v>
      </c>
      <c r="J24" s="41">
        <v>0.65</v>
      </c>
      <c r="K24" s="41">
        <v>79.239999999999995</v>
      </c>
      <c r="L24" s="41">
        <v>13.1</v>
      </c>
      <c r="M24" s="41">
        <v>13.3</v>
      </c>
      <c r="N24" s="41">
        <v>76</v>
      </c>
      <c r="O24" s="41">
        <v>0</v>
      </c>
      <c r="P24" s="41">
        <v>0.47</v>
      </c>
      <c r="Q24" s="41">
        <v>10.75</v>
      </c>
      <c r="R24" s="38"/>
      <c r="S24" s="38"/>
      <c r="T24" s="38"/>
      <c r="U24" s="38"/>
    </row>
    <row r="25" spans="1:21" customFormat="1">
      <c r="A25" s="40" t="s">
        <v>509</v>
      </c>
      <c r="B25" s="41">
        <v>3.66</v>
      </c>
      <c r="C25" s="41">
        <v>13.05</v>
      </c>
      <c r="D25" s="41">
        <v>9.75</v>
      </c>
      <c r="E25" s="41">
        <v>7.21</v>
      </c>
      <c r="F25" s="41">
        <v>2.6</v>
      </c>
      <c r="G25" s="41">
        <v>34.369999999999997</v>
      </c>
      <c r="H25" s="41">
        <v>12.25</v>
      </c>
      <c r="I25" s="41">
        <v>9.24</v>
      </c>
      <c r="J25" s="41">
        <v>0.37</v>
      </c>
      <c r="K25" s="41">
        <v>147.86000000000001</v>
      </c>
      <c r="L25" s="41">
        <v>14.42</v>
      </c>
      <c r="M25" s="41">
        <v>17.84</v>
      </c>
      <c r="N25" s="41">
        <v>46.4</v>
      </c>
      <c r="O25" s="41">
        <v>0</v>
      </c>
      <c r="P25" s="41">
        <v>0.48</v>
      </c>
      <c r="Q25" s="41">
        <v>10.93</v>
      </c>
      <c r="R25" s="38"/>
      <c r="S25" s="38"/>
      <c r="T25" s="38"/>
      <c r="U25" s="38"/>
    </row>
    <row r="26" spans="1:21" customFormat="1">
      <c r="A26" s="40" t="s">
        <v>510</v>
      </c>
      <c r="B26" s="41">
        <v>4.4800000000000004</v>
      </c>
      <c r="C26" s="41">
        <v>14.32</v>
      </c>
      <c r="D26" s="41">
        <v>11.07</v>
      </c>
      <c r="E26" s="41">
        <v>6.8</v>
      </c>
      <c r="F26" s="41">
        <v>3.5</v>
      </c>
      <c r="G26" s="41">
        <v>36.79</v>
      </c>
      <c r="H26" s="41">
        <v>12.71</v>
      </c>
      <c r="I26" s="41">
        <v>9.15</v>
      </c>
      <c r="J26" s="41">
        <v>0.24</v>
      </c>
      <c r="K26" s="41">
        <v>154.84</v>
      </c>
      <c r="L26" s="41">
        <v>14.43</v>
      </c>
      <c r="M26" s="41">
        <v>18.14</v>
      </c>
      <c r="N26" s="41">
        <v>7.3</v>
      </c>
      <c r="O26" s="41">
        <v>0</v>
      </c>
      <c r="P26" s="41">
        <v>0.5</v>
      </c>
      <c r="Q26" s="41">
        <v>10.5</v>
      </c>
      <c r="R26" s="38"/>
      <c r="S26" s="38"/>
      <c r="T26" s="38"/>
      <c r="U26" s="38"/>
    </row>
    <row r="27" spans="1:21" customFormat="1">
      <c r="A27" s="40" t="s">
        <v>511</v>
      </c>
      <c r="B27" s="41">
        <v>5.54</v>
      </c>
      <c r="C27" s="41">
        <v>15.41</v>
      </c>
      <c r="D27" s="41">
        <v>12.26</v>
      </c>
      <c r="E27" s="41">
        <v>6.1</v>
      </c>
      <c r="F27" s="41">
        <v>5.6</v>
      </c>
      <c r="G27" s="41">
        <v>46.45</v>
      </c>
      <c r="H27" s="41">
        <v>14.8</v>
      </c>
      <c r="I27" s="41">
        <v>9.61</v>
      </c>
      <c r="J27" s="41">
        <v>0.23</v>
      </c>
      <c r="K27" s="41">
        <v>152.36000000000001</v>
      </c>
      <c r="L27" s="41">
        <v>14.46</v>
      </c>
      <c r="M27" s="41">
        <v>18.23</v>
      </c>
      <c r="N27" s="41">
        <v>2</v>
      </c>
      <c r="O27" s="41">
        <v>0</v>
      </c>
      <c r="P27" s="41">
        <v>0.54</v>
      </c>
      <c r="Q27" s="41">
        <v>9.32</v>
      </c>
      <c r="R27" s="38"/>
      <c r="S27" s="38"/>
      <c r="T27" s="38"/>
      <c r="U27" s="38"/>
    </row>
    <row r="28" spans="1:21" customFormat="1">
      <c r="A28" s="40" t="s">
        <v>512</v>
      </c>
      <c r="B28" s="41">
        <v>5.97</v>
      </c>
      <c r="C28" s="41">
        <v>15.97</v>
      </c>
      <c r="D28" s="41">
        <v>13.13</v>
      </c>
      <c r="E28" s="41">
        <v>6.19</v>
      </c>
      <c r="F28" s="41">
        <v>3.2</v>
      </c>
      <c r="G28" s="41">
        <v>55.3</v>
      </c>
      <c r="H28" s="41">
        <v>16.43</v>
      </c>
      <c r="I28" s="41">
        <v>10.28</v>
      </c>
      <c r="J28" s="41">
        <v>0.23</v>
      </c>
      <c r="K28" s="41">
        <v>171.02</v>
      </c>
      <c r="L28" s="41">
        <v>16.18</v>
      </c>
      <c r="M28" s="41">
        <v>22.42</v>
      </c>
      <c r="N28" s="41">
        <v>1.7</v>
      </c>
      <c r="O28" s="41">
        <v>0</v>
      </c>
      <c r="P28" s="41">
        <v>0.59</v>
      </c>
      <c r="Q28" s="41">
        <v>9.32</v>
      </c>
      <c r="R28" s="38"/>
      <c r="S28" s="38"/>
      <c r="T28" s="38"/>
      <c r="U28" s="38"/>
    </row>
    <row r="29" spans="1:21" customFormat="1">
      <c r="A29" s="40" t="s">
        <v>513</v>
      </c>
      <c r="B29" s="41">
        <v>6.11</v>
      </c>
      <c r="C29" s="41">
        <v>15.92</v>
      </c>
      <c r="D29" s="41">
        <v>13.15</v>
      </c>
      <c r="E29" s="41">
        <v>5.88</v>
      </c>
      <c r="F29" s="41">
        <v>3.2</v>
      </c>
      <c r="G29" s="41">
        <v>57.52</v>
      </c>
      <c r="H29" s="41">
        <v>17.829999999999998</v>
      </c>
      <c r="I29" s="41">
        <v>11.31</v>
      </c>
      <c r="J29" s="41">
        <v>0.3</v>
      </c>
      <c r="K29" s="41">
        <v>214.01</v>
      </c>
      <c r="L29" s="41">
        <v>19.45</v>
      </c>
      <c r="M29" s="41">
        <v>30.54</v>
      </c>
      <c r="N29" s="41">
        <v>1.7</v>
      </c>
      <c r="O29" s="41">
        <v>0</v>
      </c>
      <c r="P29" s="41">
        <v>0.64</v>
      </c>
      <c r="Q29" s="41">
        <v>9.32</v>
      </c>
      <c r="R29" s="38"/>
      <c r="S29" s="38"/>
      <c r="T29" s="38"/>
      <c r="U29" s="38"/>
    </row>
    <row r="30" spans="1:21" customFormat="1">
      <c r="A30" s="40" t="s">
        <v>514</v>
      </c>
      <c r="B30" s="41">
        <v>7.2</v>
      </c>
      <c r="C30" s="41">
        <v>15.15</v>
      </c>
      <c r="D30" s="41">
        <v>13.59</v>
      </c>
      <c r="E30" s="41">
        <v>5.89</v>
      </c>
      <c r="F30" s="41">
        <v>6</v>
      </c>
      <c r="G30" s="41">
        <v>58.18</v>
      </c>
      <c r="H30" s="41">
        <v>17.829999999999998</v>
      </c>
      <c r="I30" s="41">
        <v>11.64</v>
      </c>
      <c r="J30" s="41">
        <v>0.21</v>
      </c>
      <c r="K30" s="41">
        <v>218.37</v>
      </c>
      <c r="L30" s="41">
        <v>19.760000000000002</v>
      </c>
      <c r="M30" s="41">
        <v>31.32</v>
      </c>
      <c r="N30" s="41">
        <v>1.5</v>
      </c>
      <c r="O30" s="41">
        <v>0</v>
      </c>
      <c r="P30" s="41">
        <v>0.64</v>
      </c>
      <c r="Q30" s="41">
        <v>9.32</v>
      </c>
      <c r="R30" s="38"/>
      <c r="S30" s="38"/>
      <c r="T30" s="38"/>
      <c r="U30" s="38"/>
    </row>
    <row r="31" spans="1:21" customFormat="1">
      <c r="A31" s="40" t="s">
        <v>515</v>
      </c>
      <c r="B31" s="41">
        <v>7.19</v>
      </c>
      <c r="C31" s="41">
        <v>14.47</v>
      </c>
      <c r="D31" s="41">
        <v>13.32</v>
      </c>
      <c r="E31" s="41">
        <v>5.91</v>
      </c>
      <c r="F31" s="41">
        <v>5</v>
      </c>
      <c r="G31" s="41">
        <v>58.18</v>
      </c>
      <c r="H31" s="41">
        <v>16.59</v>
      </c>
      <c r="I31" s="41">
        <v>11.85</v>
      </c>
      <c r="J31" s="41">
        <v>0.2</v>
      </c>
      <c r="K31" s="41">
        <v>196.46</v>
      </c>
      <c r="L31" s="41">
        <v>17.760000000000002</v>
      </c>
      <c r="M31" s="41">
        <v>26.37</v>
      </c>
      <c r="N31" s="41">
        <v>1.5</v>
      </c>
      <c r="O31" s="41">
        <v>0</v>
      </c>
      <c r="P31" s="41">
        <v>0.64</v>
      </c>
      <c r="Q31" s="41">
        <v>9.32</v>
      </c>
      <c r="R31" s="38"/>
      <c r="S31" s="38"/>
      <c r="T31" s="38"/>
      <c r="U31" s="38"/>
    </row>
    <row r="32" spans="1:21" customFormat="1">
      <c r="A32" s="40" t="s">
        <v>516</v>
      </c>
      <c r="B32" s="41">
        <v>7.2</v>
      </c>
      <c r="C32" s="41">
        <v>13.33</v>
      </c>
      <c r="D32" s="41">
        <v>12.68</v>
      </c>
      <c r="E32" s="41">
        <v>5.83</v>
      </c>
      <c r="F32" s="41">
        <v>5</v>
      </c>
      <c r="G32" s="41">
        <v>53.58</v>
      </c>
      <c r="H32" s="41">
        <v>15.98</v>
      </c>
      <c r="I32" s="41">
        <v>11.88</v>
      </c>
      <c r="J32" s="41">
        <v>0.18</v>
      </c>
      <c r="K32" s="41">
        <v>211.84</v>
      </c>
      <c r="L32" s="41">
        <v>18.97</v>
      </c>
      <c r="M32" s="41">
        <v>29.36</v>
      </c>
      <c r="N32" s="41">
        <v>1.5</v>
      </c>
      <c r="O32" s="41">
        <v>0</v>
      </c>
      <c r="P32" s="41">
        <v>0.64</v>
      </c>
      <c r="Q32" s="41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3.22</v>
      </c>
      <c r="C34" s="18">
        <f t="shared" si="0"/>
        <v>13.03</v>
      </c>
      <c r="D34" s="18">
        <f t="shared" si="0"/>
        <v>9.41</v>
      </c>
      <c r="E34" s="18">
        <f t="shared" si="0"/>
        <v>2.71</v>
      </c>
      <c r="F34" s="18">
        <f t="shared" si="0"/>
        <v>2.5</v>
      </c>
      <c r="G34" s="18">
        <f t="shared" si="0"/>
        <v>31.49</v>
      </c>
      <c r="H34" s="18">
        <f t="shared" si="0"/>
        <v>10.7</v>
      </c>
      <c r="I34" s="18">
        <f t="shared" si="0"/>
        <v>9.15</v>
      </c>
      <c r="J34" s="18">
        <f t="shared" si="0"/>
        <v>0.13</v>
      </c>
      <c r="K34" s="18">
        <f t="shared" si="0"/>
        <v>51.13</v>
      </c>
      <c r="L34" s="18">
        <f t="shared" si="0"/>
        <v>13.1</v>
      </c>
      <c r="M34" s="18">
        <f t="shared" si="0"/>
        <v>13.3</v>
      </c>
      <c r="N34" s="18">
        <f t="shared" si="0"/>
        <v>1.3</v>
      </c>
      <c r="O34" s="18">
        <f t="shared" si="0"/>
        <v>0</v>
      </c>
      <c r="P34" s="18">
        <f t="shared" si="0"/>
        <v>0.47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24.26</v>
      </c>
      <c r="C35" s="3">
        <f t="shared" si="1"/>
        <v>18.559999999999999</v>
      </c>
      <c r="D35" s="3">
        <f t="shared" si="1"/>
        <v>27.9</v>
      </c>
      <c r="E35" s="3">
        <f t="shared" si="1"/>
        <v>7.32</v>
      </c>
      <c r="F35" s="3">
        <f t="shared" si="1"/>
        <v>6.4</v>
      </c>
      <c r="G35" s="3">
        <f t="shared" si="1"/>
        <v>58.18</v>
      </c>
      <c r="H35" s="3">
        <f t="shared" si="1"/>
        <v>17.829999999999998</v>
      </c>
      <c r="I35" s="3">
        <f t="shared" si="1"/>
        <v>14.56</v>
      </c>
      <c r="J35" s="3">
        <f t="shared" si="1"/>
        <v>0.65</v>
      </c>
      <c r="K35" s="3">
        <f t="shared" si="1"/>
        <v>348.41</v>
      </c>
      <c r="L35" s="3">
        <f t="shared" si="1"/>
        <v>22.3</v>
      </c>
      <c r="M35" s="3">
        <f t="shared" si="1"/>
        <v>35.799999999999997</v>
      </c>
      <c r="N35" s="3">
        <f t="shared" si="1"/>
        <v>555.9</v>
      </c>
      <c r="O35" s="3">
        <f t="shared" si="1"/>
        <v>0</v>
      </c>
      <c r="P35" s="3">
        <f t="shared" si="1"/>
        <v>0.8</v>
      </c>
      <c r="Q35" s="3">
        <f t="shared" si="1"/>
        <v>10.93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10.176249999999998</v>
      </c>
      <c r="C36" s="18">
        <f t="shared" si="2"/>
        <v>15.183750000000003</v>
      </c>
      <c r="D36" s="18">
        <f t="shared" si="2"/>
        <v>16.024166666666666</v>
      </c>
      <c r="E36" s="18">
        <f t="shared" si="2"/>
        <v>5.9495833333333321</v>
      </c>
      <c r="F36" s="18">
        <f t="shared" si="2"/>
        <v>4.2166666666666659</v>
      </c>
      <c r="G36" s="18">
        <f t="shared" si="2"/>
        <v>44.325833333333328</v>
      </c>
      <c r="H36" s="18">
        <f t="shared" si="2"/>
        <v>14.998749999999999</v>
      </c>
      <c r="I36" s="18">
        <f t="shared" si="2"/>
        <v>12.016250000000005</v>
      </c>
      <c r="J36" s="18">
        <f t="shared" si="2"/>
        <v>0.31208333333333343</v>
      </c>
      <c r="K36" s="18">
        <f t="shared" si="2"/>
        <v>174.33083333333335</v>
      </c>
      <c r="L36" s="18">
        <f t="shared" si="2"/>
        <v>18.182916666666667</v>
      </c>
      <c r="M36" s="18">
        <f t="shared" si="2"/>
        <v>24.703333333333333</v>
      </c>
      <c r="N36" s="18">
        <f t="shared" si="2"/>
        <v>132.44583333333333</v>
      </c>
      <c r="O36" s="18">
        <f t="shared" si="2"/>
        <v>0</v>
      </c>
      <c r="P36" s="18">
        <f t="shared" si="2"/>
        <v>0.65166666666666684</v>
      </c>
      <c r="Q36" s="18">
        <f t="shared" si="2"/>
        <v>9.5162499999999977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6.7201428637117315</v>
      </c>
      <c r="C37" s="18">
        <f t="shared" ref="C37:Q37" si="3">STDEV(C9:C32)</f>
        <v>1.5899051448325907</v>
      </c>
      <c r="D37" s="18">
        <f t="shared" si="3"/>
        <v>5.7581601203001043</v>
      </c>
      <c r="E37" s="18">
        <f t="shared" si="3"/>
        <v>1.0839199359437248</v>
      </c>
      <c r="F37" s="18">
        <f t="shared" si="3"/>
        <v>1.1087269106136313</v>
      </c>
      <c r="G37" s="18">
        <f t="shared" si="3"/>
        <v>9.0321367863610345</v>
      </c>
      <c r="H37" s="18">
        <f t="shared" si="3"/>
        <v>2.2442957886509949</v>
      </c>
      <c r="I37" s="18">
        <f t="shared" si="3"/>
        <v>1.8006998941232475</v>
      </c>
      <c r="J37" s="18">
        <f t="shared" si="3"/>
        <v>0.14776535943608465</v>
      </c>
      <c r="K37" s="18">
        <f t="shared" si="3"/>
        <v>68.109721959220408</v>
      </c>
      <c r="L37" s="18">
        <f t="shared" si="3"/>
        <v>2.3614521677517937</v>
      </c>
      <c r="M37" s="18">
        <f t="shared" si="3"/>
        <v>5.6308935630893124</v>
      </c>
      <c r="N37" s="18">
        <f t="shared" si="3"/>
        <v>200.33960076344857</v>
      </c>
      <c r="O37" s="18">
        <f t="shared" si="3"/>
        <v>0</v>
      </c>
      <c r="P37" s="18">
        <f t="shared" si="3"/>
        <v>0.10716369707608166</v>
      </c>
      <c r="Q37" s="18">
        <f t="shared" si="3"/>
        <v>0.48164403687876123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96"/>
  <sheetViews>
    <sheetView zoomScale="85" zoomScaleNormal="85" workbookViewId="0">
      <pane xSplit="1" ySplit="8" topLeftCell="B33" activePane="bottomRight" state="frozen"/>
      <selection activeCell="G19" sqref="G19"/>
      <selection pane="topRight" activeCell="G19" sqref="G19"/>
      <selection pane="bottomLeft" activeCell="G19" sqref="G19"/>
      <selection pane="bottomRight" activeCell="U14" sqref="U1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20/11/2025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517</v>
      </c>
      <c r="B9" s="41">
        <v>8.25</v>
      </c>
      <c r="C9" s="41">
        <v>12.55</v>
      </c>
      <c r="D9" s="41">
        <v>13.09</v>
      </c>
      <c r="E9" s="41">
        <v>5.89</v>
      </c>
      <c r="F9" s="27" t="s">
        <v>8</v>
      </c>
      <c r="G9" s="41">
        <v>46.07</v>
      </c>
      <c r="H9" s="41">
        <v>15.33</v>
      </c>
      <c r="I9" s="41">
        <v>11.7</v>
      </c>
      <c r="J9" s="41">
        <v>0.12</v>
      </c>
      <c r="K9" s="41">
        <v>209.92</v>
      </c>
      <c r="L9" s="41">
        <v>18.84</v>
      </c>
      <c r="M9" s="41">
        <v>29.22</v>
      </c>
      <c r="N9" s="41">
        <v>1.5</v>
      </c>
      <c r="O9" s="41">
        <v>0</v>
      </c>
      <c r="P9" s="41">
        <v>0.65</v>
      </c>
      <c r="Q9" s="41">
        <v>9.32</v>
      </c>
      <c r="R9" s="38"/>
      <c r="S9" s="38"/>
      <c r="T9" s="38"/>
      <c r="U9" s="38"/>
    </row>
    <row r="10" spans="1:21" customFormat="1">
      <c r="A10" s="40" t="s">
        <v>518</v>
      </c>
      <c r="B10" s="41">
        <v>8.5</v>
      </c>
      <c r="C10" s="41">
        <v>12.07</v>
      </c>
      <c r="D10" s="41">
        <v>13.03</v>
      </c>
      <c r="E10" s="41">
        <v>5.83</v>
      </c>
      <c r="F10" s="27" t="s">
        <v>8</v>
      </c>
      <c r="G10" s="41">
        <v>37.979999999999997</v>
      </c>
      <c r="H10" s="41">
        <v>14.5</v>
      </c>
      <c r="I10" s="41">
        <v>11.05</v>
      </c>
      <c r="J10" s="41">
        <v>0.1</v>
      </c>
      <c r="K10" s="41">
        <v>201.96</v>
      </c>
      <c r="L10" s="41">
        <v>17.68</v>
      </c>
      <c r="M10" s="41">
        <v>26.33</v>
      </c>
      <c r="N10" s="41">
        <v>1.3</v>
      </c>
      <c r="O10" s="41">
        <v>0</v>
      </c>
      <c r="P10" s="41">
        <v>0.61</v>
      </c>
      <c r="Q10" s="41">
        <v>9.32</v>
      </c>
      <c r="R10" s="38"/>
      <c r="S10" s="38"/>
      <c r="T10" s="38"/>
      <c r="U10" s="38"/>
    </row>
    <row r="11" spans="1:21" customFormat="1">
      <c r="A11" s="40" t="s">
        <v>519</v>
      </c>
      <c r="B11" s="41">
        <v>8.57</v>
      </c>
      <c r="C11" s="41">
        <v>11.92</v>
      </c>
      <c r="D11" s="41">
        <v>13.01</v>
      </c>
      <c r="E11" s="41">
        <v>5.89</v>
      </c>
      <c r="F11" s="27" t="s">
        <v>8</v>
      </c>
      <c r="G11" s="41">
        <v>30.29</v>
      </c>
      <c r="H11" s="41">
        <v>12.63</v>
      </c>
      <c r="I11" s="41">
        <v>10.64</v>
      </c>
      <c r="J11" s="41">
        <v>0.26</v>
      </c>
      <c r="K11" s="41">
        <v>240.41</v>
      </c>
      <c r="L11" s="41">
        <v>21.12</v>
      </c>
      <c r="M11" s="41">
        <v>34.89</v>
      </c>
      <c r="N11" s="41">
        <v>1.4</v>
      </c>
      <c r="O11" s="41">
        <v>0</v>
      </c>
      <c r="P11" s="41">
        <v>0.56999999999999995</v>
      </c>
      <c r="Q11" s="41">
        <v>9.32</v>
      </c>
      <c r="R11" s="38"/>
      <c r="S11" s="38"/>
      <c r="T11" s="38"/>
      <c r="U11" s="38"/>
    </row>
    <row r="12" spans="1:21" customFormat="1">
      <c r="A12" s="40" t="s">
        <v>520</v>
      </c>
      <c r="B12" s="41">
        <v>8.83</v>
      </c>
      <c r="C12" s="41">
        <v>11.59</v>
      </c>
      <c r="D12" s="41">
        <v>13.01</v>
      </c>
      <c r="E12" s="41">
        <v>5.82</v>
      </c>
      <c r="F12" s="27" t="s">
        <v>8</v>
      </c>
      <c r="G12" s="41">
        <v>24.42</v>
      </c>
      <c r="H12" s="41">
        <v>11.66</v>
      </c>
      <c r="I12" s="41">
        <v>10.17</v>
      </c>
      <c r="J12" s="41">
        <v>0.17</v>
      </c>
      <c r="K12" s="41">
        <v>241.48</v>
      </c>
      <c r="L12" s="41">
        <v>21.2</v>
      </c>
      <c r="M12" s="41">
        <v>35.090000000000003</v>
      </c>
      <c r="N12" s="41">
        <v>1.7</v>
      </c>
      <c r="O12" s="41">
        <v>0</v>
      </c>
      <c r="P12" s="41">
        <v>0.54</v>
      </c>
      <c r="Q12" s="41">
        <v>9.32</v>
      </c>
      <c r="R12" s="38"/>
      <c r="S12" s="38"/>
      <c r="T12" s="38"/>
      <c r="U12" s="38"/>
    </row>
    <row r="13" spans="1:21" customFormat="1">
      <c r="A13" s="40" t="s">
        <v>521</v>
      </c>
      <c r="B13" s="41">
        <v>10.51</v>
      </c>
      <c r="C13" s="41">
        <v>12.02</v>
      </c>
      <c r="D13" s="41">
        <v>14.71</v>
      </c>
      <c r="E13" s="41">
        <v>5.93</v>
      </c>
      <c r="F13" s="27" t="s">
        <v>8</v>
      </c>
      <c r="G13" s="41">
        <v>23.24</v>
      </c>
      <c r="H13" s="41">
        <v>10.94</v>
      </c>
      <c r="I13" s="41">
        <v>9.86</v>
      </c>
      <c r="J13" s="41">
        <v>0.17</v>
      </c>
      <c r="K13" s="41">
        <v>203.46</v>
      </c>
      <c r="L13" s="41">
        <v>17.8</v>
      </c>
      <c r="M13" s="41">
        <v>26.64</v>
      </c>
      <c r="N13" s="41">
        <v>1.4</v>
      </c>
      <c r="O13" s="41">
        <v>0</v>
      </c>
      <c r="P13" s="41">
        <v>0.51</v>
      </c>
      <c r="Q13" s="41">
        <v>9.5299999999999994</v>
      </c>
      <c r="R13" s="38"/>
      <c r="S13" s="38"/>
      <c r="T13" s="38"/>
      <c r="U13" s="38"/>
    </row>
    <row r="14" spans="1:21" customFormat="1">
      <c r="A14" s="40" t="s">
        <v>522</v>
      </c>
      <c r="B14" s="41">
        <v>13.38</v>
      </c>
      <c r="C14" s="41">
        <v>13.22</v>
      </c>
      <c r="D14" s="41">
        <v>17.64</v>
      </c>
      <c r="E14" s="41">
        <v>5.86</v>
      </c>
      <c r="F14" s="27" t="s">
        <v>8</v>
      </c>
      <c r="G14" s="41">
        <v>34.61</v>
      </c>
      <c r="H14" s="41">
        <v>13.91</v>
      </c>
      <c r="I14" s="41">
        <v>10.36</v>
      </c>
      <c r="J14" s="41">
        <v>0.42</v>
      </c>
      <c r="K14" s="41">
        <v>55.89</v>
      </c>
      <c r="L14" s="41">
        <v>15.06</v>
      </c>
      <c r="M14" s="41">
        <v>19.54</v>
      </c>
      <c r="N14" s="41">
        <v>1.4</v>
      </c>
      <c r="O14" s="41">
        <v>0</v>
      </c>
      <c r="P14" s="41">
        <v>0.56000000000000005</v>
      </c>
      <c r="Q14" s="41">
        <v>9.32</v>
      </c>
      <c r="R14" s="38"/>
      <c r="S14" s="38"/>
      <c r="T14" s="38"/>
      <c r="U14" s="38"/>
    </row>
    <row r="15" spans="1:21" customFormat="1">
      <c r="A15" s="40" t="s">
        <v>523</v>
      </c>
      <c r="B15" s="41">
        <v>16.62</v>
      </c>
      <c r="C15" s="41">
        <v>14.21</v>
      </c>
      <c r="D15" s="41">
        <v>20.75</v>
      </c>
      <c r="E15" s="41">
        <v>6.28</v>
      </c>
      <c r="F15" s="27" t="s">
        <v>8</v>
      </c>
      <c r="G15" s="41">
        <v>90.27</v>
      </c>
      <c r="H15" s="41">
        <v>18.100000000000001</v>
      </c>
      <c r="I15" s="41">
        <v>12.32</v>
      </c>
      <c r="J15" s="41">
        <v>0.28999999999999998</v>
      </c>
      <c r="K15" s="41">
        <v>39.299999999999997</v>
      </c>
      <c r="L15" s="41">
        <v>15.9</v>
      </c>
      <c r="M15" s="41">
        <v>21.44</v>
      </c>
      <c r="N15" s="41">
        <v>26.3</v>
      </c>
      <c r="O15" s="41">
        <v>0</v>
      </c>
      <c r="P15" s="41">
        <v>0.68</v>
      </c>
      <c r="Q15" s="41">
        <v>9.32</v>
      </c>
      <c r="R15" s="38"/>
      <c r="S15" s="38"/>
      <c r="T15" s="38"/>
      <c r="U15" s="38"/>
    </row>
    <row r="16" spans="1:21" customFormat="1">
      <c r="A16" s="40" t="s">
        <v>524</v>
      </c>
      <c r="B16" s="41">
        <v>17.7</v>
      </c>
      <c r="C16" s="41">
        <v>15.8</v>
      </c>
      <c r="D16" s="41">
        <v>22.41</v>
      </c>
      <c r="E16" s="41">
        <v>6.32</v>
      </c>
      <c r="F16" s="27" t="s">
        <v>8</v>
      </c>
      <c r="G16" s="41">
        <v>90.27</v>
      </c>
      <c r="H16" s="41">
        <v>22</v>
      </c>
      <c r="I16" s="41">
        <v>13.56</v>
      </c>
      <c r="J16" s="41">
        <v>0.5</v>
      </c>
      <c r="K16" s="41">
        <v>50.76</v>
      </c>
      <c r="L16" s="41">
        <v>13.62</v>
      </c>
      <c r="M16" s="41">
        <v>14.2</v>
      </c>
      <c r="N16" s="41">
        <v>140.19999999999999</v>
      </c>
      <c r="O16" s="41">
        <v>0</v>
      </c>
      <c r="P16" s="41">
        <v>0.74</v>
      </c>
      <c r="Q16" s="41">
        <v>9.32</v>
      </c>
      <c r="R16" s="38"/>
      <c r="S16" s="38"/>
      <c r="T16" s="38"/>
      <c r="U16" s="38"/>
    </row>
    <row r="17" spans="1:21" customFormat="1">
      <c r="A17" s="40" t="s">
        <v>525</v>
      </c>
      <c r="B17" s="41">
        <v>17.3</v>
      </c>
      <c r="C17" s="41">
        <v>16.63</v>
      </c>
      <c r="D17" s="41">
        <v>22.27</v>
      </c>
      <c r="E17" s="41">
        <v>6.1</v>
      </c>
      <c r="F17" s="27" t="s">
        <v>8</v>
      </c>
      <c r="G17" s="41">
        <v>75.17</v>
      </c>
      <c r="H17" s="41">
        <v>22</v>
      </c>
      <c r="I17" s="41">
        <v>14.12</v>
      </c>
      <c r="J17" s="41">
        <v>0.72</v>
      </c>
      <c r="K17" s="41">
        <v>55.06</v>
      </c>
      <c r="L17" s="41">
        <v>19.53</v>
      </c>
      <c r="M17" s="41">
        <v>23.46</v>
      </c>
      <c r="N17" s="41">
        <v>300.5</v>
      </c>
      <c r="O17" s="41">
        <v>0</v>
      </c>
      <c r="P17" s="41">
        <v>0.76</v>
      </c>
      <c r="Q17" s="41">
        <v>9.32</v>
      </c>
      <c r="R17" s="38"/>
      <c r="S17" s="38"/>
      <c r="T17" s="38"/>
      <c r="U17" s="38"/>
    </row>
    <row r="18" spans="1:21" customFormat="1">
      <c r="A18" s="40" t="s">
        <v>526</v>
      </c>
      <c r="B18" s="41">
        <v>14.41</v>
      </c>
      <c r="C18" s="41">
        <v>17.78</v>
      </c>
      <c r="D18" s="41">
        <v>20.38</v>
      </c>
      <c r="E18" s="41">
        <v>6.54</v>
      </c>
      <c r="F18" s="27" t="s">
        <v>8</v>
      </c>
      <c r="G18" s="41">
        <v>67.88</v>
      </c>
      <c r="H18" s="41">
        <v>21.15</v>
      </c>
      <c r="I18" s="41">
        <v>14.11</v>
      </c>
      <c r="J18" s="41">
        <v>0.82</v>
      </c>
      <c r="K18" s="41">
        <v>44.15</v>
      </c>
      <c r="L18" s="41">
        <v>16.02</v>
      </c>
      <c r="M18" s="41">
        <v>13.69</v>
      </c>
      <c r="N18" s="41">
        <v>376.9</v>
      </c>
      <c r="O18" s="41">
        <v>0</v>
      </c>
      <c r="P18" s="41">
        <v>0.78</v>
      </c>
      <c r="Q18" s="41">
        <v>9.32</v>
      </c>
      <c r="R18" s="38"/>
      <c r="S18" s="38"/>
      <c r="T18" s="38"/>
      <c r="U18" s="38"/>
    </row>
    <row r="19" spans="1:21" customFormat="1">
      <c r="A19" s="40" t="s">
        <v>527</v>
      </c>
      <c r="B19" s="41">
        <v>11.61</v>
      </c>
      <c r="C19" s="41">
        <v>17.52</v>
      </c>
      <c r="D19" s="41">
        <v>18.46</v>
      </c>
      <c r="E19" s="41">
        <v>5.97</v>
      </c>
      <c r="F19" s="27" t="s">
        <v>8</v>
      </c>
      <c r="G19" s="41">
        <v>59.26</v>
      </c>
      <c r="H19" s="41">
        <v>20.89</v>
      </c>
      <c r="I19" s="41">
        <v>13.85</v>
      </c>
      <c r="J19" s="41">
        <v>0.37</v>
      </c>
      <c r="K19" s="41">
        <v>147.74</v>
      </c>
      <c r="L19" s="41">
        <v>18.02</v>
      </c>
      <c r="M19" s="41">
        <v>16.309999999999999</v>
      </c>
      <c r="N19" s="41">
        <v>507.9</v>
      </c>
      <c r="O19" s="41">
        <v>0</v>
      </c>
      <c r="P19" s="41">
        <v>0.79</v>
      </c>
      <c r="Q19" s="41">
        <v>9.32</v>
      </c>
      <c r="R19" s="38"/>
      <c r="S19" s="38"/>
      <c r="T19" s="38"/>
      <c r="U19" s="38"/>
    </row>
    <row r="20" spans="1:21" customFormat="1">
      <c r="A20" s="40" t="s">
        <v>528</v>
      </c>
      <c r="B20" s="41">
        <v>8.34</v>
      </c>
      <c r="C20" s="41">
        <v>16.53</v>
      </c>
      <c r="D20" s="41">
        <v>15.32</v>
      </c>
      <c r="E20" s="41">
        <v>6.08</v>
      </c>
      <c r="F20" s="27" t="s">
        <v>8</v>
      </c>
      <c r="G20" s="41">
        <v>43.16</v>
      </c>
      <c r="H20" s="41">
        <v>18.71</v>
      </c>
      <c r="I20" s="41">
        <v>13.01</v>
      </c>
      <c r="J20" s="41">
        <v>0.51</v>
      </c>
      <c r="K20" s="41">
        <v>359.39</v>
      </c>
      <c r="L20" s="41">
        <v>20.92</v>
      </c>
      <c r="M20" s="41">
        <v>21.65</v>
      </c>
      <c r="N20" s="41">
        <v>554.9</v>
      </c>
      <c r="O20" s="41">
        <v>0</v>
      </c>
      <c r="P20" s="41">
        <v>0.75</v>
      </c>
      <c r="Q20" s="41">
        <v>9.77</v>
      </c>
      <c r="R20" s="38"/>
      <c r="S20" s="38"/>
      <c r="T20" s="38"/>
      <c r="U20" s="38"/>
    </row>
    <row r="21" spans="1:21" customFormat="1">
      <c r="A21" s="40" t="s">
        <v>529</v>
      </c>
      <c r="B21" s="41">
        <v>5.82</v>
      </c>
      <c r="C21" s="41">
        <v>15.47</v>
      </c>
      <c r="D21" s="41">
        <v>12.75</v>
      </c>
      <c r="E21" s="41">
        <v>6.13</v>
      </c>
      <c r="F21" s="27" t="s">
        <v>8</v>
      </c>
      <c r="G21" s="41">
        <v>36.01</v>
      </c>
      <c r="H21" s="41">
        <v>14.21</v>
      </c>
      <c r="I21" s="41">
        <v>12.37</v>
      </c>
      <c r="J21" s="41">
        <v>0.39</v>
      </c>
      <c r="K21" s="41">
        <v>334.9</v>
      </c>
      <c r="L21" s="41">
        <v>25.18</v>
      </c>
      <c r="M21" s="41">
        <v>33.33</v>
      </c>
      <c r="N21" s="41">
        <v>536.6</v>
      </c>
      <c r="O21" s="41">
        <v>0</v>
      </c>
      <c r="P21" s="41">
        <v>0.71</v>
      </c>
      <c r="Q21" s="41">
        <v>10.09</v>
      </c>
      <c r="R21" s="38"/>
      <c r="S21" s="38"/>
      <c r="T21" s="38"/>
      <c r="U21" s="38"/>
    </row>
    <row r="22" spans="1:21" customFormat="1">
      <c r="A22" s="40" t="s">
        <v>530</v>
      </c>
      <c r="B22" s="41">
        <v>4.22</v>
      </c>
      <c r="C22" s="41">
        <v>13.66</v>
      </c>
      <c r="D22" s="41">
        <v>10.52</v>
      </c>
      <c r="E22" s="41">
        <v>6.43</v>
      </c>
      <c r="F22" s="27" t="s">
        <v>8</v>
      </c>
      <c r="G22" s="41">
        <v>25.94</v>
      </c>
      <c r="H22" s="41">
        <v>11.2</v>
      </c>
      <c r="I22" s="41">
        <v>11.55</v>
      </c>
      <c r="J22" s="41">
        <v>0.73</v>
      </c>
      <c r="K22" s="41">
        <v>46.99</v>
      </c>
      <c r="L22" s="41">
        <v>16.829999999999998</v>
      </c>
      <c r="M22" s="41">
        <v>19.03</v>
      </c>
      <c r="N22" s="41">
        <v>452.8</v>
      </c>
      <c r="O22" s="41">
        <v>0</v>
      </c>
      <c r="P22" s="41">
        <v>0.64</v>
      </c>
      <c r="Q22" s="41">
        <v>9.32</v>
      </c>
      <c r="R22" s="38"/>
      <c r="S22" s="38"/>
      <c r="T22" s="38"/>
      <c r="U22" s="38"/>
    </row>
    <row r="23" spans="1:21" customFormat="1">
      <c r="A23" s="40" t="s">
        <v>531</v>
      </c>
      <c r="B23" s="41">
        <v>3.77</v>
      </c>
      <c r="C23" s="41">
        <v>13.18</v>
      </c>
      <c r="D23" s="41">
        <v>9.91</v>
      </c>
      <c r="E23" s="41">
        <v>6.24</v>
      </c>
      <c r="F23" s="27" t="s">
        <v>8</v>
      </c>
      <c r="G23" s="41">
        <v>23.58</v>
      </c>
      <c r="H23" s="41">
        <v>9.8800000000000008</v>
      </c>
      <c r="I23" s="41">
        <v>10.81</v>
      </c>
      <c r="J23" s="41">
        <v>0.26</v>
      </c>
      <c r="K23" s="41">
        <v>340.29</v>
      </c>
      <c r="L23" s="41">
        <v>19.829999999999998</v>
      </c>
      <c r="M23" s="41">
        <v>29.97</v>
      </c>
      <c r="N23" s="41">
        <v>96.9</v>
      </c>
      <c r="O23" s="41">
        <v>0</v>
      </c>
      <c r="P23" s="41">
        <v>0.55000000000000004</v>
      </c>
      <c r="Q23" s="41">
        <v>9.32</v>
      </c>
      <c r="R23" s="38"/>
      <c r="S23" s="38"/>
      <c r="T23" s="38"/>
      <c r="U23" s="38"/>
    </row>
    <row r="24" spans="1:21" customFormat="1">
      <c r="A24" s="40" t="s">
        <v>532</v>
      </c>
      <c r="B24" s="41">
        <v>3.29</v>
      </c>
      <c r="C24" s="41">
        <v>11.74</v>
      </c>
      <c r="D24" s="41">
        <v>8.77</v>
      </c>
      <c r="E24" s="41">
        <v>6.02</v>
      </c>
      <c r="F24" s="27" t="s">
        <v>8</v>
      </c>
      <c r="G24" s="41">
        <v>23.76</v>
      </c>
      <c r="H24" s="41">
        <v>8.2899999999999991</v>
      </c>
      <c r="I24" s="41">
        <v>10.27</v>
      </c>
      <c r="J24" s="41">
        <v>0.31</v>
      </c>
      <c r="K24" s="41">
        <v>185.36</v>
      </c>
      <c r="L24" s="41">
        <v>18.34</v>
      </c>
      <c r="M24" s="41">
        <v>26.32</v>
      </c>
      <c r="N24" s="41">
        <v>61.8</v>
      </c>
      <c r="O24" s="41">
        <v>0</v>
      </c>
      <c r="P24" s="41">
        <v>0.48</v>
      </c>
      <c r="Q24" s="41">
        <v>9.32</v>
      </c>
      <c r="R24" s="38"/>
      <c r="S24" s="38"/>
      <c r="T24" s="38"/>
      <c r="U24" s="38"/>
    </row>
    <row r="25" spans="1:21" customFormat="1">
      <c r="A25" s="40" t="s">
        <v>533</v>
      </c>
      <c r="B25" s="41">
        <v>3.25</v>
      </c>
      <c r="C25" s="41">
        <v>10.87</v>
      </c>
      <c r="D25" s="41">
        <v>8.24</v>
      </c>
      <c r="E25" s="41">
        <v>5.97</v>
      </c>
      <c r="F25" s="27" t="s">
        <v>8</v>
      </c>
      <c r="G25" s="41">
        <v>23.76</v>
      </c>
      <c r="H25" s="41">
        <v>8.2799999999999994</v>
      </c>
      <c r="I25" s="41">
        <v>9.61</v>
      </c>
      <c r="J25" s="41">
        <v>0.21</v>
      </c>
      <c r="K25" s="41">
        <v>195.98</v>
      </c>
      <c r="L25" s="41">
        <v>18.28</v>
      </c>
      <c r="M25" s="41">
        <v>26.95</v>
      </c>
      <c r="N25" s="41">
        <v>40.299999999999997</v>
      </c>
      <c r="O25" s="41">
        <v>0</v>
      </c>
      <c r="P25" s="41">
        <v>0.43</v>
      </c>
      <c r="Q25" s="41">
        <v>9.32</v>
      </c>
      <c r="R25" s="38"/>
      <c r="S25" s="38"/>
      <c r="T25" s="38"/>
      <c r="U25" s="38"/>
    </row>
    <row r="26" spans="1:21" customFormat="1">
      <c r="A26" s="40" t="s">
        <v>534</v>
      </c>
      <c r="B26" s="41">
        <v>4.76</v>
      </c>
      <c r="C26" s="41">
        <v>12.69</v>
      </c>
      <c r="D26" s="41">
        <v>10.45</v>
      </c>
      <c r="E26" s="41">
        <v>6.02</v>
      </c>
      <c r="F26" s="27" t="s">
        <v>8</v>
      </c>
      <c r="G26" s="41">
        <v>38.83</v>
      </c>
      <c r="H26" s="41">
        <v>8.6999999999999993</v>
      </c>
      <c r="I26" s="41">
        <v>8.9</v>
      </c>
      <c r="J26" s="41">
        <v>0.22</v>
      </c>
      <c r="K26" s="41">
        <v>165.32</v>
      </c>
      <c r="L26" s="41">
        <v>15.81</v>
      </c>
      <c r="M26" s="41">
        <v>21.38</v>
      </c>
      <c r="N26" s="41">
        <v>7.3</v>
      </c>
      <c r="O26" s="41">
        <v>0</v>
      </c>
      <c r="P26" s="41">
        <v>0.43</v>
      </c>
      <c r="Q26" s="41">
        <v>9.32</v>
      </c>
      <c r="R26" s="38"/>
      <c r="S26" s="38"/>
      <c r="T26" s="38"/>
      <c r="U26" s="38"/>
    </row>
    <row r="27" spans="1:21" customFormat="1">
      <c r="A27" s="40" t="s">
        <v>535</v>
      </c>
      <c r="B27" s="41">
        <v>6.03</v>
      </c>
      <c r="C27" s="41">
        <v>15.1</v>
      </c>
      <c r="D27" s="41">
        <v>12.73</v>
      </c>
      <c r="E27" s="41">
        <v>6.05</v>
      </c>
      <c r="F27" s="27" t="s">
        <v>8</v>
      </c>
      <c r="G27" s="41">
        <v>52.65</v>
      </c>
      <c r="H27" s="41">
        <v>11.23</v>
      </c>
      <c r="I27" s="41">
        <v>9.19</v>
      </c>
      <c r="J27" s="41">
        <v>0.32</v>
      </c>
      <c r="K27" s="41">
        <v>175.94</v>
      </c>
      <c r="L27" s="41">
        <v>16.649999999999999</v>
      </c>
      <c r="M27" s="41">
        <v>23.55</v>
      </c>
      <c r="N27" s="41">
        <v>1.9</v>
      </c>
      <c r="O27" s="41">
        <v>0</v>
      </c>
      <c r="P27" s="41">
        <v>0.48</v>
      </c>
      <c r="Q27" s="41">
        <v>9.32</v>
      </c>
      <c r="R27" s="38"/>
      <c r="S27" s="38"/>
      <c r="T27" s="38"/>
      <c r="U27" s="38"/>
    </row>
    <row r="28" spans="1:21" customFormat="1">
      <c r="A28" s="40" t="s">
        <v>536</v>
      </c>
      <c r="B28" s="41">
        <v>7.42</v>
      </c>
      <c r="C28" s="41">
        <v>14.99</v>
      </c>
      <c r="D28" s="41">
        <v>13.74</v>
      </c>
      <c r="E28" s="41">
        <v>6.12</v>
      </c>
      <c r="F28" s="27" t="s">
        <v>8</v>
      </c>
      <c r="G28" s="41">
        <v>52.65</v>
      </c>
      <c r="H28" s="41">
        <v>12.18</v>
      </c>
      <c r="I28" s="41">
        <v>9.8000000000000007</v>
      </c>
      <c r="J28" s="41">
        <v>0.17</v>
      </c>
      <c r="K28" s="41">
        <v>175.67</v>
      </c>
      <c r="L28" s="41">
        <v>16.87</v>
      </c>
      <c r="M28" s="41">
        <v>24.16</v>
      </c>
      <c r="N28" s="41">
        <v>1.8</v>
      </c>
      <c r="O28" s="41">
        <v>0</v>
      </c>
      <c r="P28" s="41">
        <v>0.55000000000000004</v>
      </c>
      <c r="Q28" s="41">
        <v>9.32</v>
      </c>
      <c r="R28" s="38"/>
      <c r="S28" s="38"/>
      <c r="T28" s="38"/>
      <c r="U28" s="38"/>
    </row>
    <row r="29" spans="1:21" customFormat="1">
      <c r="A29" s="40" t="s">
        <v>537</v>
      </c>
      <c r="B29" s="41">
        <v>13.81</v>
      </c>
      <c r="C29" s="41">
        <v>17.079999999999998</v>
      </c>
      <c r="D29" s="41">
        <v>19.690000000000001</v>
      </c>
      <c r="E29" s="41">
        <v>6.27</v>
      </c>
      <c r="F29" s="27" t="s">
        <v>8</v>
      </c>
      <c r="G29" s="41">
        <v>66.37</v>
      </c>
      <c r="H29" s="41">
        <v>14.71</v>
      </c>
      <c r="I29" s="41">
        <v>10.61</v>
      </c>
      <c r="J29" s="41">
        <v>0.22</v>
      </c>
      <c r="K29" s="41">
        <v>203.23</v>
      </c>
      <c r="L29" s="41">
        <v>18.399999999999999</v>
      </c>
      <c r="M29" s="41">
        <v>28.13</v>
      </c>
      <c r="N29" s="41">
        <v>1.8</v>
      </c>
      <c r="O29" s="41">
        <v>0</v>
      </c>
      <c r="P29" s="41">
        <v>0.64</v>
      </c>
      <c r="Q29" s="41">
        <v>9.32</v>
      </c>
      <c r="R29" s="38"/>
      <c r="S29" s="38"/>
      <c r="T29" s="38"/>
      <c r="U29" s="38"/>
    </row>
    <row r="30" spans="1:21" customFormat="1">
      <c r="A30" s="40" t="s">
        <v>538</v>
      </c>
      <c r="B30" s="41">
        <v>14.08</v>
      </c>
      <c r="C30" s="41">
        <v>16.37</v>
      </c>
      <c r="D30" s="41">
        <v>19.75</v>
      </c>
      <c r="E30" s="41">
        <v>6.28</v>
      </c>
      <c r="F30" s="27" t="s">
        <v>8</v>
      </c>
      <c r="G30" s="41">
        <v>66.37</v>
      </c>
      <c r="H30" s="41">
        <v>14.71</v>
      </c>
      <c r="I30" s="41">
        <v>11.88</v>
      </c>
      <c r="J30" s="41">
        <v>0.28999999999999998</v>
      </c>
      <c r="K30" s="41">
        <v>196.71</v>
      </c>
      <c r="L30" s="41">
        <v>18.809999999999999</v>
      </c>
      <c r="M30" s="41">
        <v>29.06</v>
      </c>
      <c r="N30" s="41">
        <v>1.6</v>
      </c>
      <c r="O30" s="41">
        <v>0</v>
      </c>
      <c r="P30" s="41">
        <v>0.67</v>
      </c>
      <c r="Q30" s="41">
        <v>9.32</v>
      </c>
      <c r="R30" s="38"/>
      <c r="S30" s="38"/>
      <c r="T30" s="38"/>
      <c r="U30" s="38"/>
    </row>
    <row r="31" spans="1:21" customFormat="1">
      <c r="A31" s="40" t="s">
        <v>539</v>
      </c>
      <c r="B31" s="41">
        <v>20.11</v>
      </c>
      <c r="C31" s="41">
        <v>16.86</v>
      </c>
      <c r="D31" s="41">
        <v>24.91</v>
      </c>
      <c r="E31" s="41">
        <v>6.42</v>
      </c>
      <c r="F31" s="27" t="s">
        <v>8</v>
      </c>
      <c r="G31" s="41">
        <v>62.97</v>
      </c>
      <c r="H31" s="41">
        <v>15.36</v>
      </c>
      <c r="I31" s="41">
        <v>12.46</v>
      </c>
      <c r="J31" s="41">
        <v>0.17</v>
      </c>
      <c r="K31" s="41">
        <v>199.84</v>
      </c>
      <c r="L31" s="41">
        <v>18.149999999999999</v>
      </c>
      <c r="M31" s="41">
        <v>27.52</v>
      </c>
      <c r="N31" s="41">
        <v>1.4</v>
      </c>
      <c r="O31" s="41">
        <v>0</v>
      </c>
      <c r="P31" s="41">
        <v>0.72</v>
      </c>
      <c r="Q31" s="41">
        <v>9.32</v>
      </c>
      <c r="R31" s="38"/>
      <c r="S31" s="38"/>
      <c r="T31" s="38"/>
      <c r="U31" s="38"/>
    </row>
    <row r="32" spans="1:21" customFormat="1">
      <c r="A32" s="40" t="s">
        <v>540</v>
      </c>
      <c r="B32" s="41">
        <v>21.62</v>
      </c>
      <c r="C32" s="41">
        <v>16.899999999999999</v>
      </c>
      <c r="D32" s="41">
        <v>26.03</v>
      </c>
      <c r="E32" s="41">
        <v>6.36</v>
      </c>
      <c r="F32" s="27" t="s">
        <v>8</v>
      </c>
      <c r="G32" s="41">
        <v>62.97</v>
      </c>
      <c r="H32" s="41">
        <v>15.36</v>
      </c>
      <c r="I32" s="41">
        <v>13.01</v>
      </c>
      <c r="J32" s="41">
        <v>0.19</v>
      </c>
      <c r="K32" s="41">
        <v>215.01</v>
      </c>
      <c r="L32" s="41">
        <v>19.22</v>
      </c>
      <c r="M32" s="41">
        <v>30.18</v>
      </c>
      <c r="N32" s="41">
        <v>1.6</v>
      </c>
      <c r="O32" s="41">
        <v>0</v>
      </c>
      <c r="P32" s="41">
        <v>0.74</v>
      </c>
      <c r="Q32" s="41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3.25</v>
      </c>
      <c r="C34" s="18">
        <f t="shared" si="0"/>
        <v>10.87</v>
      </c>
      <c r="D34" s="18">
        <f t="shared" si="0"/>
        <v>8.24</v>
      </c>
      <c r="E34" s="18">
        <f t="shared" si="0"/>
        <v>5.82</v>
      </c>
      <c r="F34" s="18">
        <f t="shared" si="0"/>
        <v>0</v>
      </c>
      <c r="G34" s="18">
        <f t="shared" si="0"/>
        <v>23.24</v>
      </c>
      <c r="H34" s="18">
        <f t="shared" si="0"/>
        <v>8.2799999999999994</v>
      </c>
      <c r="I34" s="18">
        <f t="shared" si="0"/>
        <v>8.9</v>
      </c>
      <c r="J34" s="18">
        <f t="shared" si="0"/>
        <v>0.1</v>
      </c>
      <c r="K34" s="18">
        <f t="shared" si="0"/>
        <v>39.299999999999997</v>
      </c>
      <c r="L34" s="18">
        <f t="shared" si="0"/>
        <v>13.62</v>
      </c>
      <c r="M34" s="18">
        <f t="shared" si="0"/>
        <v>13.69</v>
      </c>
      <c r="N34" s="18">
        <f t="shared" si="0"/>
        <v>1.3</v>
      </c>
      <c r="O34" s="18">
        <f t="shared" si="0"/>
        <v>0</v>
      </c>
      <c r="P34" s="18">
        <f t="shared" si="0"/>
        <v>0.43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21.62</v>
      </c>
      <c r="C35" s="3">
        <f t="shared" si="1"/>
        <v>17.78</v>
      </c>
      <c r="D35" s="3">
        <f t="shared" si="1"/>
        <v>26.03</v>
      </c>
      <c r="E35" s="3">
        <f t="shared" si="1"/>
        <v>6.54</v>
      </c>
      <c r="F35" s="3">
        <f t="shared" si="1"/>
        <v>0</v>
      </c>
      <c r="G35" s="3">
        <f t="shared" si="1"/>
        <v>90.27</v>
      </c>
      <c r="H35" s="3">
        <f t="shared" si="1"/>
        <v>22</v>
      </c>
      <c r="I35" s="3">
        <f t="shared" si="1"/>
        <v>14.12</v>
      </c>
      <c r="J35" s="3">
        <f t="shared" si="1"/>
        <v>0.82</v>
      </c>
      <c r="K35" s="3">
        <f t="shared" si="1"/>
        <v>359.39</v>
      </c>
      <c r="L35" s="3">
        <f t="shared" si="1"/>
        <v>25.18</v>
      </c>
      <c r="M35" s="3">
        <f t="shared" si="1"/>
        <v>35.090000000000003</v>
      </c>
      <c r="N35" s="3">
        <f t="shared" si="1"/>
        <v>554.9</v>
      </c>
      <c r="O35" s="3">
        <f t="shared" si="1"/>
        <v>0</v>
      </c>
      <c r="P35" s="3">
        <f t="shared" si="1"/>
        <v>0.79</v>
      </c>
      <c r="Q35" s="3">
        <f t="shared" si="1"/>
        <v>10.09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10.508333333333333</v>
      </c>
      <c r="C36" s="18">
        <f t="shared" si="2"/>
        <v>14.447916666666666</v>
      </c>
      <c r="D36" s="18">
        <f t="shared" si="2"/>
        <v>15.898750000000001</v>
      </c>
      <c r="E36" s="18">
        <f t="shared" si="2"/>
        <v>6.1174999999999988</v>
      </c>
      <c r="F36" s="18" t="e">
        <f t="shared" si="2"/>
        <v>#DIV/0!</v>
      </c>
      <c r="G36" s="18">
        <f t="shared" si="2"/>
        <v>48.27</v>
      </c>
      <c r="H36" s="18">
        <f t="shared" si="2"/>
        <v>14.41375</v>
      </c>
      <c r="I36" s="18">
        <f t="shared" si="2"/>
        <v>11.467083333333333</v>
      </c>
      <c r="J36" s="18">
        <f t="shared" si="2"/>
        <v>0.33041666666666664</v>
      </c>
      <c r="K36" s="18">
        <f t="shared" si="2"/>
        <v>178.53166666666667</v>
      </c>
      <c r="L36" s="18">
        <f t="shared" si="2"/>
        <v>18.25333333333333</v>
      </c>
      <c r="M36" s="18">
        <f t="shared" si="2"/>
        <v>25.084999999999994</v>
      </c>
      <c r="N36" s="18">
        <f t="shared" si="2"/>
        <v>130.05000000000004</v>
      </c>
      <c r="O36" s="18">
        <f t="shared" si="2"/>
        <v>0</v>
      </c>
      <c r="P36" s="18">
        <f t="shared" si="2"/>
        <v>0.62416666666666687</v>
      </c>
      <c r="Q36" s="18">
        <f t="shared" si="2"/>
        <v>9.3795833333333309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5.4929343284106258</v>
      </c>
      <c r="C37" s="18">
        <f t="shared" ref="C37:Q37" si="3">STDEV(C9:C32)</f>
        <v>2.2107326725036902</v>
      </c>
      <c r="D37" s="18">
        <f t="shared" si="3"/>
        <v>5.1599665591265493</v>
      </c>
      <c r="E37" s="18">
        <f t="shared" si="3"/>
        <v>0.20889460625334286</v>
      </c>
      <c r="F37" s="18" t="e">
        <f t="shared" si="3"/>
        <v>#DIV/0!</v>
      </c>
      <c r="G37" s="18">
        <f t="shared" si="3"/>
        <v>21.135045077661484</v>
      </c>
      <c r="H37" s="18">
        <f t="shared" si="3"/>
        <v>4.2435985677662611</v>
      </c>
      <c r="I37" s="18">
        <f t="shared" si="3"/>
        <v>1.5955658098690944</v>
      </c>
      <c r="J37" s="18">
        <f t="shared" si="3"/>
        <v>0.19758276563344865</v>
      </c>
      <c r="K37" s="18">
        <f t="shared" si="3"/>
        <v>92.981125091001104</v>
      </c>
      <c r="L37" s="18">
        <f t="shared" si="3"/>
        <v>2.4046597276532125</v>
      </c>
      <c r="M37" s="18">
        <f t="shared" si="3"/>
        <v>5.9289877426230344</v>
      </c>
      <c r="N37" s="18">
        <f t="shared" si="3"/>
        <v>200.05971499834095</v>
      </c>
      <c r="O37" s="18">
        <f t="shared" si="3"/>
        <v>0</v>
      </c>
      <c r="P37" s="18">
        <f t="shared" si="3"/>
        <v>0.11251730945741625</v>
      </c>
      <c r="Q37" s="18">
        <f t="shared" si="3"/>
        <v>0.18109519876157038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>COUNT(F9:F32)+24</f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96"/>
  <sheetViews>
    <sheetView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L29" sqref="L2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21/11/2025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541</v>
      </c>
      <c r="B9" s="41">
        <v>22.32</v>
      </c>
      <c r="C9" s="41">
        <v>16.36</v>
      </c>
      <c r="D9" s="41">
        <v>26.44</v>
      </c>
      <c r="E9" s="41">
        <v>6.54</v>
      </c>
      <c r="F9" s="41">
        <v>20.3</v>
      </c>
      <c r="G9" s="41">
        <v>54.11</v>
      </c>
      <c r="H9" s="41">
        <v>16.27</v>
      </c>
      <c r="I9" s="41">
        <v>13.53</v>
      </c>
      <c r="J9" s="41">
        <v>0.17</v>
      </c>
      <c r="K9" s="41">
        <v>211.73</v>
      </c>
      <c r="L9" s="41">
        <v>18.829999999999998</v>
      </c>
      <c r="M9" s="41">
        <v>29.2</v>
      </c>
      <c r="N9" s="41">
        <v>1.4</v>
      </c>
      <c r="O9" s="41">
        <v>0</v>
      </c>
      <c r="P9" s="41">
        <v>0.76</v>
      </c>
      <c r="Q9" s="41">
        <v>9.32</v>
      </c>
      <c r="R9" s="38"/>
      <c r="S9" s="38"/>
      <c r="T9" s="38"/>
      <c r="U9" s="38"/>
    </row>
    <row r="10" spans="1:21" customFormat="1">
      <c r="A10" s="40" t="s">
        <v>542</v>
      </c>
      <c r="B10" s="41">
        <v>21.99</v>
      </c>
      <c r="C10" s="41">
        <v>16.010000000000002</v>
      </c>
      <c r="D10" s="41">
        <v>26</v>
      </c>
      <c r="E10" s="41">
        <v>6.58</v>
      </c>
      <c r="F10" s="41">
        <v>20.3</v>
      </c>
      <c r="G10" s="41">
        <v>46.83</v>
      </c>
      <c r="H10" s="41">
        <v>16.27</v>
      </c>
      <c r="I10" s="41">
        <v>13.94</v>
      </c>
      <c r="J10" s="41">
        <v>0.19</v>
      </c>
      <c r="K10" s="41">
        <v>264.8</v>
      </c>
      <c r="L10" s="41">
        <v>18.68</v>
      </c>
      <c r="M10" s="41">
        <v>28.69</v>
      </c>
      <c r="N10" s="41">
        <v>1.6</v>
      </c>
      <c r="O10" s="41">
        <v>0</v>
      </c>
      <c r="P10" s="41">
        <v>0.76</v>
      </c>
      <c r="Q10" s="41">
        <v>10.08</v>
      </c>
      <c r="R10" s="38"/>
      <c r="S10" s="38"/>
      <c r="T10" s="38"/>
      <c r="U10" s="38"/>
    </row>
    <row r="11" spans="1:21" customFormat="1">
      <c r="A11" s="40" t="s">
        <v>543</v>
      </c>
      <c r="B11" s="41">
        <v>25.79</v>
      </c>
      <c r="C11" s="41">
        <v>16</v>
      </c>
      <c r="D11" s="41">
        <v>29.04</v>
      </c>
      <c r="E11" s="41">
        <v>6.19</v>
      </c>
      <c r="F11" s="41">
        <v>20.6</v>
      </c>
      <c r="G11" s="41">
        <v>44.23</v>
      </c>
      <c r="H11" s="41">
        <v>15.76</v>
      </c>
      <c r="I11" s="41">
        <v>14.08</v>
      </c>
      <c r="J11" s="41">
        <v>0.15</v>
      </c>
      <c r="K11" s="41">
        <v>192.98</v>
      </c>
      <c r="L11" s="41">
        <v>18.09</v>
      </c>
      <c r="M11" s="41">
        <v>27.25</v>
      </c>
      <c r="N11" s="41">
        <v>1.4</v>
      </c>
      <c r="O11" s="41">
        <v>0</v>
      </c>
      <c r="P11" s="41">
        <v>0.77</v>
      </c>
      <c r="Q11" s="41">
        <v>10.07</v>
      </c>
      <c r="R11" s="38"/>
      <c r="S11" s="38"/>
      <c r="T11" s="38"/>
      <c r="U11" s="38"/>
    </row>
    <row r="12" spans="1:21" customFormat="1">
      <c r="A12" s="40" t="s">
        <v>544</v>
      </c>
      <c r="B12" s="41">
        <v>27.9</v>
      </c>
      <c r="C12" s="41">
        <v>15.84</v>
      </c>
      <c r="D12" s="41">
        <v>30.61</v>
      </c>
      <c r="E12" s="41">
        <v>6.35</v>
      </c>
      <c r="F12" s="41">
        <v>50.6</v>
      </c>
      <c r="G12" s="41">
        <v>44.23</v>
      </c>
      <c r="H12" s="41">
        <v>15.7</v>
      </c>
      <c r="I12" s="41">
        <v>14.62</v>
      </c>
      <c r="J12" s="41">
        <v>0.14000000000000001</v>
      </c>
      <c r="K12" s="41">
        <v>209.83</v>
      </c>
      <c r="L12" s="41">
        <v>19.2</v>
      </c>
      <c r="M12" s="41">
        <v>29.97</v>
      </c>
      <c r="N12" s="41">
        <v>1.6</v>
      </c>
      <c r="O12" s="41">
        <v>0</v>
      </c>
      <c r="P12" s="41">
        <v>0.78</v>
      </c>
      <c r="Q12" s="41">
        <v>9.92</v>
      </c>
      <c r="R12" s="38"/>
      <c r="S12" s="38"/>
      <c r="T12" s="38"/>
      <c r="U12" s="38"/>
    </row>
    <row r="13" spans="1:21" customFormat="1">
      <c r="A13" s="40" t="s">
        <v>545</v>
      </c>
      <c r="B13" s="41">
        <v>33.14</v>
      </c>
      <c r="C13" s="41">
        <v>16.37</v>
      </c>
      <c r="D13" s="41">
        <v>35.130000000000003</v>
      </c>
      <c r="E13" s="41">
        <v>6.17</v>
      </c>
      <c r="F13" s="41">
        <v>20.6</v>
      </c>
      <c r="G13" s="41">
        <v>43.31</v>
      </c>
      <c r="H13" s="41">
        <v>16.309999999999999</v>
      </c>
      <c r="I13" s="41">
        <v>15.45</v>
      </c>
      <c r="J13" s="41">
        <v>0.18</v>
      </c>
      <c r="K13" s="41">
        <v>222.36</v>
      </c>
      <c r="L13" s="41">
        <v>19.27</v>
      </c>
      <c r="M13" s="41">
        <v>30.12</v>
      </c>
      <c r="N13" s="41">
        <v>1.5</v>
      </c>
      <c r="O13" s="41">
        <v>0</v>
      </c>
      <c r="P13" s="41">
        <v>0.83</v>
      </c>
      <c r="Q13" s="41">
        <v>9.32</v>
      </c>
      <c r="R13" s="38"/>
      <c r="S13" s="38"/>
      <c r="T13" s="38"/>
      <c r="U13" s="38"/>
    </row>
    <row r="14" spans="1:21" customFormat="1">
      <c r="A14" s="40" t="s">
        <v>546</v>
      </c>
      <c r="B14" s="41">
        <v>34.049999999999997</v>
      </c>
      <c r="C14" s="41">
        <v>16.739999999999998</v>
      </c>
      <c r="D14" s="41">
        <v>36</v>
      </c>
      <c r="E14" s="41">
        <v>6.26</v>
      </c>
      <c r="F14" s="41">
        <v>20.6</v>
      </c>
      <c r="G14" s="41">
        <v>54.42</v>
      </c>
      <c r="H14" s="41">
        <v>17.11</v>
      </c>
      <c r="I14" s="41">
        <v>16.12</v>
      </c>
      <c r="J14" s="41">
        <v>0.26</v>
      </c>
      <c r="K14" s="41">
        <v>100.08</v>
      </c>
      <c r="L14" s="41">
        <v>12.72</v>
      </c>
      <c r="M14" s="41">
        <v>13.86</v>
      </c>
      <c r="N14" s="41">
        <v>1.4</v>
      </c>
      <c r="O14" s="41">
        <v>0</v>
      </c>
      <c r="P14" s="41">
        <v>0.89</v>
      </c>
      <c r="Q14" s="41">
        <v>9.32</v>
      </c>
      <c r="R14" s="38"/>
      <c r="S14" s="38"/>
      <c r="T14" s="38"/>
      <c r="U14" s="38"/>
    </row>
    <row r="15" spans="1:21" customFormat="1">
      <c r="A15" s="40" t="s">
        <v>547</v>
      </c>
      <c r="B15" s="41">
        <v>33.950000000000003</v>
      </c>
      <c r="C15" s="41">
        <v>16.809999999999999</v>
      </c>
      <c r="D15" s="41">
        <v>36</v>
      </c>
      <c r="E15" s="41">
        <v>6.03</v>
      </c>
      <c r="F15" s="41">
        <v>20.6</v>
      </c>
      <c r="G15" s="41">
        <v>59.99</v>
      </c>
      <c r="H15" s="41">
        <v>19.34</v>
      </c>
      <c r="I15" s="41">
        <v>16.77</v>
      </c>
      <c r="J15" s="41">
        <v>0.44</v>
      </c>
      <c r="K15" s="41">
        <v>154.30000000000001</v>
      </c>
      <c r="L15" s="41">
        <v>14.94</v>
      </c>
      <c r="M15" s="41">
        <v>19.2</v>
      </c>
      <c r="N15" s="41">
        <v>25.2</v>
      </c>
      <c r="O15" s="41">
        <v>0</v>
      </c>
      <c r="P15" s="41">
        <v>0.93</v>
      </c>
      <c r="Q15" s="41">
        <v>9.33</v>
      </c>
      <c r="R15" s="38"/>
      <c r="S15" s="38"/>
      <c r="T15" s="38"/>
      <c r="U15" s="38"/>
    </row>
    <row r="16" spans="1:21" customFormat="1">
      <c r="A16" s="40" t="s">
        <v>548</v>
      </c>
      <c r="B16" s="41">
        <v>33.99</v>
      </c>
      <c r="C16" s="41">
        <v>17.68</v>
      </c>
      <c r="D16" s="41">
        <v>36</v>
      </c>
      <c r="E16" s="41">
        <v>6.12</v>
      </c>
      <c r="F16" s="41">
        <v>20.6</v>
      </c>
      <c r="G16" s="41">
        <v>63.04</v>
      </c>
      <c r="H16" s="41">
        <v>19.899999999999999</v>
      </c>
      <c r="I16" s="41">
        <v>16.97</v>
      </c>
      <c r="J16" s="41">
        <v>0.42</v>
      </c>
      <c r="K16" s="41">
        <v>73.67</v>
      </c>
      <c r="L16" s="41">
        <v>13.76</v>
      </c>
      <c r="M16" s="41">
        <v>15.52</v>
      </c>
      <c r="N16" s="41">
        <v>147.5</v>
      </c>
      <c r="O16" s="41">
        <v>0</v>
      </c>
      <c r="P16" s="41">
        <v>0.95</v>
      </c>
      <c r="Q16" s="41">
        <v>9.4600000000000009</v>
      </c>
      <c r="R16" s="38"/>
      <c r="S16" s="38"/>
      <c r="T16" s="38"/>
      <c r="U16" s="38"/>
    </row>
    <row r="17" spans="1:21" customFormat="1">
      <c r="A17" s="40" t="s">
        <v>549</v>
      </c>
      <c r="B17" s="41">
        <v>31.54</v>
      </c>
      <c r="C17" s="41">
        <v>18.260000000000002</v>
      </c>
      <c r="D17" s="41">
        <v>34.81</v>
      </c>
      <c r="E17" s="41">
        <v>6.01</v>
      </c>
      <c r="F17" s="41">
        <v>20.6</v>
      </c>
      <c r="G17" s="41">
        <v>63.04</v>
      </c>
      <c r="H17" s="41">
        <v>20.350000000000001</v>
      </c>
      <c r="I17" s="41">
        <v>16.93</v>
      </c>
      <c r="J17" s="41">
        <v>0.69</v>
      </c>
      <c r="K17" s="41">
        <v>59.99</v>
      </c>
      <c r="L17" s="41">
        <v>12.3</v>
      </c>
      <c r="M17" s="41">
        <v>8.1300000000000008</v>
      </c>
      <c r="N17" s="41">
        <v>307.5</v>
      </c>
      <c r="O17" s="41">
        <v>0</v>
      </c>
      <c r="P17" s="41">
        <v>0.94</v>
      </c>
      <c r="Q17" s="41">
        <v>9.48</v>
      </c>
      <c r="R17" s="38"/>
      <c r="S17" s="38"/>
      <c r="T17" s="38"/>
      <c r="U17" s="38"/>
    </row>
    <row r="18" spans="1:21" customFormat="1">
      <c r="A18" s="40" t="s">
        <v>550</v>
      </c>
      <c r="B18" s="41">
        <v>27.54</v>
      </c>
      <c r="C18" s="41">
        <v>21.89</v>
      </c>
      <c r="D18" s="41">
        <v>31.43</v>
      </c>
      <c r="E18" s="41">
        <v>9.42</v>
      </c>
      <c r="F18" s="41">
        <v>20.6</v>
      </c>
      <c r="G18" s="41">
        <v>61.66</v>
      </c>
      <c r="H18" s="41">
        <v>20.350000000000001</v>
      </c>
      <c r="I18" s="41">
        <v>16.559999999999999</v>
      </c>
      <c r="J18" s="41">
        <v>0.8</v>
      </c>
      <c r="K18" s="41">
        <v>77.010000000000005</v>
      </c>
      <c r="L18" s="41">
        <v>13.93</v>
      </c>
      <c r="M18" s="41">
        <v>9.16</v>
      </c>
      <c r="N18" s="41">
        <v>375.6</v>
      </c>
      <c r="O18" s="41">
        <v>0</v>
      </c>
      <c r="P18" s="41">
        <v>0.9</v>
      </c>
      <c r="Q18" s="41">
        <v>9.4499999999999993</v>
      </c>
      <c r="R18" s="38"/>
      <c r="S18" s="38"/>
      <c r="T18" s="38"/>
      <c r="U18" s="38"/>
    </row>
    <row r="19" spans="1:21" customFormat="1">
      <c r="A19" s="40" t="s">
        <v>551</v>
      </c>
      <c r="B19" s="41">
        <v>12.49</v>
      </c>
      <c r="C19" s="41">
        <v>23.32</v>
      </c>
      <c r="D19" s="41">
        <v>22.2</v>
      </c>
      <c r="E19" s="41">
        <v>7.12</v>
      </c>
      <c r="F19" s="41">
        <v>77.27</v>
      </c>
      <c r="G19" s="41">
        <v>54.05</v>
      </c>
      <c r="H19" s="41">
        <v>18.010000000000002</v>
      </c>
      <c r="I19" s="41">
        <v>13.66</v>
      </c>
      <c r="J19" s="41">
        <v>0.66</v>
      </c>
      <c r="K19" s="41">
        <v>168.49</v>
      </c>
      <c r="L19" s="41">
        <v>21.12</v>
      </c>
      <c r="M19" s="41">
        <v>22.89</v>
      </c>
      <c r="N19" s="41">
        <v>517.4</v>
      </c>
      <c r="O19" s="41">
        <v>0</v>
      </c>
      <c r="P19" s="41">
        <v>0.76</v>
      </c>
      <c r="Q19" s="41">
        <v>9.56</v>
      </c>
      <c r="R19" s="38"/>
      <c r="S19" s="38"/>
      <c r="T19" s="38"/>
      <c r="U19" s="38"/>
    </row>
    <row r="20" spans="1:21" customFormat="1">
      <c r="A20" s="40" t="s">
        <v>552</v>
      </c>
      <c r="B20" s="41">
        <v>4.37</v>
      </c>
      <c r="C20" s="41">
        <v>20.13</v>
      </c>
      <c r="D20" s="41">
        <v>14.03</v>
      </c>
      <c r="E20" s="41">
        <v>6.83</v>
      </c>
      <c r="F20" s="41">
        <v>131.28</v>
      </c>
      <c r="G20" s="41">
        <v>45.47</v>
      </c>
      <c r="H20" s="41">
        <v>16.45</v>
      </c>
      <c r="I20" s="41">
        <v>10.220000000000001</v>
      </c>
      <c r="J20" s="41">
        <v>0.75</v>
      </c>
      <c r="K20" s="41">
        <v>297.16000000000003</v>
      </c>
      <c r="L20" s="41">
        <v>27.58</v>
      </c>
      <c r="M20" s="41">
        <v>37.43</v>
      </c>
      <c r="N20" s="41">
        <v>574.5</v>
      </c>
      <c r="O20" s="41">
        <v>0</v>
      </c>
      <c r="P20" s="41">
        <v>0.63</v>
      </c>
      <c r="Q20" s="41">
        <v>9.41</v>
      </c>
      <c r="R20" s="38"/>
      <c r="S20" s="38"/>
      <c r="T20" s="38"/>
      <c r="U20" s="38"/>
    </row>
    <row r="21" spans="1:21" customFormat="1">
      <c r="A21" s="40" t="s">
        <v>553</v>
      </c>
      <c r="B21" s="41">
        <v>3.28</v>
      </c>
      <c r="C21" s="41">
        <v>16.2</v>
      </c>
      <c r="D21" s="41">
        <v>11.09</v>
      </c>
      <c r="E21" s="41">
        <v>3.99</v>
      </c>
      <c r="F21" s="41">
        <v>30.6</v>
      </c>
      <c r="G21" s="41">
        <v>33.43</v>
      </c>
      <c r="H21" s="41">
        <v>13.16</v>
      </c>
      <c r="I21" s="41">
        <v>8.4600000000000009</v>
      </c>
      <c r="J21" s="41">
        <v>0.53</v>
      </c>
      <c r="K21" s="41">
        <v>337.85</v>
      </c>
      <c r="L21" s="41">
        <v>27.78</v>
      </c>
      <c r="M21" s="41">
        <v>38.08</v>
      </c>
      <c r="N21" s="41">
        <v>577</v>
      </c>
      <c r="O21" s="41">
        <v>0</v>
      </c>
      <c r="P21" s="41">
        <v>0.42</v>
      </c>
      <c r="Q21" s="41">
        <v>9.32</v>
      </c>
      <c r="R21" s="38"/>
      <c r="S21" s="38"/>
      <c r="T21" s="38"/>
      <c r="U21" s="38"/>
    </row>
    <row r="22" spans="1:21" customFormat="1">
      <c r="A22" s="40" t="s">
        <v>554</v>
      </c>
      <c r="B22" s="41">
        <v>2.96</v>
      </c>
      <c r="C22" s="41">
        <v>15.63</v>
      </c>
      <c r="D22" s="41">
        <v>10.54</v>
      </c>
      <c r="E22" s="41">
        <v>4.01</v>
      </c>
      <c r="F22" s="41">
        <v>50.4</v>
      </c>
      <c r="G22" s="41">
        <v>28.22</v>
      </c>
      <c r="H22" s="41">
        <v>9.92</v>
      </c>
      <c r="I22" s="41">
        <v>7.21</v>
      </c>
      <c r="J22" s="41">
        <v>0.56999999999999995</v>
      </c>
      <c r="K22" s="41">
        <v>255.46</v>
      </c>
      <c r="L22" s="41">
        <v>25.36</v>
      </c>
      <c r="M22" s="41">
        <v>35.69</v>
      </c>
      <c r="N22" s="41">
        <v>436.5</v>
      </c>
      <c r="O22" s="41">
        <v>0</v>
      </c>
      <c r="P22" s="41">
        <v>0.31</v>
      </c>
      <c r="Q22" s="41">
        <v>9.32</v>
      </c>
      <c r="R22" s="38"/>
      <c r="S22" s="38"/>
      <c r="T22" s="38"/>
      <c r="U22" s="38"/>
    </row>
    <row r="23" spans="1:21" customFormat="1">
      <c r="A23" s="40" t="s">
        <v>555</v>
      </c>
      <c r="B23" s="41">
        <v>2.91</v>
      </c>
      <c r="C23" s="41">
        <v>11.77</v>
      </c>
      <c r="D23" s="41">
        <v>8.48</v>
      </c>
      <c r="E23" s="41">
        <v>4.28</v>
      </c>
      <c r="F23" s="41">
        <v>10.3</v>
      </c>
      <c r="G23" s="41">
        <v>23.25</v>
      </c>
      <c r="H23" s="41">
        <v>8.2200000000000006</v>
      </c>
      <c r="I23" s="41">
        <v>6.95</v>
      </c>
      <c r="J23" s="41">
        <v>0.4</v>
      </c>
      <c r="K23" s="41">
        <v>243.33</v>
      </c>
      <c r="L23" s="41">
        <v>20.88</v>
      </c>
      <c r="M23" s="41">
        <v>31.5</v>
      </c>
      <c r="N23" s="41">
        <v>116.4</v>
      </c>
      <c r="O23" s="41">
        <v>0</v>
      </c>
      <c r="P23" s="41">
        <v>0.37</v>
      </c>
      <c r="Q23" s="41">
        <v>9.32</v>
      </c>
      <c r="R23" s="38"/>
      <c r="S23" s="38"/>
      <c r="T23" s="38"/>
      <c r="U23" s="38"/>
    </row>
    <row r="24" spans="1:21" customFormat="1">
      <c r="A24" s="40" t="s">
        <v>556</v>
      </c>
      <c r="B24" s="41">
        <v>3.07</v>
      </c>
      <c r="C24" s="41">
        <v>17.350000000000001</v>
      </c>
      <c r="D24" s="41">
        <v>11.53</v>
      </c>
      <c r="E24" s="41">
        <v>15.62</v>
      </c>
      <c r="F24" s="41">
        <v>20.8</v>
      </c>
      <c r="G24" s="41">
        <v>26.38</v>
      </c>
      <c r="H24" s="41">
        <v>8.31</v>
      </c>
      <c r="I24" s="41">
        <v>7.56</v>
      </c>
      <c r="J24" s="41">
        <v>0.43</v>
      </c>
      <c r="K24" s="41">
        <v>303.01</v>
      </c>
      <c r="L24" s="41">
        <v>24.08</v>
      </c>
      <c r="M24" s="41">
        <v>40.86</v>
      </c>
      <c r="N24" s="41">
        <v>78.8</v>
      </c>
      <c r="O24" s="41">
        <v>0</v>
      </c>
      <c r="P24" s="41">
        <v>0.59</v>
      </c>
      <c r="Q24" s="41">
        <v>9.32</v>
      </c>
      <c r="R24" s="38"/>
      <c r="S24" s="38"/>
      <c r="T24" s="38"/>
      <c r="U24" s="38"/>
    </row>
    <row r="25" spans="1:21" customFormat="1">
      <c r="A25" s="40" t="s">
        <v>557</v>
      </c>
      <c r="B25" s="41">
        <v>3.5</v>
      </c>
      <c r="C25" s="41">
        <v>22.84</v>
      </c>
      <c r="D25" s="41">
        <v>14.74</v>
      </c>
      <c r="E25" s="41">
        <v>17.28</v>
      </c>
      <c r="F25" s="41">
        <v>20.8</v>
      </c>
      <c r="G25" s="41">
        <v>35.619999999999997</v>
      </c>
      <c r="H25" s="41">
        <v>11.14</v>
      </c>
      <c r="I25" s="41">
        <v>10.33</v>
      </c>
      <c r="J25" s="41">
        <v>0.19</v>
      </c>
      <c r="K25" s="41">
        <v>286.76</v>
      </c>
      <c r="L25" s="41">
        <v>18.45</v>
      </c>
      <c r="M25" s="41">
        <v>27.21</v>
      </c>
      <c r="N25" s="41">
        <v>42.2</v>
      </c>
      <c r="O25" s="41">
        <v>0</v>
      </c>
      <c r="P25" s="41">
        <v>0.61</v>
      </c>
      <c r="Q25" s="41">
        <v>9.32</v>
      </c>
      <c r="R25" s="38"/>
      <c r="S25" s="38"/>
      <c r="T25" s="38"/>
      <c r="U25" s="38"/>
    </row>
    <row r="26" spans="1:21" customFormat="1">
      <c r="A26" s="40" t="s">
        <v>558</v>
      </c>
      <c r="B26" s="41">
        <v>5.24</v>
      </c>
      <c r="C26" s="41">
        <v>19.29</v>
      </c>
      <c r="D26" s="41">
        <v>13.64</v>
      </c>
      <c r="E26" s="41">
        <v>5.04</v>
      </c>
      <c r="F26" s="41">
        <v>20.8</v>
      </c>
      <c r="G26" s="41">
        <v>42.19</v>
      </c>
      <c r="H26" s="41">
        <v>11.41</v>
      </c>
      <c r="I26" s="41">
        <v>10.67</v>
      </c>
      <c r="J26" s="41">
        <v>0.33</v>
      </c>
      <c r="K26" s="41">
        <v>125.42</v>
      </c>
      <c r="L26" s="41">
        <v>13.24</v>
      </c>
      <c r="M26" s="41">
        <v>15.09</v>
      </c>
      <c r="N26" s="41">
        <v>7.6</v>
      </c>
      <c r="O26" s="41">
        <v>0</v>
      </c>
      <c r="P26" s="41">
        <v>0.62</v>
      </c>
      <c r="Q26" s="41">
        <v>9.32</v>
      </c>
      <c r="R26" s="38"/>
      <c r="S26" s="38"/>
      <c r="T26" s="38"/>
      <c r="U26" s="38"/>
    </row>
    <row r="27" spans="1:21" customFormat="1">
      <c r="A27" s="40" t="s">
        <v>559</v>
      </c>
      <c r="B27" s="41">
        <v>8.2100000000000009</v>
      </c>
      <c r="C27" s="41">
        <v>17.79</v>
      </c>
      <c r="D27" s="41">
        <v>15.71</v>
      </c>
      <c r="E27" s="41">
        <v>5.0599999999999996</v>
      </c>
      <c r="F27" s="41">
        <v>20.8</v>
      </c>
      <c r="G27" s="41">
        <v>50.95</v>
      </c>
      <c r="H27" s="41">
        <v>11.45</v>
      </c>
      <c r="I27" s="41">
        <v>9.48</v>
      </c>
      <c r="J27" s="41">
        <v>0.32</v>
      </c>
      <c r="K27" s="41">
        <v>155.41999999999999</v>
      </c>
      <c r="L27" s="41">
        <v>14.7</v>
      </c>
      <c r="M27" s="41">
        <v>18.96</v>
      </c>
      <c r="N27" s="41">
        <v>2.2999999999999998</v>
      </c>
      <c r="O27" s="41">
        <v>0</v>
      </c>
      <c r="P27" s="41">
        <v>0.65</v>
      </c>
      <c r="Q27" s="41">
        <v>9.32</v>
      </c>
      <c r="R27" s="38"/>
      <c r="S27" s="38"/>
      <c r="T27" s="38"/>
      <c r="U27" s="38"/>
    </row>
    <row r="28" spans="1:21" customFormat="1">
      <c r="A28" s="40" t="s">
        <v>560</v>
      </c>
      <c r="B28" s="41">
        <v>9.4700000000000006</v>
      </c>
      <c r="C28" s="41">
        <v>16.12</v>
      </c>
      <c r="D28" s="41">
        <v>15.66</v>
      </c>
      <c r="E28" s="41">
        <v>5.28</v>
      </c>
      <c r="F28" s="41">
        <v>20.8</v>
      </c>
      <c r="G28" s="41">
        <v>57.26</v>
      </c>
      <c r="H28" s="41">
        <v>12.04</v>
      </c>
      <c r="I28" s="41">
        <v>11.15</v>
      </c>
      <c r="J28" s="41">
        <v>0.31</v>
      </c>
      <c r="K28" s="41">
        <v>168.02</v>
      </c>
      <c r="L28" s="41">
        <v>15.8</v>
      </c>
      <c r="M28" s="41">
        <v>21.78</v>
      </c>
      <c r="N28" s="41">
        <v>2.2000000000000002</v>
      </c>
      <c r="O28" s="41">
        <v>0</v>
      </c>
      <c r="P28" s="41">
        <v>0.71</v>
      </c>
      <c r="Q28" s="41">
        <v>9.32</v>
      </c>
      <c r="R28" s="38"/>
      <c r="S28" s="38"/>
      <c r="T28" s="38"/>
      <c r="U28" s="38"/>
    </row>
    <row r="29" spans="1:21" customFormat="1">
      <c r="A29" s="40" t="s">
        <v>561</v>
      </c>
      <c r="B29" s="41">
        <v>9.99</v>
      </c>
      <c r="C29" s="41">
        <v>15.56</v>
      </c>
      <c r="D29" s="41">
        <v>16.14</v>
      </c>
      <c r="E29" s="41">
        <v>5.59</v>
      </c>
      <c r="F29" s="41">
        <v>20.8</v>
      </c>
      <c r="G29" s="41">
        <v>57.26</v>
      </c>
      <c r="H29" s="41">
        <v>12.8</v>
      </c>
      <c r="I29" s="41">
        <v>12.16</v>
      </c>
      <c r="J29" s="41">
        <v>0.28000000000000003</v>
      </c>
      <c r="K29" s="41">
        <v>192.44</v>
      </c>
      <c r="L29" s="41">
        <v>17.579999999999998</v>
      </c>
      <c r="M29" s="41">
        <v>26.24</v>
      </c>
      <c r="N29" s="41">
        <v>1.8</v>
      </c>
      <c r="O29" s="41">
        <v>0</v>
      </c>
      <c r="P29" s="41">
        <v>0.74</v>
      </c>
      <c r="Q29" s="41">
        <v>9.32</v>
      </c>
      <c r="R29" s="38"/>
      <c r="S29" s="38"/>
      <c r="T29" s="38"/>
      <c r="U29" s="38"/>
    </row>
    <row r="30" spans="1:21" customFormat="1">
      <c r="A30" s="40" t="s">
        <v>562</v>
      </c>
      <c r="B30" s="41">
        <v>9.89</v>
      </c>
      <c r="C30" s="41">
        <v>15.3</v>
      </c>
      <c r="D30" s="41">
        <v>15.93</v>
      </c>
      <c r="E30" s="41">
        <v>5.3</v>
      </c>
      <c r="F30" s="41">
        <v>20.8</v>
      </c>
      <c r="G30" s="41">
        <v>55.08</v>
      </c>
      <c r="H30" s="41">
        <v>12.86</v>
      </c>
      <c r="I30" s="41">
        <v>12.98</v>
      </c>
      <c r="J30" s="41">
        <v>0.22</v>
      </c>
      <c r="K30" s="41">
        <v>217.05</v>
      </c>
      <c r="L30" s="41">
        <v>19.350000000000001</v>
      </c>
      <c r="M30" s="41">
        <v>30.7</v>
      </c>
      <c r="N30" s="41">
        <v>1.9</v>
      </c>
      <c r="O30" s="41">
        <v>0</v>
      </c>
      <c r="P30" s="41">
        <v>0.76</v>
      </c>
      <c r="Q30" s="41">
        <v>9.32</v>
      </c>
      <c r="R30" s="38"/>
      <c r="S30" s="38"/>
      <c r="T30" s="38"/>
      <c r="U30" s="38"/>
    </row>
    <row r="31" spans="1:21" customFormat="1">
      <c r="A31" s="40" t="s">
        <v>563</v>
      </c>
      <c r="B31" s="41">
        <v>10.26</v>
      </c>
      <c r="C31" s="41">
        <v>14.27</v>
      </c>
      <c r="D31" s="41">
        <v>15.57</v>
      </c>
      <c r="E31" s="41">
        <v>5.6</v>
      </c>
      <c r="F31" s="41">
        <v>20.8</v>
      </c>
      <c r="G31" s="41">
        <v>47.38</v>
      </c>
      <c r="H31" s="41">
        <v>13.74</v>
      </c>
      <c r="I31" s="41">
        <v>12.96</v>
      </c>
      <c r="J31" s="41">
        <v>0.2</v>
      </c>
      <c r="K31" s="41">
        <v>228.67</v>
      </c>
      <c r="L31" s="41">
        <v>20.190000000000001</v>
      </c>
      <c r="M31" s="41">
        <v>32.799999999999997</v>
      </c>
      <c r="N31" s="41">
        <v>1.7</v>
      </c>
      <c r="O31" s="41">
        <v>0</v>
      </c>
      <c r="P31" s="41">
        <v>0.78</v>
      </c>
      <c r="Q31" s="41">
        <v>9.32</v>
      </c>
      <c r="R31" s="38"/>
      <c r="S31" s="38"/>
      <c r="T31" s="38"/>
      <c r="U31" s="38"/>
    </row>
    <row r="32" spans="1:21" customFormat="1">
      <c r="A32" s="40" t="s">
        <v>564</v>
      </c>
      <c r="B32" s="41">
        <v>12.34</v>
      </c>
      <c r="C32" s="41">
        <v>14.27</v>
      </c>
      <c r="D32" s="41">
        <v>17.23</v>
      </c>
      <c r="E32" s="41">
        <v>5.91</v>
      </c>
      <c r="F32" s="41">
        <v>20.8</v>
      </c>
      <c r="G32" s="41">
        <v>45.89</v>
      </c>
      <c r="H32" s="41">
        <v>13.74</v>
      </c>
      <c r="I32" s="41">
        <v>13</v>
      </c>
      <c r="J32" s="41">
        <v>0.19</v>
      </c>
      <c r="K32" s="41">
        <v>217.66</v>
      </c>
      <c r="L32" s="41">
        <v>19.28</v>
      </c>
      <c r="M32" s="41">
        <v>30.66</v>
      </c>
      <c r="N32" s="41">
        <v>1.6</v>
      </c>
      <c r="O32" s="41">
        <v>0</v>
      </c>
      <c r="P32" s="41">
        <v>0.79</v>
      </c>
      <c r="Q32" s="41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2.91</v>
      </c>
      <c r="C34" s="18">
        <f t="shared" si="0"/>
        <v>11.77</v>
      </c>
      <c r="D34" s="18">
        <f t="shared" si="0"/>
        <v>8.48</v>
      </c>
      <c r="E34" s="18">
        <f t="shared" si="0"/>
        <v>3.99</v>
      </c>
      <c r="F34" s="18">
        <f t="shared" si="0"/>
        <v>10.3</v>
      </c>
      <c r="G34" s="18">
        <f t="shared" si="0"/>
        <v>23.25</v>
      </c>
      <c r="H34" s="18">
        <f t="shared" si="0"/>
        <v>8.2200000000000006</v>
      </c>
      <c r="I34" s="18">
        <f t="shared" si="0"/>
        <v>6.95</v>
      </c>
      <c r="J34" s="18">
        <f t="shared" si="0"/>
        <v>0.14000000000000001</v>
      </c>
      <c r="K34" s="18">
        <f t="shared" si="0"/>
        <v>59.99</v>
      </c>
      <c r="L34" s="18">
        <f t="shared" si="0"/>
        <v>12.3</v>
      </c>
      <c r="M34" s="18">
        <f t="shared" si="0"/>
        <v>8.1300000000000008</v>
      </c>
      <c r="N34" s="18">
        <f t="shared" si="0"/>
        <v>1.4</v>
      </c>
      <c r="O34" s="18">
        <f t="shared" si="0"/>
        <v>0</v>
      </c>
      <c r="P34" s="18">
        <f t="shared" si="0"/>
        <v>0.31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34.049999999999997</v>
      </c>
      <c r="C35" s="3">
        <f t="shared" si="1"/>
        <v>23.32</v>
      </c>
      <c r="D35" s="3">
        <f t="shared" si="1"/>
        <v>36</v>
      </c>
      <c r="E35" s="3">
        <f t="shared" si="1"/>
        <v>17.28</v>
      </c>
      <c r="F35" s="3">
        <f t="shared" si="1"/>
        <v>131.28</v>
      </c>
      <c r="G35" s="3">
        <f t="shared" si="1"/>
        <v>63.04</v>
      </c>
      <c r="H35" s="3">
        <f t="shared" si="1"/>
        <v>20.350000000000001</v>
      </c>
      <c r="I35" s="3">
        <f t="shared" si="1"/>
        <v>16.97</v>
      </c>
      <c r="J35" s="3">
        <f t="shared" si="1"/>
        <v>0.8</v>
      </c>
      <c r="K35" s="3">
        <f t="shared" si="1"/>
        <v>337.85</v>
      </c>
      <c r="L35" s="3">
        <f t="shared" si="1"/>
        <v>27.78</v>
      </c>
      <c r="M35" s="3">
        <f t="shared" si="1"/>
        <v>40.86</v>
      </c>
      <c r="N35" s="3">
        <f t="shared" si="1"/>
        <v>577</v>
      </c>
      <c r="O35" s="3">
        <f t="shared" si="1"/>
        <v>0</v>
      </c>
      <c r="P35" s="3">
        <f t="shared" si="1"/>
        <v>0.95</v>
      </c>
      <c r="Q35" s="3">
        <f t="shared" si="1"/>
        <v>10.08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16.257916666666667</v>
      </c>
      <c r="C36" s="18">
        <f t="shared" si="2"/>
        <v>17.158333333333331</v>
      </c>
      <c r="D36" s="18">
        <f t="shared" si="2"/>
        <v>21.831249999999997</v>
      </c>
      <c r="E36" s="18">
        <f t="shared" si="2"/>
        <v>6.7741666666666669</v>
      </c>
      <c r="F36" s="18">
        <f t="shared" si="2"/>
        <v>30.102083333333312</v>
      </c>
      <c r="G36" s="18">
        <f t="shared" si="2"/>
        <v>47.387083333333344</v>
      </c>
      <c r="H36" s="18">
        <f t="shared" si="2"/>
        <v>14.608750000000001</v>
      </c>
      <c r="I36" s="18">
        <f t="shared" si="2"/>
        <v>12.573333333333332</v>
      </c>
      <c r="J36" s="18">
        <f t="shared" si="2"/>
        <v>0.36749999999999999</v>
      </c>
      <c r="K36" s="18">
        <f t="shared" si="2"/>
        <v>198.47875000000002</v>
      </c>
      <c r="L36" s="18">
        <f t="shared" si="2"/>
        <v>18.629583333333333</v>
      </c>
      <c r="M36" s="18">
        <f t="shared" si="2"/>
        <v>25.87458333333333</v>
      </c>
      <c r="N36" s="18">
        <f t="shared" si="2"/>
        <v>134.44166666666666</v>
      </c>
      <c r="O36" s="18">
        <f t="shared" si="2"/>
        <v>0</v>
      </c>
      <c r="P36" s="18">
        <f t="shared" si="2"/>
        <v>0.71875</v>
      </c>
      <c r="Q36" s="18">
        <f t="shared" si="2"/>
        <v>9.4399999999999959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11.914306336124415</v>
      </c>
      <c r="C37" s="18">
        <f t="shared" ref="C37:Q37" si="3">STDEV(C9:C32)</f>
        <v>2.7182597800585699</v>
      </c>
      <c r="D37" s="18">
        <f t="shared" si="3"/>
        <v>9.5919188416717436</v>
      </c>
      <c r="E37" s="18">
        <f t="shared" si="3"/>
        <v>3.1899664938497456</v>
      </c>
      <c r="F37" s="18">
        <f t="shared" si="3"/>
        <v>25.78276404030359</v>
      </c>
      <c r="G37" s="18">
        <f t="shared" si="3"/>
        <v>11.520844805665554</v>
      </c>
      <c r="H37" s="18">
        <f t="shared" si="3"/>
        <v>3.6097938186333245</v>
      </c>
      <c r="I37" s="18">
        <f t="shared" si="3"/>
        <v>3.1759252902540709</v>
      </c>
      <c r="J37" s="18">
        <f t="shared" si="3"/>
        <v>0.20291891719729266</v>
      </c>
      <c r="K37" s="18">
        <f t="shared" si="3"/>
        <v>75.258764233953002</v>
      </c>
      <c r="L37" s="18">
        <f t="shared" si="3"/>
        <v>4.3866739694776387</v>
      </c>
      <c r="M37" s="18">
        <f t="shared" si="3"/>
        <v>9.0095200756063392</v>
      </c>
      <c r="N37" s="18">
        <f t="shared" si="3"/>
        <v>205.05358348843669</v>
      </c>
      <c r="O37" s="18">
        <f t="shared" si="3"/>
        <v>0</v>
      </c>
      <c r="P37" s="18">
        <f t="shared" si="3"/>
        <v>0.17104061302611082</v>
      </c>
      <c r="Q37" s="18">
        <f t="shared" si="3"/>
        <v>0.23612818920901915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96"/>
  <sheetViews>
    <sheetView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F39" sqref="F3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22/11/2025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565</v>
      </c>
      <c r="B9" s="41">
        <v>12.59</v>
      </c>
      <c r="C9" s="41">
        <v>13.65</v>
      </c>
      <c r="D9" s="41">
        <v>17.23</v>
      </c>
      <c r="E9" s="41">
        <v>6.05</v>
      </c>
      <c r="F9" s="27" t="s">
        <v>8</v>
      </c>
      <c r="G9" s="41">
        <v>45.89</v>
      </c>
      <c r="H9" s="41">
        <v>13.98</v>
      </c>
      <c r="I9" s="41">
        <v>13.09</v>
      </c>
      <c r="J9" s="41">
        <v>0.2</v>
      </c>
      <c r="K9" s="41">
        <v>231.02</v>
      </c>
      <c r="L9" s="41">
        <v>20.309999999999999</v>
      </c>
      <c r="M9" s="41">
        <v>33.11</v>
      </c>
      <c r="N9" s="41">
        <v>1.7</v>
      </c>
      <c r="O9" s="41">
        <v>0</v>
      </c>
      <c r="P9" s="41">
        <v>0.8</v>
      </c>
      <c r="Q9" s="41">
        <v>9.32</v>
      </c>
      <c r="R9" s="38"/>
      <c r="S9" s="38"/>
      <c r="T9" s="38"/>
      <c r="U9" s="38"/>
    </row>
    <row r="10" spans="1:21" customFormat="1">
      <c r="A10" s="40" t="s">
        <v>566</v>
      </c>
      <c r="B10" s="41">
        <v>14.99</v>
      </c>
      <c r="C10" s="41">
        <v>13.07</v>
      </c>
      <c r="D10" s="41">
        <v>18.86</v>
      </c>
      <c r="E10" s="41">
        <v>6.07</v>
      </c>
      <c r="F10" s="27" t="s">
        <v>8</v>
      </c>
      <c r="G10" s="41">
        <v>41.57</v>
      </c>
      <c r="H10" s="41">
        <v>13.98</v>
      </c>
      <c r="I10" s="41">
        <v>13.05</v>
      </c>
      <c r="J10" s="41">
        <v>0.21</v>
      </c>
      <c r="K10" s="41">
        <v>245.39</v>
      </c>
      <c r="L10" s="41">
        <v>20.350000000000001</v>
      </c>
      <c r="M10" s="41">
        <v>33.18</v>
      </c>
      <c r="N10" s="41">
        <v>1.6</v>
      </c>
      <c r="O10" s="41">
        <v>0</v>
      </c>
      <c r="P10" s="41">
        <v>0.83</v>
      </c>
      <c r="Q10" s="41">
        <v>9.32</v>
      </c>
      <c r="R10" s="38"/>
      <c r="S10" s="38"/>
      <c r="T10" s="38"/>
      <c r="U10" s="38"/>
    </row>
    <row r="11" spans="1:21" customFormat="1">
      <c r="A11" s="40" t="s">
        <v>567</v>
      </c>
      <c r="B11" s="41">
        <v>18.399999999999999</v>
      </c>
      <c r="C11" s="41">
        <v>13.69</v>
      </c>
      <c r="D11" s="41">
        <v>21.86</v>
      </c>
      <c r="E11" s="41">
        <v>5.65</v>
      </c>
      <c r="F11" s="27" t="s">
        <v>8</v>
      </c>
      <c r="G11" s="41">
        <v>42.24</v>
      </c>
      <c r="H11" s="41">
        <v>13.54</v>
      </c>
      <c r="I11" s="41">
        <v>13.98</v>
      </c>
      <c r="J11" s="41">
        <v>0.21</v>
      </c>
      <c r="K11" s="41">
        <v>193.3</v>
      </c>
      <c r="L11" s="41">
        <v>17.7</v>
      </c>
      <c r="M11" s="41">
        <v>26.56</v>
      </c>
      <c r="N11" s="41">
        <v>1.7</v>
      </c>
      <c r="O11" s="41">
        <v>0</v>
      </c>
      <c r="P11" s="41">
        <v>0.85</v>
      </c>
      <c r="Q11" s="41">
        <v>9.32</v>
      </c>
      <c r="R11" s="38"/>
      <c r="S11" s="38"/>
      <c r="T11" s="38"/>
      <c r="U11" s="38"/>
    </row>
    <row r="12" spans="1:21" customFormat="1">
      <c r="A12" s="40" t="s">
        <v>568</v>
      </c>
      <c r="B12" s="41">
        <v>22.42</v>
      </c>
      <c r="C12" s="41">
        <v>14.25</v>
      </c>
      <c r="D12" s="41">
        <v>25.43</v>
      </c>
      <c r="E12" s="41">
        <v>5.84</v>
      </c>
      <c r="F12" s="27" t="s">
        <v>8</v>
      </c>
      <c r="G12" s="41">
        <v>44.28</v>
      </c>
      <c r="H12" s="41">
        <v>14.84</v>
      </c>
      <c r="I12" s="41">
        <v>14.41</v>
      </c>
      <c r="J12" s="41">
        <v>0.23</v>
      </c>
      <c r="K12" s="41">
        <v>160.38</v>
      </c>
      <c r="L12" s="41">
        <v>15.67</v>
      </c>
      <c r="M12" s="41">
        <v>21.41</v>
      </c>
      <c r="N12" s="41">
        <v>1.5</v>
      </c>
      <c r="O12" s="41">
        <v>0</v>
      </c>
      <c r="P12" s="41">
        <v>0.86</v>
      </c>
      <c r="Q12" s="41">
        <v>9.32</v>
      </c>
      <c r="R12" s="38"/>
      <c r="S12" s="38"/>
      <c r="T12" s="38"/>
      <c r="U12" s="38"/>
    </row>
    <row r="13" spans="1:21" customFormat="1">
      <c r="A13" s="40" t="s">
        <v>569</v>
      </c>
      <c r="B13" s="41">
        <v>24.59</v>
      </c>
      <c r="C13" s="41">
        <v>14.56</v>
      </c>
      <c r="D13" s="41">
        <v>27.31</v>
      </c>
      <c r="E13" s="41">
        <v>5.81</v>
      </c>
      <c r="F13" s="27" t="s">
        <v>8</v>
      </c>
      <c r="G13" s="41">
        <v>48.48</v>
      </c>
      <c r="H13" s="41">
        <v>16.62</v>
      </c>
      <c r="I13" s="41">
        <v>15.09</v>
      </c>
      <c r="J13" s="41">
        <v>0.15</v>
      </c>
      <c r="K13" s="41">
        <v>213.47</v>
      </c>
      <c r="L13" s="41">
        <v>19.32</v>
      </c>
      <c r="M13" s="41">
        <v>30.59</v>
      </c>
      <c r="N13" s="41">
        <v>1.7</v>
      </c>
      <c r="O13" s="41">
        <v>0</v>
      </c>
      <c r="P13" s="41">
        <v>0.87</v>
      </c>
      <c r="Q13" s="41">
        <v>9.32</v>
      </c>
      <c r="R13" s="38"/>
      <c r="S13" s="38"/>
      <c r="T13" s="38"/>
      <c r="U13" s="38"/>
    </row>
    <row r="14" spans="1:21" customFormat="1">
      <c r="A14" s="40" t="s">
        <v>570</v>
      </c>
      <c r="B14" s="41">
        <v>25.99</v>
      </c>
      <c r="C14" s="41">
        <v>14.8</v>
      </c>
      <c r="D14" s="41">
        <v>28.58</v>
      </c>
      <c r="E14" s="41">
        <v>5.87</v>
      </c>
      <c r="F14" s="27" t="s">
        <v>8</v>
      </c>
      <c r="G14" s="41">
        <v>49.9</v>
      </c>
      <c r="H14" s="41">
        <v>16.62</v>
      </c>
      <c r="I14" s="41">
        <v>15.21</v>
      </c>
      <c r="J14" s="41">
        <v>0.14000000000000001</v>
      </c>
      <c r="K14" s="41">
        <v>237.09</v>
      </c>
      <c r="L14" s="41">
        <v>17.989999999999998</v>
      </c>
      <c r="M14" s="41">
        <v>27.2</v>
      </c>
      <c r="N14" s="41">
        <v>1.7</v>
      </c>
      <c r="O14" s="41">
        <v>0</v>
      </c>
      <c r="P14" s="41">
        <v>0.87</v>
      </c>
      <c r="Q14" s="41">
        <v>9.32</v>
      </c>
      <c r="R14" s="38"/>
      <c r="S14" s="38"/>
      <c r="T14" s="38"/>
      <c r="U14" s="38"/>
    </row>
    <row r="15" spans="1:21" customFormat="1">
      <c r="A15" s="40" t="s">
        <v>571</v>
      </c>
      <c r="B15" s="41">
        <v>26.24</v>
      </c>
      <c r="C15" s="41">
        <v>15.08</v>
      </c>
      <c r="D15" s="41">
        <v>28.86</v>
      </c>
      <c r="E15" s="41">
        <v>5.71</v>
      </c>
      <c r="F15" s="27" t="s">
        <v>8</v>
      </c>
      <c r="G15" s="41">
        <v>50.3</v>
      </c>
      <c r="H15" s="41">
        <v>17.03</v>
      </c>
      <c r="I15" s="41">
        <v>15.03</v>
      </c>
      <c r="J15" s="41">
        <v>0.28999999999999998</v>
      </c>
      <c r="K15" s="41">
        <v>210.27</v>
      </c>
      <c r="L15" s="41">
        <v>18.78</v>
      </c>
      <c r="M15" s="41">
        <v>29.23</v>
      </c>
      <c r="N15" s="41">
        <v>24.9</v>
      </c>
      <c r="O15" s="41">
        <v>0</v>
      </c>
      <c r="P15" s="41">
        <v>0.86</v>
      </c>
      <c r="Q15" s="41">
        <v>9.32</v>
      </c>
      <c r="R15" s="38"/>
      <c r="S15" s="38"/>
      <c r="T15" s="38"/>
      <c r="U15" s="38"/>
    </row>
    <row r="16" spans="1:21" customFormat="1">
      <c r="A16" s="40" t="s">
        <v>572</v>
      </c>
      <c r="B16" s="41">
        <v>26.83</v>
      </c>
      <c r="C16" s="41">
        <v>16.510000000000002</v>
      </c>
      <c r="D16" s="41">
        <v>29.87</v>
      </c>
      <c r="E16" s="41">
        <v>6.01</v>
      </c>
      <c r="F16" s="27" t="s">
        <v>8</v>
      </c>
      <c r="G16" s="41">
        <v>57.15</v>
      </c>
      <c r="H16" s="41">
        <v>19.89</v>
      </c>
      <c r="I16" s="41">
        <v>15.4</v>
      </c>
      <c r="J16" s="41">
        <v>0.6</v>
      </c>
      <c r="K16" s="41">
        <v>60.17</v>
      </c>
      <c r="L16" s="41">
        <v>10.84</v>
      </c>
      <c r="M16" s="41">
        <v>8.73</v>
      </c>
      <c r="N16" s="41">
        <v>129.69999999999999</v>
      </c>
      <c r="O16" s="41">
        <v>0</v>
      </c>
      <c r="P16" s="41">
        <v>0.92</v>
      </c>
      <c r="Q16" s="41">
        <v>9.32</v>
      </c>
      <c r="R16" s="38"/>
      <c r="S16" s="38"/>
      <c r="T16" s="38"/>
      <c r="U16" s="38"/>
    </row>
    <row r="17" spans="1:21" customFormat="1">
      <c r="A17" s="40" t="s">
        <v>573</v>
      </c>
      <c r="B17" s="41">
        <v>25.91</v>
      </c>
      <c r="C17" s="41">
        <v>17.27</v>
      </c>
      <c r="D17" s="41">
        <v>29.6</v>
      </c>
      <c r="E17" s="41">
        <v>5.9</v>
      </c>
      <c r="F17" s="27" t="s">
        <v>8</v>
      </c>
      <c r="G17" s="41">
        <v>64.64</v>
      </c>
      <c r="H17" s="41">
        <v>20.11</v>
      </c>
      <c r="I17" s="41">
        <v>15.92</v>
      </c>
      <c r="J17" s="41">
        <v>0.81</v>
      </c>
      <c r="K17" s="41">
        <v>48.8</v>
      </c>
      <c r="L17" s="41">
        <v>10.5</v>
      </c>
      <c r="M17" s="41">
        <v>1.6</v>
      </c>
      <c r="N17" s="41">
        <v>286.7</v>
      </c>
      <c r="O17" s="41">
        <v>0</v>
      </c>
      <c r="P17" s="41">
        <v>0.92</v>
      </c>
      <c r="Q17" s="41">
        <v>9.32</v>
      </c>
      <c r="R17" s="38"/>
      <c r="S17" s="38"/>
      <c r="T17" s="38"/>
      <c r="U17" s="38"/>
    </row>
    <row r="18" spans="1:21" customFormat="1">
      <c r="A18" s="40" t="s">
        <v>574</v>
      </c>
      <c r="B18" s="41">
        <v>22.65</v>
      </c>
      <c r="C18" s="41">
        <v>17.84</v>
      </c>
      <c r="D18" s="41">
        <v>27.29</v>
      </c>
      <c r="E18" s="41">
        <v>5.85</v>
      </c>
      <c r="F18" s="27" t="s">
        <v>8</v>
      </c>
      <c r="G18" s="41">
        <v>64.64</v>
      </c>
      <c r="H18" s="41">
        <v>20.11</v>
      </c>
      <c r="I18" s="41">
        <v>15.74</v>
      </c>
      <c r="J18" s="41">
        <v>0.71</v>
      </c>
      <c r="K18" s="41">
        <v>111.32</v>
      </c>
      <c r="L18" s="41">
        <v>15.99</v>
      </c>
      <c r="M18" s="41">
        <v>16.309999999999999</v>
      </c>
      <c r="N18" s="41">
        <v>349.4</v>
      </c>
      <c r="O18" s="41">
        <v>0</v>
      </c>
      <c r="P18" s="41">
        <v>0.91</v>
      </c>
      <c r="Q18" s="41">
        <v>9.32</v>
      </c>
      <c r="R18" s="38"/>
      <c r="S18" s="38"/>
      <c r="T18" s="38"/>
      <c r="U18" s="38"/>
    </row>
    <row r="19" spans="1:21" customFormat="1">
      <c r="A19" s="40" t="s">
        <v>575</v>
      </c>
      <c r="B19" s="41">
        <v>16.100000000000001</v>
      </c>
      <c r="C19" s="41">
        <v>18.059999999999999</v>
      </c>
      <c r="D19" s="41">
        <v>22.26</v>
      </c>
      <c r="E19" s="41">
        <v>6.67</v>
      </c>
      <c r="F19" s="27" t="s">
        <v>8</v>
      </c>
      <c r="G19" s="41">
        <v>61.58</v>
      </c>
      <c r="H19" s="41">
        <v>19.86</v>
      </c>
      <c r="I19" s="41">
        <v>15.06</v>
      </c>
      <c r="J19" s="41">
        <v>0.59</v>
      </c>
      <c r="K19" s="41">
        <v>143.41</v>
      </c>
      <c r="L19" s="41">
        <v>19.14</v>
      </c>
      <c r="M19" s="41">
        <v>19.22</v>
      </c>
      <c r="N19" s="41">
        <v>484.8</v>
      </c>
      <c r="O19" s="41">
        <v>0</v>
      </c>
      <c r="P19" s="41">
        <v>0.86</v>
      </c>
      <c r="Q19" s="41">
        <v>9.32</v>
      </c>
      <c r="R19" s="38"/>
      <c r="S19" s="38"/>
      <c r="T19" s="38"/>
      <c r="U19" s="38"/>
    </row>
    <row r="20" spans="1:21" customFormat="1">
      <c r="A20" s="40" t="s">
        <v>576</v>
      </c>
      <c r="B20" s="41">
        <v>10.36</v>
      </c>
      <c r="C20" s="41">
        <v>17.38</v>
      </c>
      <c r="D20" s="41">
        <v>17.39</v>
      </c>
      <c r="E20" s="41">
        <v>7.15</v>
      </c>
      <c r="F20" s="27" t="s">
        <v>8</v>
      </c>
      <c r="G20" s="41">
        <v>51.09</v>
      </c>
      <c r="H20" s="41">
        <v>15.92</v>
      </c>
      <c r="I20" s="41">
        <v>14</v>
      </c>
      <c r="J20" s="41">
        <v>0.59</v>
      </c>
      <c r="K20" s="41">
        <v>77.5</v>
      </c>
      <c r="L20" s="41">
        <v>19.399999999999999</v>
      </c>
      <c r="M20" s="41">
        <v>18.96</v>
      </c>
      <c r="N20" s="41">
        <v>548.70000000000005</v>
      </c>
      <c r="O20" s="41">
        <v>0</v>
      </c>
      <c r="P20" s="41">
        <v>0.83</v>
      </c>
      <c r="Q20" s="41">
        <v>9.32</v>
      </c>
      <c r="R20" s="38"/>
      <c r="S20" s="38"/>
      <c r="T20" s="38"/>
      <c r="U20" s="38"/>
    </row>
    <row r="21" spans="1:21" customFormat="1">
      <c r="A21" s="40" t="s">
        <v>577</v>
      </c>
      <c r="B21" s="41">
        <v>7.06</v>
      </c>
      <c r="C21" s="41">
        <v>15.22</v>
      </c>
      <c r="D21" s="41">
        <v>13.62</v>
      </c>
      <c r="E21" s="41">
        <v>6.75</v>
      </c>
      <c r="F21" s="27" t="s">
        <v>8</v>
      </c>
      <c r="G21" s="41">
        <v>44.96</v>
      </c>
      <c r="H21" s="41">
        <v>14.94</v>
      </c>
      <c r="I21" s="41">
        <v>13.22</v>
      </c>
      <c r="J21" s="41">
        <v>0.44</v>
      </c>
      <c r="K21" s="41">
        <v>279.02</v>
      </c>
      <c r="L21" s="41">
        <v>27.61</v>
      </c>
      <c r="M21" s="41">
        <v>39.79</v>
      </c>
      <c r="N21" s="41">
        <v>539.79999999999995</v>
      </c>
      <c r="O21" s="41">
        <v>0</v>
      </c>
      <c r="P21" s="41">
        <v>0.77</v>
      </c>
      <c r="Q21" s="41">
        <v>9.32</v>
      </c>
      <c r="R21" s="38"/>
      <c r="S21" s="38"/>
      <c r="T21" s="38"/>
      <c r="U21" s="38"/>
    </row>
    <row r="22" spans="1:21" customFormat="1">
      <c r="A22" s="40" t="s">
        <v>578</v>
      </c>
      <c r="B22" s="41">
        <v>4.95</v>
      </c>
      <c r="C22" s="41">
        <v>13.27</v>
      </c>
      <c r="D22" s="41">
        <v>10.9</v>
      </c>
      <c r="E22" s="41">
        <v>7.52</v>
      </c>
      <c r="F22" s="27" t="s">
        <v>8</v>
      </c>
      <c r="G22" s="41">
        <v>31.49</v>
      </c>
      <c r="H22" s="41">
        <v>11.65</v>
      </c>
      <c r="I22" s="41">
        <v>11.91</v>
      </c>
      <c r="J22" s="41">
        <v>0.39</v>
      </c>
      <c r="K22" s="41">
        <v>307.77</v>
      </c>
      <c r="L22" s="41">
        <v>24.03</v>
      </c>
      <c r="M22" s="41">
        <v>38.9</v>
      </c>
      <c r="N22" s="41">
        <v>425.5</v>
      </c>
      <c r="O22" s="41">
        <v>0</v>
      </c>
      <c r="P22" s="41">
        <v>0.7</v>
      </c>
      <c r="Q22" s="41">
        <v>9.32</v>
      </c>
      <c r="R22" s="38"/>
      <c r="S22" s="38"/>
      <c r="T22" s="38"/>
      <c r="U22" s="38"/>
    </row>
    <row r="23" spans="1:21" customFormat="1">
      <c r="A23" s="40" t="s">
        <v>579</v>
      </c>
      <c r="B23" s="41">
        <v>3.93</v>
      </c>
      <c r="C23" s="41">
        <v>13.58</v>
      </c>
      <c r="D23" s="41">
        <v>10.23</v>
      </c>
      <c r="E23" s="41">
        <v>8.8699999999999992</v>
      </c>
      <c r="F23" s="27" t="s">
        <v>8</v>
      </c>
      <c r="G23" s="41">
        <v>28.49</v>
      </c>
      <c r="H23" s="41">
        <v>10.51</v>
      </c>
      <c r="I23" s="41">
        <v>11.3</v>
      </c>
      <c r="J23" s="41">
        <v>0.53</v>
      </c>
      <c r="K23" s="41">
        <v>355.01</v>
      </c>
      <c r="L23" s="41">
        <v>25.05</v>
      </c>
      <c r="M23" s="41">
        <v>42.21</v>
      </c>
      <c r="N23" s="41">
        <v>104.2</v>
      </c>
      <c r="O23" s="41">
        <v>0</v>
      </c>
      <c r="P23" s="41">
        <v>0.53</v>
      </c>
      <c r="Q23" s="41">
        <v>9.32</v>
      </c>
      <c r="R23" s="38"/>
      <c r="S23" s="38"/>
      <c r="T23" s="38"/>
      <c r="U23" s="38"/>
    </row>
    <row r="24" spans="1:21" customFormat="1">
      <c r="A24" s="40" t="s">
        <v>580</v>
      </c>
      <c r="B24" s="41">
        <v>3.83</v>
      </c>
      <c r="C24" s="41">
        <v>13.06</v>
      </c>
      <c r="D24" s="41">
        <v>9.89</v>
      </c>
      <c r="E24" s="41">
        <v>8.3000000000000007</v>
      </c>
      <c r="F24" s="27" t="s">
        <v>8</v>
      </c>
      <c r="G24" s="41">
        <v>26.5</v>
      </c>
      <c r="H24" s="41">
        <v>10.19</v>
      </c>
      <c r="I24" s="41">
        <v>10.6</v>
      </c>
      <c r="J24" s="41">
        <v>0.27</v>
      </c>
      <c r="K24" s="41">
        <v>179.97</v>
      </c>
      <c r="L24" s="41">
        <v>17.79</v>
      </c>
      <c r="M24" s="41">
        <v>24.96</v>
      </c>
      <c r="N24" s="41">
        <v>70.8</v>
      </c>
      <c r="O24" s="41">
        <v>0</v>
      </c>
      <c r="P24" s="41">
        <v>0.51</v>
      </c>
      <c r="Q24" s="41">
        <v>9.32</v>
      </c>
      <c r="R24" s="38"/>
      <c r="S24" s="38"/>
      <c r="T24" s="38"/>
      <c r="U24" s="38"/>
    </row>
    <row r="25" spans="1:21" customFormat="1">
      <c r="A25" s="40" t="s">
        <v>581</v>
      </c>
      <c r="B25" s="41">
        <v>3.45</v>
      </c>
      <c r="C25" s="41">
        <v>11.67</v>
      </c>
      <c r="D25" s="41">
        <v>8.86</v>
      </c>
      <c r="E25" s="41">
        <v>7.37</v>
      </c>
      <c r="F25" s="27" t="s">
        <v>8</v>
      </c>
      <c r="G25" s="41">
        <v>27.3</v>
      </c>
      <c r="H25" s="41">
        <v>10.19</v>
      </c>
      <c r="I25" s="41">
        <v>10.220000000000001</v>
      </c>
      <c r="J25" s="41">
        <v>0.3</v>
      </c>
      <c r="K25" s="41">
        <v>185</v>
      </c>
      <c r="L25" s="41">
        <v>17.66</v>
      </c>
      <c r="M25" s="41">
        <v>25.52</v>
      </c>
      <c r="N25" s="41">
        <v>41</v>
      </c>
      <c r="O25" s="41">
        <v>0</v>
      </c>
      <c r="P25" s="41">
        <v>0.48</v>
      </c>
      <c r="Q25" s="41">
        <v>9.32</v>
      </c>
      <c r="R25" s="38"/>
      <c r="S25" s="38"/>
      <c r="T25" s="38"/>
      <c r="U25" s="38"/>
    </row>
    <row r="26" spans="1:21" customFormat="1">
      <c r="A26" s="40" t="s">
        <v>582</v>
      </c>
      <c r="B26" s="41">
        <v>4.04</v>
      </c>
      <c r="C26" s="41">
        <v>13.05</v>
      </c>
      <c r="D26" s="41">
        <v>10.06</v>
      </c>
      <c r="E26" s="41">
        <v>6.91</v>
      </c>
      <c r="F26" s="27" t="s">
        <v>8</v>
      </c>
      <c r="G26" s="41">
        <v>31.95</v>
      </c>
      <c r="H26" s="41">
        <v>10.49</v>
      </c>
      <c r="I26" s="41">
        <v>9.94</v>
      </c>
      <c r="J26" s="41">
        <v>0.21</v>
      </c>
      <c r="K26" s="41">
        <v>160.84</v>
      </c>
      <c r="L26" s="41">
        <v>16.47</v>
      </c>
      <c r="M26" s="41">
        <v>23.37</v>
      </c>
      <c r="N26" s="41">
        <v>6.5</v>
      </c>
      <c r="O26" s="41">
        <v>0</v>
      </c>
      <c r="P26" s="41">
        <v>0.5</v>
      </c>
      <c r="Q26" s="41">
        <v>9.32</v>
      </c>
      <c r="R26" s="38"/>
      <c r="S26" s="38"/>
      <c r="T26" s="38"/>
      <c r="U26" s="38"/>
    </row>
    <row r="27" spans="1:21" customFormat="1">
      <c r="A27" s="40" t="s">
        <v>583</v>
      </c>
      <c r="B27" s="41">
        <v>5.57</v>
      </c>
      <c r="C27" s="41">
        <v>16</v>
      </c>
      <c r="D27" s="41">
        <v>12.82</v>
      </c>
      <c r="E27" s="41">
        <v>6.89</v>
      </c>
      <c r="F27" s="27" t="s">
        <v>8</v>
      </c>
      <c r="G27" s="41">
        <v>43.36</v>
      </c>
      <c r="H27" s="41">
        <v>12.3</v>
      </c>
      <c r="I27" s="41">
        <v>10.73</v>
      </c>
      <c r="J27" s="41">
        <v>0.28999999999999998</v>
      </c>
      <c r="K27" s="41">
        <v>175.53</v>
      </c>
      <c r="L27" s="41">
        <v>16.53</v>
      </c>
      <c r="M27" s="41">
        <v>23.73</v>
      </c>
      <c r="N27" s="41">
        <v>1.9</v>
      </c>
      <c r="O27" s="41">
        <v>0</v>
      </c>
      <c r="P27" s="41">
        <v>0.59</v>
      </c>
      <c r="Q27" s="41">
        <v>9.32</v>
      </c>
      <c r="R27" s="38"/>
      <c r="S27" s="38"/>
      <c r="T27" s="38"/>
      <c r="U27" s="38"/>
    </row>
    <row r="28" spans="1:21" customFormat="1">
      <c r="A28" s="40" t="s">
        <v>584</v>
      </c>
      <c r="B28" s="41">
        <v>6.42</v>
      </c>
      <c r="C28" s="41">
        <v>16.16</v>
      </c>
      <c r="D28" s="41">
        <v>13.55</v>
      </c>
      <c r="E28" s="41">
        <v>6.91</v>
      </c>
      <c r="F28" s="27" t="s">
        <v>8</v>
      </c>
      <c r="G28" s="41">
        <v>52.32</v>
      </c>
      <c r="H28" s="41">
        <v>13.79</v>
      </c>
      <c r="I28" s="41">
        <v>12.55</v>
      </c>
      <c r="J28" s="41">
        <v>0.34</v>
      </c>
      <c r="K28" s="41">
        <v>229.24</v>
      </c>
      <c r="L28" s="41">
        <v>20.23</v>
      </c>
      <c r="M28" s="41">
        <v>32.9</v>
      </c>
      <c r="N28" s="41">
        <v>2</v>
      </c>
      <c r="O28" s="41">
        <v>0</v>
      </c>
      <c r="P28" s="41">
        <v>0.69</v>
      </c>
      <c r="Q28" s="41">
        <v>9.32</v>
      </c>
      <c r="R28" s="38"/>
      <c r="S28" s="38"/>
      <c r="T28" s="38"/>
      <c r="U28" s="38"/>
    </row>
    <row r="29" spans="1:21" customFormat="1">
      <c r="A29" s="40" t="s">
        <v>585</v>
      </c>
      <c r="B29" s="41">
        <v>8.24</v>
      </c>
      <c r="C29" s="41">
        <v>16</v>
      </c>
      <c r="D29" s="41">
        <v>14.64</v>
      </c>
      <c r="E29" s="41">
        <v>6.96</v>
      </c>
      <c r="F29" s="27" t="s">
        <v>8</v>
      </c>
      <c r="G29" s="41">
        <v>54.55</v>
      </c>
      <c r="H29" s="41">
        <v>14.67</v>
      </c>
      <c r="I29" s="41">
        <v>13.78</v>
      </c>
      <c r="J29" s="41">
        <v>0.24</v>
      </c>
      <c r="K29" s="41">
        <v>195.32</v>
      </c>
      <c r="L29" s="41">
        <v>17.72</v>
      </c>
      <c r="M29" s="41">
        <v>26.74</v>
      </c>
      <c r="N29" s="41">
        <v>2</v>
      </c>
      <c r="O29" s="41">
        <v>0</v>
      </c>
      <c r="P29" s="41">
        <v>0.78</v>
      </c>
      <c r="Q29" s="41">
        <v>9.32</v>
      </c>
      <c r="R29" s="38"/>
      <c r="S29" s="38"/>
      <c r="T29" s="38"/>
      <c r="U29" s="38"/>
    </row>
    <row r="30" spans="1:21" customFormat="1">
      <c r="A30" s="40" t="s">
        <v>586</v>
      </c>
      <c r="B30" s="41">
        <v>9.39</v>
      </c>
      <c r="C30" s="41">
        <v>14.76</v>
      </c>
      <c r="D30" s="41">
        <v>14.76</v>
      </c>
      <c r="E30" s="41">
        <v>6.89</v>
      </c>
      <c r="F30" s="27" t="s">
        <v>8</v>
      </c>
      <c r="G30" s="41">
        <v>54.55</v>
      </c>
      <c r="H30" s="41">
        <v>14.67</v>
      </c>
      <c r="I30" s="41">
        <v>14.52</v>
      </c>
      <c r="J30" s="41">
        <v>0.21</v>
      </c>
      <c r="K30" s="41">
        <v>203.3</v>
      </c>
      <c r="L30" s="41">
        <v>18.34</v>
      </c>
      <c r="M30" s="41">
        <v>28.09</v>
      </c>
      <c r="N30" s="41">
        <v>1.7</v>
      </c>
      <c r="O30" s="41">
        <v>0</v>
      </c>
      <c r="P30" s="41">
        <v>0.83</v>
      </c>
      <c r="Q30" s="41">
        <v>9.32</v>
      </c>
      <c r="R30" s="38"/>
      <c r="S30" s="38"/>
      <c r="T30" s="38"/>
      <c r="U30" s="38"/>
    </row>
    <row r="31" spans="1:21" customFormat="1">
      <c r="A31" s="40" t="s">
        <v>587</v>
      </c>
      <c r="B31" s="41">
        <v>10.88</v>
      </c>
      <c r="C31" s="41">
        <v>13.91</v>
      </c>
      <c r="D31" s="41">
        <v>15.85</v>
      </c>
      <c r="E31" s="41">
        <v>6.78</v>
      </c>
      <c r="F31" s="27" t="s">
        <v>8</v>
      </c>
      <c r="G31" s="41">
        <v>53.79</v>
      </c>
      <c r="H31" s="41">
        <v>15.15</v>
      </c>
      <c r="I31" s="41">
        <v>14.89</v>
      </c>
      <c r="J31" s="41">
        <v>0.23</v>
      </c>
      <c r="K31" s="41">
        <v>194.35</v>
      </c>
      <c r="L31" s="41">
        <v>17.57</v>
      </c>
      <c r="M31" s="41">
        <v>26.19</v>
      </c>
      <c r="N31" s="41">
        <v>1.8</v>
      </c>
      <c r="O31" s="41">
        <v>0</v>
      </c>
      <c r="P31" s="41">
        <v>0.84</v>
      </c>
      <c r="Q31" s="41">
        <v>9.33</v>
      </c>
      <c r="R31" s="38"/>
      <c r="S31" s="38"/>
      <c r="T31" s="38"/>
      <c r="U31" s="38"/>
    </row>
    <row r="32" spans="1:21" customFormat="1">
      <c r="A32" s="40" t="s">
        <v>588</v>
      </c>
      <c r="B32" s="41">
        <v>11.28</v>
      </c>
      <c r="C32" s="41">
        <v>13.49</v>
      </c>
      <c r="D32" s="41">
        <v>15.94</v>
      </c>
      <c r="E32" s="41">
        <v>6.79</v>
      </c>
      <c r="F32" s="27" t="s">
        <v>8</v>
      </c>
      <c r="G32" s="41">
        <v>48.51</v>
      </c>
      <c r="H32" s="41">
        <v>15.97</v>
      </c>
      <c r="I32" s="41">
        <v>14.89</v>
      </c>
      <c r="J32" s="41">
        <v>0.2</v>
      </c>
      <c r="K32" s="41">
        <v>240.3</v>
      </c>
      <c r="L32" s="41">
        <v>20.03</v>
      </c>
      <c r="M32" s="41">
        <v>32.31</v>
      </c>
      <c r="N32" s="41">
        <v>1.7</v>
      </c>
      <c r="O32" s="41">
        <v>0</v>
      </c>
      <c r="P32" s="41">
        <v>0.86</v>
      </c>
      <c r="Q32" s="41">
        <v>9.33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3.45</v>
      </c>
      <c r="C34" s="18">
        <f t="shared" si="0"/>
        <v>11.67</v>
      </c>
      <c r="D34" s="18">
        <f t="shared" si="0"/>
        <v>8.86</v>
      </c>
      <c r="E34" s="18">
        <f t="shared" si="0"/>
        <v>5.65</v>
      </c>
      <c r="F34" s="18">
        <f t="shared" si="0"/>
        <v>0</v>
      </c>
      <c r="G34" s="18">
        <f t="shared" si="0"/>
        <v>26.5</v>
      </c>
      <c r="H34" s="18">
        <f t="shared" si="0"/>
        <v>10.19</v>
      </c>
      <c r="I34" s="18">
        <f t="shared" si="0"/>
        <v>9.94</v>
      </c>
      <c r="J34" s="18">
        <f t="shared" si="0"/>
        <v>0.14000000000000001</v>
      </c>
      <c r="K34" s="18">
        <f t="shared" si="0"/>
        <v>48.8</v>
      </c>
      <c r="L34" s="18">
        <f t="shared" si="0"/>
        <v>10.5</v>
      </c>
      <c r="M34" s="18">
        <f t="shared" si="0"/>
        <v>1.6</v>
      </c>
      <c r="N34" s="18">
        <f t="shared" si="0"/>
        <v>1.5</v>
      </c>
      <c r="O34" s="18">
        <f t="shared" si="0"/>
        <v>0</v>
      </c>
      <c r="P34" s="18">
        <f t="shared" si="0"/>
        <v>0.48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26.83</v>
      </c>
      <c r="C35" s="3">
        <f t="shared" si="1"/>
        <v>18.059999999999999</v>
      </c>
      <c r="D35" s="3">
        <f t="shared" si="1"/>
        <v>29.87</v>
      </c>
      <c r="E35" s="3">
        <f t="shared" si="1"/>
        <v>8.8699999999999992</v>
      </c>
      <c r="F35" s="3">
        <f t="shared" si="1"/>
        <v>0</v>
      </c>
      <c r="G35" s="3">
        <f t="shared" si="1"/>
        <v>64.64</v>
      </c>
      <c r="H35" s="3">
        <f t="shared" si="1"/>
        <v>20.11</v>
      </c>
      <c r="I35" s="3">
        <f t="shared" si="1"/>
        <v>15.92</v>
      </c>
      <c r="J35" s="3">
        <f t="shared" si="1"/>
        <v>0.81</v>
      </c>
      <c r="K35" s="3">
        <f t="shared" si="1"/>
        <v>355.01</v>
      </c>
      <c r="L35" s="3">
        <f t="shared" si="1"/>
        <v>27.61</v>
      </c>
      <c r="M35" s="3">
        <f t="shared" si="1"/>
        <v>42.21</v>
      </c>
      <c r="N35" s="3">
        <f t="shared" si="1"/>
        <v>548.70000000000005</v>
      </c>
      <c r="O35" s="3">
        <f t="shared" si="1"/>
        <v>0</v>
      </c>
      <c r="P35" s="3">
        <f t="shared" si="1"/>
        <v>0.92</v>
      </c>
      <c r="Q35" s="3">
        <f t="shared" si="1"/>
        <v>9.33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13.587916666666665</v>
      </c>
      <c r="C36" s="18">
        <f t="shared" si="2"/>
        <v>14.847083333333336</v>
      </c>
      <c r="D36" s="18">
        <f t="shared" si="2"/>
        <v>18.569166666666664</v>
      </c>
      <c r="E36" s="18">
        <f t="shared" si="2"/>
        <v>6.6466666666666656</v>
      </c>
      <c r="F36" s="18" t="e">
        <f t="shared" si="2"/>
        <v>#DIV/0!</v>
      </c>
      <c r="G36" s="18">
        <f t="shared" si="2"/>
        <v>46.647083333333335</v>
      </c>
      <c r="H36" s="18">
        <f t="shared" si="2"/>
        <v>14.875833333333338</v>
      </c>
      <c r="I36" s="18">
        <f t="shared" si="2"/>
        <v>13.522083333333329</v>
      </c>
      <c r="J36" s="18">
        <f t="shared" si="2"/>
        <v>0.34916666666666668</v>
      </c>
      <c r="K36" s="18">
        <f t="shared" si="2"/>
        <v>193.24041666666668</v>
      </c>
      <c r="L36" s="18">
        <f t="shared" si="2"/>
        <v>18.5425</v>
      </c>
      <c r="M36" s="18">
        <f t="shared" si="2"/>
        <v>26.283749999999998</v>
      </c>
      <c r="N36" s="18">
        <f t="shared" si="2"/>
        <v>126.37499999999999</v>
      </c>
      <c r="O36" s="18">
        <f t="shared" si="2"/>
        <v>0</v>
      </c>
      <c r="P36" s="18">
        <f t="shared" si="2"/>
        <v>0.76916666666666644</v>
      </c>
      <c r="Q36" s="18">
        <f t="shared" si="2"/>
        <v>9.3208333333333311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8.4423924999486051</v>
      </c>
      <c r="C37" s="18">
        <f t="shared" ref="C37:Q37" si="3">STDEV(C9:C32)</f>
        <v>1.727218118112523</v>
      </c>
      <c r="D37" s="18">
        <f t="shared" si="3"/>
        <v>7.1630263926254942</v>
      </c>
      <c r="E37" s="18">
        <f t="shared" si="3"/>
        <v>0.827030658527801</v>
      </c>
      <c r="F37" s="18" t="e">
        <f t="shared" si="3"/>
        <v>#DIV/0!</v>
      </c>
      <c r="G37" s="18">
        <f t="shared" si="3"/>
        <v>11.151264104270343</v>
      </c>
      <c r="H37" s="18">
        <f t="shared" si="3"/>
        <v>3.1052114913153552</v>
      </c>
      <c r="I37" s="18">
        <f t="shared" si="3"/>
        <v>1.8559539423789688</v>
      </c>
      <c r="J37" s="18">
        <f t="shared" si="3"/>
        <v>0.18945956702217981</v>
      </c>
      <c r="K37" s="18">
        <f t="shared" si="3"/>
        <v>72.495485405414499</v>
      </c>
      <c r="L37" s="18">
        <f t="shared" si="3"/>
        <v>3.724361923756939</v>
      </c>
      <c r="M37" s="18">
        <f t="shared" si="3"/>
        <v>9.2375221656496951</v>
      </c>
      <c r="N37" s="18">
        <f t="shared" si="3"/>
        <v>193.88382054613325</v>
      </c>
      <c r="O37" s="18">
        <f t="shared" si="3"/>
        <v>0</v>
      </c>
      <c r="P37" s="18">
        <f t="shared" si="3"/>
        <v>0.14233813588612407</v>
      </c>
      <c r="Q37" s="18">
        <f t="shared" si="3"/>
        <v>2.8232985128663394E-3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>COUNT(F9:F32)+24</f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F39" sqref="F3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23/11/2025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589</v>
      </c>
      <c r="B9" s="41">
        <v>11.98</v>
      </c>
      <c r="C9" s="41">
        <v>12.99</v>
      </c>
      <c r="D9" s="41">
        <v>16.37</v>
      </c>
      <c r="E9" s="41">
        <v>6.87</v>
      </c>
      <c r="F9" s="27" t="s">
        <v>8</v>
      </c>
      <c r="G9" s="41">
        <v>50.53</v>
      </c>
      <c r="H9" s="41">
        <v>16.14</v>
      </c>
      <c r="I9" s="41">
        <v>16.079999999999998</v>
      </c>
      <c r="J9" s="41">
        <v>0.22</v>
      </c>
      <c r="K9" s="41">
        <v>161.38</v>
      </c>
      <c r="L9" s="41">
        <v>15.24</v>
      </c>
      <c r="M9" s="41">
        <v>20.399999999999999</v>
      </c>
      <c r="N9" s="41">
        <v>1.6</v>
      </c>
      <c r="O9" s="41">
        <v>0</v>
      </c>
      <c r="P9" s="41">
        <v>0.91</v>
      </c>
      <c r="Q9" s="41">
        <v>9.32</v>
      </c>
      <c r="R9" s="38"/>
      <c r="S9" s="38"/>
      <c r="T9" s="38"/>
      <c r="U9" s="38"/>
    </row>
    <row r="10" spans="1:21" customFormat="1">
      <c r="A10" s="40" t="s">
        <v>590</v>
      </c>
      <c r="B10" s="41">
        <v>15.69</v>
      </c>
      <c r="C10" s="41">
        <v>14.04</v>
      </c>
      <c r="D10" s="41">
        <v>19.920000000000002</v>
      </c>
      <c r="E10" s="41">
        <v>7.05</v>
      </c>
      <c r="F10" s="27" t="s">
        <v>8</v>
      </c>
      <c r="G10" s="41">
        <v>51.88</v>
      </c>
      <c r="H10" s="41">
        <v>16.96</v>
      </c>
      <c r="I10" s="41">
        <v>16.86</v>
      </c>
      <c r="J10" s="41">
        <v>0.18</v>
      </c>
      <c r="K10" s="41">
        <v>260.39</v>
      </c>
      <c r="L10" s="41">
        <v>20.059999999999999</v>
      </c>
      <c r="M10" s="41">
        <v>32.44</v>
      </c>
      <c r="N10" s="41">
        <v>1.7</v>
      </c>
      <c r="O10" s="41">
        <v>0</v>
      </c>
      <c r="P10" s="41">
        <v>0.95</v>
      </c>
      <c r="Q10" s="41">
        <v>9.32</v>
      </c>
      <c r="R10" s="38"/>
      <c r="S10" s="38"/>
      <c r="T10" s="38"/>
      <c r="U10" s="38"/>
    </row>
    <row r="11" spans="1:21" customFormat="1">
      <c r="A11" s="40" t="s">
        <v>591</v>
      </c>
      <c r="B11" s="41">
        <v>16.91</v>
      </c>
      <c r="C11" s="41">
        <v>14.68</v>
      </c>
      <c r="D11" s="41">
        <v>21.23</v>
      </c>
      <c r="E11" s="41">
        <v>5.68</v>
      </c>
      <c r="F11" s="27" t="s">
        <v>8</v>
      </c>
      <c r="G11" s="41">
        <v>55.78</v>
      </c>
      <c r="H11" s="41">
        <v>17.68</v>
      </c>
      <c r="I11" s="41">
        <v>17.579999999999998</v>
      </c>
      <c r="J11" s="41">
        <v>0.21</v>
      </c>
      <c r="K11" s="41">
        <v>228.09</v>
      </c>
      <c r="L11" s="41">
        <v>17.16</v>
      </c>
      <c r="M11" s="41">
        <v>25.9</v>
      </c>
      <c r="N11" s="41">
        <v>1.9</v>
      </c>
      <c r="O11" s="41">
        <v>0</v>
      </c>
      <c r="P11" s="41">
        <v>0.98</v>
      </c>
      <c r="Q11" s="41">
        <v>9.32</v>
      </c>
      <c r="R11" s="38"/>
      <c r="S11" s="38"/>
      <c r="T11" s="38"/>
      <c r="U11" s="38"/>
    </row>
    <row r="12" spans="1:21" customFormat="1">
      <c r="A12" s="40" t="s">
        <v>592</v>
      </c>
      <c r="B12" s="41">
        <v>15.73</v>
      </c>
      <c r="C12" s="41">
        <v>14.15</v>
      </c>
      <c r="D12" s="41">
        <v>20.010000000000002</v>
      </c>
      <c r="E12" s="41">
        <v>5.73</v>
      </c>
      <c r="F12" s="27" t="s">
        <v>8</v>
      </c>
      <c r="G12" s="41">
        <v>55.78</v>
      </c>
      <c r="H12" s="41">
        <v>17.68</v>
      </c>
      <c r="I12" s="41">
        <v>17.57</v>
      </c>
      <c r="J12" s="41">
        <v>0.22</v>
      </c>
      <c r="K12" s="41">
        <v>197.44</v>
      </c>
      <c r="L12" s="41">
        <v>17.899999999999999</v>
      </c>
      <c r="M12" s="41">
        <v>27.18</v>
      </c>
      <c r="N12" s="41">
        <v>1.7</v>
      </c>
      <c r="O12" s="41">
        <v>0</v>
      </c>
      <c r="P12" s="41">
        <v>0.97</v>
      </c>
      <c r="Q12" s="41">
        <v>9.32</v>
      </c>
      <c r="R12" s="38"/>
      <c r="S12" s="38"/>
      <c r="T12" s="38"/>
      <c r="U12" s="38"/>
    </row>
    <row r="13" spans="1:21" customFormat="1">
      <c r="A13" s="40" t="s">
        <v>593</v>
      </c>
      <c r="B13" s="41">
        <v>13.8</v>
      </c>
      <c r="C13" s="41">
        <v>13.39</v>
      </c>
      <c r="D13" s="41">
        <v>18.059999999999999</v>
      </c>
      <c r="E13" s="41">
        <v>5.63</v>
      </c>
      <c r="F13" s="27" t="s">
        <v>8</v>
      </c>
      <c r="G13" s="41">
        <v>48.9</v>
      </c>
      <c r="H13" s="41">
        <v>16.850000000000001</v>
      </c>
      <c r="I13" s="41">
        <v>17.12</v>
      </c>
      <c r="J13" s="41">
        <v>0.19</v>
      </c>
      <c r="K13" s="41">
        <v>233.03</v>
      </c>
      <c r="L13" s="41">
        <v>20.29</v>
      </c>
      <c r="M13" s="41">
        <v>33.15</v>
      </c>
      <c r="N13" s="41">
        <v>1.7</v>
      </c>
      <c r="O13" s="41">
        <v>0</v>
      </c>
      <c r="P13" s="41">
        <v>0.92</v>
      </c>
      <c r="Q13" s="41">
        <v>9.32</v>
      </c>
      <c r="R13" s="38"/>
      <c r="S13" s="38"/>
      <c r="T13" s="38"/>
      <c r="U13" s="38"/>
    </row>
    <row r="14" spans="1:21" customFormat="1">
      <c r="A14" s="40" t="s">
        <v>594</v>
      </c>
      <c r="B14" s="41">
        <v>13.12</v>
      </c>
      <c r="C14" s="41">
        <v>12.45</v>
      </c>
      <c r="D14" s="41">
        <v>17.02</v>
      </c>
      <c r="E14" s="41">
        <v>5.37</v>
      </c>
      <c r="F14" s="27" t="s">
        <v>8</v>
      </c>
      <c r="G14" s="41">
        <v>46.92</v>
      </c>
      <c r="H14" s="41">
        <v>16.73</v>
      </c>
      <c r="I14" s="41">
        <v>16.66</v>
      </c>
      <c r="J14" s="41">
        <v>0.18</v>
      </c>
      <c r="K14" s="41">
        <v>201.2</v>
      </c>
      <c r="L14" s="41">
        <v>18.91</v>
      </c>
      <c r="M14" s="41">
        <v>29.73</v>
      </c>
      <c r="N14" s="41">
        <v>1.7</v>
      </c>
      <c r="O14" s="41">
        <v>0</v>
      </c>
      <c r="P14" s="41">
        <v>0.88</v>
      </c>
      <c r="Q14" s="41">
        <v>9.32</v>
      </c>
      <c r="R14" s="38"/>
      <c r="S14" s="38"/>
      <c r="T14" s="38"/>
      <c r="U14" s="38"/>
    </row>
    <row r="15" spans="1:21" customFormat="1">
      <c r="A15" s="40" t="s">
        <v>595</v>
      </c>
      <c r="B15" s="41">
        <v>20.440000000000001</v>
      </c>
      <c r="C15" s="41">
        <v>13.74</v>
      </c>
      <c r="D15" s="41">
        <v>23.57</v>
      </c>
      <c r="E15" s="41">
        <v>5.57</v>
      </c>
      <c r="F15" s="27" t="s">
        <v>8</v>
      </c>
      <c r="G15" s="41">
        <v>45.29</v>
      </c>
      <c r="H15" s="41">
        <v>16.2</v>
      </c>
      <c r="I15" s="41">
        <v>16.34</v>
      </c>
      <c r="J15" s="41">
        <v>0.52</v>
      </c>
      <c r="K15" s="41">
        <v>165.32</v>
      </c>
      <c r="L15" s="41">
        <v>15.36</v>
      </c>
      <c r="M15" s="41">
        <v>20.75</v>
      </c>
      <c r="N15" s="41">
        <v>24.6</v>
      </c>
      <c r="O15" s="41">
        <v>0</v>
      </c>
      <c r="P15" s="41">
        <v>0.9</v>
      </c>
      <c r="Q15" s="41">
        <v>9.32</v>
      </c>
      <c r="R15" s="38"/>
      <c r="S15" s="38"/>
      <c r="T15" s="38"/>
      <c r="U15" s="38"/>
    </row>
    <row r="16" spans="1:21" customFormat="1">
      <c r="A16" s="40" t="s">
        <v>596</v>
      </c>
      <c r="B16" s="41">
        <v>23.28</v>
      </c>
      <c r="C16" s="41">
        <v>15.69</v>
      </c>
      <c r="D16" s="41">
        <v>26.87</v>
      </c>
      <c r="E16" s="41">
        <v>5.61</v>
      </c>
      <c r="F16" s="27" t="s">
        <v>8</v>
      </c>
      <c r="G16" s="41">
        <v>88.63</v>
      </c>
      <c r="H16" s="41">
        <v>19.36</v>
      </c>
      <c r="I16" s="41">
        <v>17.23</v>
      </c>
      <c r="J16" s="41">
        <v>0.34</v>
      </c>
      <c r="K16" s="41">
        <v>71.760000000000005</v>
      </c>
      <c r="L16" s="41">
        <v>13.81</v>
      </c>
      <c r="M16" s="41">
        <v>15.82</v>
      </c>
      <c r="N16" s="41">
        <v>120.8</v>
      </c>
      <c r="O16" s="41">
        <v>0</v>
      </c>
      <c r="P16" s="41">
        <v>0.97</v>
      </c>
      <c r="Q16" s="41">
        <v>9.32</v>
      </c>
      <c r="R16" s="38"/>
      <c r="S16" s="38"/>
      <c r="T16" s="38"/>
      <c r="U16" s="38"/>
    </row>
    <row r="17" spans="1:21" customFormat="1">
      <c r="A17" s="40" t="s">
        <v>597</v>
      </c>
      <c r="B17" s="41">
        <v>22.94</v>
      </c>
      <c r="C17" s="41">
        <v>16.100000000000001</v>
      </c>
      <c r="D17" s="41">
        <v>26.8</v>
      </c>
      <c r="E17" s="41">
        <v>5.93</v>
      </c>
      <c r="F17" s="27" t="s">
        <v>8</v>
      </c>
      <c r="G17" s="41">
        <v>88.63</v>
      </c>
      <c r="H17" s="41">
        <v>20.38</v>
      </c>
      <c r="I17" s="41">
        <v>17.559999999999999</v>
      </c>
      <c r="J17" s="41">
        <v>0.27</v>
      </c>
      <c r="K17" s="41">
        <v>171.09</v>
      </c>
      <c r="L17" s="41">
        <v>18.329999999999998</v>
      </c>
      <c r="M17" s="41">
        <v>23.54</v>
      </c>
      <c r="N17" s="41">
        <v>271.60000000000002</v>
      </c>
      <c r="O17" s="41">
        <v>0</v>
      </c>
      <c r="P17" s="41">
        <v>0.96</v>
      </c>
      <c r="Q17" s="41">
        <v>9.32</v>
      </c>
      <c r="R17" s="38"/>
      <c r="S17" s="38"/>
      <c r="T17" s="38"/>
      <c r="U17" s="38"/>
    </row>
    <row r="18" spans="1:21" customFormat="1">
      <c r="A18" s="40" t="s">
        <v>598</v>
      </c>
      <c r="B18" s="41">
        <v>20.11</v>
      </c>
      <c r="C18" s="41">
        <v>16.239999999999998</v>
      </c>
      <c r="D18" s="41">
        <v>24.35</v>
      </c>
      <c r="E18" s="41">
        <v>6.09</v>
      </c>
      <c r="F18" s="27" t="s">
        <v>8</v>
      </c>
      <c r="G18" s="41">
        <v>66</v>
      </c>
      <c r="H18" s="41">
        <v>20.38</v>
      </c>
      <c r="I18" s="41">
        <v>17.22</v>
      </c>
      <c r="J18" s="41">
        <v>0.53</v>
      </c>
      <c r="K18" s="41">
        <v>61.53</v>
      </c>
      <c r="L18" s="41">
        <v>13.12</v>
      </c>
      <c r="M18" s="41">
        <v>8.4</v>
      </c>
      <c r="N18" s="41">
        <v>333.9</v>
      </c>
      <c r="O18" s="41">
        <v>0</v>
      </c>
      <c r="P18" s="41">
        <v>0.94</v>
      </c>
      <c r="Q18" s="41">
        <v>9.32</v>
      </c>
      <c r="R18" s="38"/>
      <c r="S18" s="38"/>
      <c r="T18" s="38"/>
      <c r="U18" s="38"/>
    </row>
    <row r="19" spans="1:21" customFormat="1">
      <c r="A19" s="40" t="s">
        <v>599</v>
      </c>
      <c r="B19" s="41">
        <v>17.72</v>
      </c>
      <c r="C19" s="41">
        <v>16.78</v>
      </c>
      <c r="D19" s="41">
        <v>22.77</v>
      </c>
      <c r="E19" s="41">
        <v>6.7</v>
      </c>
      <c r="F19" s="27" t="s">
        <v>8</v>
      </c>
      <c r="G19" s="41">
        <v>59.29</v>
      </c>
      <c r="H19" s="41">
        <v>18.850000000000001</v>
      </c>
      <c r="I19" s="41">
        <v>17.190000000000001</v>
      </c>
      <c r="J19" s="41">
        <v>0.76</v>
      </c>
      <c r="K19" s="41">
        <v>60.45</v>
      </c>
      <c r="L19" s="41">
        <v>15.32</v>
      </c>
      <c r="M19" s="41">
        <v>9.4499999999999993</v>
      </c>
      <c r="N19" s="41">
        <v>467.1</v>
      </c>
      <c r="O19" s="41">
        <v>0</v>
      </c>
      <c r="P19" s="41">
        <v>0.93</v>
      </c>
      <c r="Q19" s="41">
        <v>9.32</v>
      </c>
      <c r="R19" s="38"/>
      <c r="S19" s="38"/>
      <c r="T19" s="38"/>
      <c r="U19" s="38"/>
    </row>
    <row r="20" spans="1:21" customFormat="1">
      <c r="A20" s="40" t="s">
        <v>600</v>
      </c>
      <c r="B20" s="41">
        <v>13.5</v>
      </c>
      <c r="C20" s="41">
        <v>17.11</v>
      </c>
      <c r="D20" s="41">
        <v>19.559999999999999</v>
      </c>
      <c r="E20" s="41">
        <v>6.75</v>
      </c>
      <c r="F20" s="27" t="s">
        <v>8</v>
      </c>
      <c r="G20" s="41">
        <v>44.31</v>
      </c>
      <c r="H20" s="41">
        <v>18.2</v>
      </c>
      <c r="I20" s="41">
        <v>16.63</v>
      </c>
      <c r="J20" s="41">
        <v>0.8</v>
      </c>
      <c r="K20" s="41">
        <v>62.76</v>
      </c>
      <c r="L20" s="41">
        <v>17.88</v>
      </c>
      <c r="M20" s="41">
        <v>14.67</v>
      </c>
      <c r="N20" s="41">
        <v>516.9</v>
      </c>
      <c r="O20" s="41">
        <v>0</v>
      </c>
      <c r="P20" s="41">
        <v>0.87</v>
      </c>
      <c r="Q20" s="41">
        <v>9.32</v>
      </c>
      <c r="R20" s="38"/>
      <c r="S20" s="38"/>
      <c r="T20" s="38"/>
      <c r="U20" s="38"/>
    </row>
    <row r="21" spans="1:21" customFormat="1">
      <c r="A21" s="40" t="s">
        <v>601</v>
      </c>
      <c r="B21" s="41">
        <v>7.79</v>
      </c>
      <c r="C21" s="41">
        <v>17.23</v>
      </c>
      <c r="D21" s="41">
        <v>15.25</v>
      </c>
      <c r="E21" s="41">
        <v>5.9</v>
      </c>
      <c r="F21" s="27" t="s">
        <v>8</v>
      </c>
      <c r="G21" s="41">
        <v>31.76</v>
      </c>
      <c r="H21" s="41">
        <v>15.4</v>
      </c>
      <c r="I21" s="41">
        <v>15.52</v>
      </c>
      <c r="J21" s="41">
        <v>0.42</v>
      </c>
      <c r="K21" s="41">
        <v>331.03</v>
      </c>
      <c r="L21" s="41">
        <v>22.03</v>
      </c>
      <c r="M21" s="41">
        <v>25.84</v>
      </c>
      <c r="N21" s="41">
        <v>507</v>
      </c>
      <c r="O21" s="41">
        <v>0</v>
      </c>
      <c r="P21" s="41">
        <v>0.75</v>
      </c>
      <c r="Q21" s="41">
        <v>9.32</v>
      </c>
      <c r="R21" s="38"/>
      <c r="S21" s="38"/>
      <c r="T21" s="38"/>
      <c r="U21" s="38"/>
    </row>
    <row r="22" spans="1:21" customFormat="1">
      <c r="A22" s="40" t="s">
        <v>602</v>
      </c>
      <c r="B22" s="41">
        <v>4.32</v>
      </c>
      <c r="C22" s="41">
        <v>15.88</v>
      </c>
      <c r="D22" s="41">
        <v>11.76</v>
      </c>
      <c r="E22" s="41">
        <v>5.83</v>
      </c>
      <c r="F22" s="27" t="s">
        <v>8</v>
      </c>
      <c r="G22" s="41">
        <v>21.35</v>
      </c>
      <c r="H22" s="41">
        <v>12.04</v>
      </c>
      <c r="I22" s="41">
        <v>13.85</v>
      </c>
      <c r="J22" s="41">
        <v>0.39</v>
      </c>
      <c r="K22" s="41">
        <v>156.97999999999999</v>
      </c>
      <c r="L22" s="41">
        <v>18.07</v>
      </c>
      <c r="M22" s="41">
        <v>23.45</v>
      </c>
      <c r="N22" s="41">
        <v>402.5</v>
      </c>
      <c r="O22" s="41">
        <v>0</v>
      </c>
      <c r="P22" s="41">
        <v>0.66</v>
      </c>
      <c r="Q22" s="41">
        <v>9.32</v>
      </c>
      <c r="R22" s="38"/>
      <c r="S22" s="38"/>
      <c r="T22" s="38"/>
      <c r="U22" s="38"/>
    </row>
    <row r="23" spans="1:21" customFormat="1">
      <c r="A23" s="40" t="s">
        <v>603</v>
      </c>
      <c r="B23" s="41">
        <v>3.29</v>
      </c>
      <c r="C23" s="41">
        <v>13.52</v>
      </c>
      <c r="D23" s="41">
        <v>9.6999999999999993</v>
      </c>
      <c r="E23" s="41">
        <v>6.24</v>
      </c>
      <c r="F23" s="27" t="s">
        <v>8</v>
      </c>
      <c r="G23" s="41">
        <v>34.36</v>
      </c>
      <c r="H23" s="41">
        <v>11.12</v>
      </c>
      <c r="I23" s="41">
        <v>12.47</v>
      </c>
      <c r="J23" s="41">
        <v>0.34</v>
      </c>
      <c r="K23" s="41">
        <v>172.59</v>
      </c>
      <c r="L23" s="41">
        <v>17.059999999999999</v>
      </c>
      <c r="M23" s="41">
        <v>23.14</v>
      </c>
      <c r="N23" s="41">
        <v>117.2</v>
      </c>
      <c r="O23" s="41">
        <v>0</v>
      </c>
      <c r="P23" s="41">
        <v>0.56999999999999995</v>
      </c>
      <c r="Q23" s="41">
        <v>9.32</v>
      </c>
      <c r="R23" s="38"/>
      <c r="S23" s="38"/>
      <c r="T23" s="38"/>
      <c r="U23" s="38"/>
    </row>
    <row r="24" spans="1:21" customFormat="1">
      <c r="A24" s="40" t="s">
        <v>604</v>
      </c>
      <c r="B24" s="41">
        <v>3.2</v>
      </c>
      <c r="C24" s="41">
        <v>12.74</v>
      </c>
      <c r="D24" s="41">
        <v>9.23</v>
      </c>
      <c r="E24" s="41">
        <v>6.16</v>
      </c>
      <c r="F24" s="27" t="s">
        <v>8</v>
      </c>
      <c r="G24" s="41">
        <v>34.36</v>
      </c>
      <c r="H24" s="41">
        <v>11.12</v>
      </c>
      <c r="I24" s="41">
        <v>11.18</v>
      </c>
      <c r="J24" s="41">
        <v>0.33</v>
      </c>
      <c r="K24" s="41">
        <v>171.41</v>
      </c>
      <c r="L24" s="41">
        <v>16.510000000000002</v>
      </c>
      <c r="M24" s="41">
        <v>22.39</v>
      </c>
      <c r="N24" s="41">
        <v>72.8</v>
      </c>
      <c r="O24" s="41">
        <v>0</v>
      </c>
      <c r="P24" s="41">
        <v>0.53</v>
      </c>
      <c r="Q24" s="41">
        <v>9.32</v>
      </c>
      <c r="R24" s="38"/>
      <c r="S24" s="38"/>
      <c r="T24" s="38"/>
      <c r="U24" s="38"/>
    </row>
    <row r="25" spans="1:21" customFormat="1">
      <c r="A25" s="40" t="s">
        <v>605</v>
      </c>
      <c r="B25" s="41">
        <v>3.39</v>
      </c>
      <c r="C25" s="41">
        <v>11.71</v>
      </c>
      <c r="D25" s="41">
        <v>8.69</v>
      </c>
      <c r="E25" s="41">
        <v>6.18</v>
      </c>
      <c r="F25" s="27" t="s">
        <v>8</v>
      </c>
      <c r="G25" s="41">
        <v>29.03</v>
      </c>
      <c r="H25" s="41">
        <v>10.41</v>
      </c>
      <c r="I25" s="41">
        <v>10.59</v>
      </c>
      <c r="J25" s="41">
        <v>0.3</v>
      </c>
      <c r="K25" s="41">
        <v>173.88</v>
      </c>
      <c r="L25" s="41">
        <v>16.71</v>
      </c>
      <c r="M25" s="41">
        <v>23.38</v>
      </c>
      <c r="N25" s="41">
        <v>38.299999999999997</v>
      </c>
      <c r="O25" s="41">
        <v>0</v>
      </c>
      <c r="P25" s="41">
        <v>0.48</v>
      </c>
      <c r="Q25" s="41">
        <v>9.32</v>
      </c>
      <c r="R25" s="38"/>
      <c r="S25" s="38"/>
      <c r="T25" s="38"/>
      <c r="U25" s="38"/>
    </row>
    <row r="26" spans="1:21" customFormat="1">
      <c r="A26" s="40" t="s">
        <v>606</v>
      </c>
      <c r="B26" s="41">
        <v>4.53</v>
      </c>
      <c r="C26" s="41">
        <v>12.5</v>
      </c>
      <c r="D26" s="41">
        <v>10.16</v>
      </c>
      <c r="E26" s="41">
        <v>5.81</v>
      </c>
      <c r="F26" s="27" t="s">
        <v>8</v>
      </c>
      <c r="G26" s="41">
        <v>41.6</v>
      </c>
      <c r="H26" s="41">
        <v>10.48</v>
      </c>
      <c r="I26" s="41">
        <v>9.9499999999999993</v>
      </c>
      <c r="J26" s="41">
        <v>0.33</v>
      </c>
      <c r="K26" s="41">
        <v>165.8</v>
      </c>
      <c r="L26" s="41">
        <v>16.37</v>
      </c>
      <c r="M26" s="41">
        <v>23.08</v>
      </c>
      <c r="N26" s="41">
        <v>5</v>
      </c>
      <c r="O26" s="41">
        <v>0</v>
      </c>
      <c r="P26" s="41">
        <v>0.52</v>
      </c>
      <c r="Q26" s="41">
        <v>9.32</v>
      </c>
      <c r="R26" s="38"/>
      <c r="S26" s="38"/>
      <c r="T26" s="38"/>
      <c r="U26" s="38"/>
    </row>
    <row r="27" spans="1:21" customFormat="1">
      <c r="A27" s="40" t="s">
        <v>607</v>
      </c>
      <c r="B27" s="41">
        <v>7.61</v>
      </c>
      <c r="C27" s="41">
        <v>14.84</v>
      </c>
      <c r="D27" s="41">
        <v>13.78</v>
      </c>
      <c r="E27" s="41">
        <v>7.11</v>
      </c>
      <c r="F27" s="27" t="s">
        <v>8</v>
      </c>
      <c r="G27" s="41">
        <v>53.96</v>
      </c>
      <c r="H27" s="41">
        <v>11.74</v>
      </c>
      <c r="I27" s="41">
        <v>10.83</v>
      </c>
      <c r="J27" s="41">
        <v>0.27</v>
      </c>
      <c r="K27" s="41">
        <v>171.06</v>
      </c>
      <c r="L27" s="41">
        <v>15.87</v>
      </c>
      <c r="M27" s="41">
        <v>21.95</v>
      </c>
      <c r="N27" s="41">
        <v>2</v>
      </c>
      <c r="O27" s="41">
        <v>0</v>
      </c>
      <c r="P27" s="41">
        <v>0.59</v>
      </c>
      <c r="Q27" s="41">
        <v>9.32</v>
      </c>
      <c r="R27" s="38"/>
      <c r="S27" s="38"/>
      <c r="T27" s="38"/>
      <c r="U27" s="38"/>
    </row>
    <row r="28" spans="1:21" customFormat="1">
      <c r="A28" s="40" t="s">
        <v>608</v>
      </c>
      <c r="B28" s="41">
        <v>9.4499999999999993</v>
      </c>
      <c r="C28" s="41">
        <v>16.12</v>
      </c>
      <c r="D28" s="41">
        <v>15.79</v>
      </c>
      <c r="E28" s="41">
        <v>6.91</v>
      </c>
      <c r="F28" s="27" t="s">
        <v>8</v>
      </c>
      <c r="G28" s="41">
        <v>62.32</v>
      </c>
      <c r="H28" s="41">
        <v>11.99</v>
      </c>
      <c r="I28" s="41">
        <v>11.79</v>
      </c>
      <c r="J28" s="41">
        <v>0.23</v>
      </c>
      <c r="K28" s="41">
        <v>183.82</v>
      </c>
      <c r="L28" s="41">
        <v>17.100000000000001</v>
      </c>
      <c r="M28" s="41">
        <v>25.06</v>
      </c>
      <c r="N28" s="41">
        <v>1.9</v>
      </c>
      <c r="O28" s="41">
        <v>0</v>
      </c>
      <c r="P28" s="41">
        <v>0.64</v>
      </c>
      <c r="Q28" s="41">
        <v>9.32</v>
      </c>
      <c r="R28" s="38"/>
      <c r="S28" s="38"/>
      <c r="T28" s="38"/>
      <c r="U28" s="38"/>
    </row>
    <row r="29" spans="1:21" customFormat="1">
      <c r="A29" s="40" t="s">
        <v>609</v>
      </c>
      <c r="B29" s="41">
        <v>10.48</v>
      </c>
      <c r="C29" s="41">
        <v>14.04</v>
      </c>
      <c r="D29" s="41">
        <v>15.69</v>
      </c>
      <c r="E29" s="41">
        <v>6.91</v>
      </c>
      <c r="F29" s="27" t="s">
        <v>8</v>
      </c>
      <c r="G29" s="41">
        <v>62.32</v>
      </c>
      <c r="H29" s="41">
        <v>12.34</v>
      </c>
      <c r="I29" s="41">
        <v>12.36</v>
      </c>
      <c r="J29" s="41">
        <v>0.21</v>
      </c>
      <c r="K29" s="41">
        <v>183.37</v>
      </c>
      <c r="L29" s="41">
        <v>16.98</v>
      </c>
      <c r="M29" s="41">
        <v>24.85</v>
      </c>
      <c r="N29" s="41">
        <v>1.7</v>
      </c>
      <c r="O29" s="41">
        <v>0</v>
      </c>
      <c r="P29" s="41">
        <v>0.66</v>
      </c>
      <c r="Q29" s="41">
        <v>9.32</v>
      </c>
      <c r="R29" s="38"/>
      <c r="S29" s="38"/>
      <c r="T29" s="38"/>
      <c r="U29" s="38"/>
    </row>
    <row r="30" spans="1:21" customFormat="1">
      <c r="A30" s="40" t="s">
        <v>610</v>
      </c>
      <c r="B30" s="41">
        <v>10.78</v>
      </c>
      <c r="C30" s="41">
        <v>14.01</v>
      </c>
      <c r="D30" s="41">
        <v>15.97</v>
      </c>
      <c r="E30" s="41">
        <v>7.03</v>
      </c>
      <c r="F30" s="27" t="s">
        <v>8</v>
      </c>
      <c r="G30" s="41">
        <v>49.93</v>
      </c>
      <c r="H30" s="41">
        <v>12.34</v>
      </c>
      <c r="I30" s="41">
        <v>12.4</v>
      </c>
      <c r="J30" s="41">
        <v>0.25</v>
      </c>
      <c r="K30" s="41">
        <v>188.46</v>
      </c>
      <c r="L30" s="41">
        <v>17.260000000000002</v>
      </c>
      <c r="M30" s="41">
        <v>25.57</v>
      </c>
      <c r="N30" s="41">
        <v>1.8</v>
      </c>
      <c r="O30" s="41">
        <v>0</v>
      </c>
      <c r="P30" s="41">
        <v>0.67</v>
      </c>
      <c r="Q30" s="41">
        <v>9.32</v>
      </c>
      <c r="R30" s="38"/>
      <c r="S30" s="38"/>
      <c r="T30" s="38"/>
      <c r="U30" s="38"/>
    </row>
    <row r="31" spans="1:21" customFormat="1">
      <c r="A31" s="40" t="s">
        <v>611</v>
      </c>
      <c r="B31" s="41">
        <v>11.94</v>
      </c>
      <c r="C31" s="41">
        <v>15.08</v>
      </c>
      <c r="D31" s="41">
        <v>17.45</v>
      </c>
      <c r="E31" s="41">
        <v>7.19</v>
      </c>
      <c r="F31" s="27" t="s">
        <v>8</v>
      </c>
      <c r="G31" s="41">
        <v>50.55</v>
      </c>
      <c r="H31" s="41">
        <v>12.99</v>
      </c>
      <c r="I31" s="41">
        <v>12.31</v>
      </c>
      <c r="J31" s="41">
        <v>0.2</v>
      </c>
      <c r="K31" s="41">
        <v>203.42</v>
      </c>
      <c r="L31" s="41">
        <v>18.16</v>
      </c>
      <c r="M31" s="41">
        <v>27.85</v>
      </c>
      <c r="N31" s="41">
        <v>1.7</v>
      </c>
      <c r="O31" s="41">
        <v>0</v>
      </c>
      <c r="P31" s="41">
        <v>0.67</v>
      </c>
      <c r="Q31" s="41">
        <v>9.32</v>
      </c>
      <c r="R31" s="38"/>
      <c r="S31" s="38"/>
      <c r="T31" s="38"/>
      <c r="U31" s="38"/>
    </row>
    <row r="32" spans="1:21" customFormat="1">
      <c r="A32" s="40" t="s">
        <v>612</v>
      </c>
      <c r="B32" s="41">
        <v>11.82</v>
      </c>
      <c r="C32" s="41">
        <v>14.93</v>
      </c>
      <c r="D32" s="41">
        <v>17.28</v>
      </c>
      <c r="E32" s="41">
        <v>7.05</v>
      </c>
      <c r="F32" s="27" t="s">
        <v>8</v>
      </c>
      <c r="G32" s="41">
        <v>50.55</v>
      </c>
      <c r="H32" s="41">
        <v>14</v>
      </c>
      <c r="I32" s="41">
        <v>12.15</v>
      </c>
      <c r="J32" s="41">
        <v>0.17</v>
      </c>
      <c r="K32" s="41">
        <v>217.92</v>
      </c>
      <c r="L32" s="41">
        <v>19.53</v>
      </c>
      <c r="M32" s="41">
        <v>31.27</v>
      </c>
      <c r="N32" s="41">
        <v>1.7</v>
      </c>
      <c r="O32" s="41">
        <v>0</v>
      </c>
      <c r="P32" s="41">
        <v>0.67</v>
      </c>
      <c r="Q32" s="41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3.2</v>
      </c>
      <c r="C34" s="18">
        <f t="shared" si="0"/>
        <v>11.71</v>
      </c>
      <c r="D34" s="18">
        <f t="shared" si="0"/>
        <v>8.69</v>
      </c>
      <c r="E34" s="18">
        <f t="shared" si="0"/>
        <v>5.37</v>
      </c>
      <c r="F34" s="18">
        <f t="shared" si="0"/>
        <v>0</v>
      </c>
      <c r="G34" s="18">
        <f t="shared" si="0"/>
        <v>21.35</v>
      </c>
      <c r="H34" s="18">
        <f t="shared" si="0"/>
        <v>10.41</v>
      </c>
      <c r="I34" s="18">
        <f t="shared" si="0"/>
        <v>9.9499999999999993</v>
      </c>
      <c r="J34" s="18">
        <f t="shared" si="0"/>
        <v>0.17</v>
      </c>
      <c r="K34" s="18">
        <f t="shared" si="0"/>
        <v>60.45</v>
      </c>
      <c r="L34" s="18">
        <f t="shared" si="0"/>
        <v>13.12</v>
      </c>
      <c r="M34" s="18">
        <f t="shared" si="0"/>
        <v>8.4</v>
      </c>
      <c r="N34" s="18">
        <f t="shared" si="0"/>
        <v>1.6</v>
      </c>
      <c r="O34" s="18">
        <f t="shared" si="0"/>
        <v>0</v>
      </c>
      <c r="P34" s="18">
        <f t="shared" si="0"/>
        <v>0.48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23.28</v>
      </c>
      <c r="C35" s="3">
        <f t="shared" si="1"/>
        <v>17.23</v>
      </c>
      <c r="D35" s="3">
        <f t="shared" si="1"/>
        <v>26.87</v>
      </c>
      <c r="E35" s="3">
        <f t="shared" si="1"/>
        <v>7.19</v>
      </c>
      <c r="F35" s="3">
        <f t="shared" si="1"/>
        <v>0</v>
      </c>
      <c r="G35" s="3">
        <f t="shared" si="1"/>
        <v>88.63</v>
      </c>
      <c r="H35" s="3">
        <f t="shared" si="1"/>
        <v>20.38</v>
      </c>
      <c r="I35" s="3">
        <f t="shared" si="1"/>
        <v>17.579999999999998</v>
      </c>
      <c r="J35" s="3">
        <f t="shared" si="1"/>
        <v>0.8</v>
      </c>
      <c r="K35" s="3">
        <f t="shared" si="1"/>
        <v>331.03</v>
      </c>
      <c r="L35" s="3">
        <f t="shared" si="1"/>
        <v>22.03</v>
      </c>
      <c r="M35" s="3">
        <f t="shared" si="1"/>
        <v>33.15</v>
      </c>
      <c r="N35" s="3">
        <f t="shared" si="1"/>
        <v>516.9</v>
      </c>
      <c r="O35" s="3">
        <f t="shared" si="1"/>
        <v>0</v>
      </c>
      <c r="P35" s="3">
        <f t="shared" si="1"/>
        <v>0.98</v>
      </c>
      <c r="Q35" s="3">
        <f t="shared" si="1"/>
        <v>9.32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12.242499999999998</v>
      </c>
      <c r="C36" s="18">
        <f t="shared" si="2"/>
        <v>14.581666666666669</v>
      </c>
      <c r="D36" s="18">
        <f t="shared" si="2"/>
        <v>17.38666666666667</v>
      </c>
      <c r="E36" s="18">
        <f t="shared" si="2"/>
        <v>6.3041666666666671</v>
      </c>
      <c r="F36" s="18" t="e">
        <f t="shared" si="2"/>
        <v>#DIV/0!</v>
      </c>
      <c r="G36" s="18">
        <f t="shared" si="2"/>
        <v>51.001250000000006</v>
      </c>
      <c r="H36" s="18">
        <f t="shared" si="2"/>
        <v>15.057499999999999</v>
      </c>
      <c r="I36" s="18">
        <f t="shared" si="2"/>
        <v>14.559999999999997</v>
      </c>
      <c r="J36" s="18">
        <f t="shared" si="2"/>
        <v>0.32749999999999996</v>
      </c>
      <c r="K36" s="18">
        <f t="shared" si="2"/>
        <v>174.75750000000002</v>
      </c>
      <c r="L36" s="18">
        <f t="shared" si="2"/>
        <v>17.292916666666667</v>
      </c>
      <c r="M36" s="18">
        <f t="shared" si="2"/>
        <v>23.302499999999995</v>
      </c>
      <c r="N36" s="18">
        <f t="shared" si="2"/>
        <v>120.78333333333335</v>
      </c>
      <c r="O36" s="18">
        <f t="shared" si="2"/>
        <v>0</v>
      </c>
      <c r="P36" s="18">
        <f t="shared" si="2"/>
        <v>0.77458333333333351</v>
      </c>
      <c r="Q36" s="18">
        <f t="shared" si="2"/>
        <v>9.319999999999995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6.1261011432550934</v>
      </c>
      <c r="C37" s="18">
        <f t="shared" ref="C37:Q37" si="3">STDEV(C9:C32)</f>
        <v>1.5662935109099994</v>
      </c>
      <c r="D37" s="18">
        <f t="shared" si="3"/>
        <v>5.2701700877317963</v>
      </c>
      <c r="E37" s="18">
        <f t="shared" si="3"/>
        <v>0.60465524972044427</v>
      </c>
      <c r="F37" s="18" t="e">
        <f t="shared" si="3"/>
        <v>#DIV/0!</v>
      </c>
      <c r="G37" s="18">
        <f t="shared" si="3"/>
        <v>16.032010184112202</v>
      </c>
      <c r="H37" s="18">
        <f t="shared" si="3"/>
        <v>3.2879943007461447</v>
      </c>
      <c r="I37" s="18">
        <f t="shared" si="3"/>
        <v>2.7227894903381191</v>
      </c>
      <c r="J37" s="18">
        <f t="shared" si="3"/>
        <v>0.17172399493018639</v>
      </c>
      <c r="K37" s="18">
        <f t="shared" si="3"/>
        <v>63.239728861861273</v>
      </c>
      <c r="L37" s="18">
        <f t="shared" si="3"/>
        <v>2.0352063866428725</v>
      </c>
      <c r="M37" s="18">
        <f t="shared" si="3"/>
        <v>6.2798250114086116</v>
      </c>
      <c r="N37" s="18">
        <f t="shared" si="3"/>
        <v>183.60104827461149</v>
      </c>
      <c r="O37" s="18">
        <f t="shared" si="3"/>
        <v>0</v>
      </c>
      <c r="P37" s="18">
        <f t="shared" si="3"/>
        <v>0.1714130319906621</v>
      </c>
      <c r="Q37" s="18">
        <f t="shared" si="3"/>
        <v>5.4436872977907584E-15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>COUNT(F9:F32)+24</f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96"/>
  <sheetViews>
    <sheetView zoomScale="85" zoomScaleNormal="85" workbookViewId="0">
      <pane xSplit="1" ySplit="8" topLeftCell="B24" activePane="bottomRight" state="frozen"/>
      <selection activeCell="G19" sqref="G19"/>
      <selection pane="topRight" activeCell="G19" sqref="G19"/>
      <selection pane="bottomLeft" activeCell="G19" sqref="G19"/>
      <selection pane="bottomRight" activeCell="G42" sqref="G4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24/11/2025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613</v>
      </c>
      <c r="B9" s="41">
        <v>12.01</v>
      </c>
      <c r="C9" s="41">
        <v>13.97</v>
      </c>
      <c r="D9" s="41">
        <v>16.93</v>
      </c>
      <c r="E9" s="41">
        <v>7.41</v>
      </c>
      <c r="F9" s="27" t="s">
        <v>8</v>
      </c>
      <c r="G9" s="41">
        <v>44.05</v>
      </c>
      <c r="H9" s="41">
        <v>14</v>
      </c>
      <c r="I9" s="41">
        <v>12.01</v>
      </c>
      <c r="J9" s="41">
        <v>0.15</v>
      </c>
      <c r="K9" s="41">
        <v>208.75</v>
      </c>
      <c r="L9" s="41">
        <v>18.670000000000002</v>
      </c>
      <c r="M9" s="41">
        <v>29.15</v>
      </c>
      <c r="N9" s="41">
        <v>1.6</v>
      </c>
      <c r="O9" s="41">
        <v>0</v>
      </c>
      <c r="P9" s="41">
        <v>0.66</v>
      </c>
      <c r="Q9" s="41">
        <v>9.32</v>
      </c>
      <c r="R9" s="38"/>
      <c r="S9" s="38"/>
      <c r="T9" s="38"/>
      <c r="U9" s="38"/>
    </row>
    <row r="10" spans="1:21" customFormat="1">
      <c r="A10" s="40" t="s">
        <v>614</v>
      </c>
      <c r="B10" s="41">
        <v>19.8</v>
      </c>
      <c r="C10" s="41">
        <v>15.87</v>
      </c>
      <c r="D10" s="41">
        <v>24.17</v>
      </c>
      <c r="E10" s="41">
        <v>7.17</v>
      </c>
      <c r="F10" s="27" t="s">
        <v>8</v>
      </c>
      <c r="G10" s="41">
        <v>46.44</v>
      </c>
      <c r="H10" s="41">
        <v>14.19</v>
      </c>
      <c r="I10" s="41">
        <v>12.75</v>
      </c>
      <c r="J10" s="41">
        <v>0.18</v>
      </c>
      <c r="K10" s="41">
        <v>195.83</v>
      </c>
      <c r="L10" s="41">
        <v>17.440000000000001</v>
      </c>
      <c r="M10" s="41">
        <v>26.09</v>
      </c>
      <c r="N10" s="41">
        <v>1.7</v>
      </c>
      <c r="O10" s="41">
        <v>0</v>
      </c>
      <c r="P10" s="41">
        <v>0.69</v>
      </c>
      <c r="Q10" s="41">
        <v>9.5299999999999994</v>
      </c>
      <c r="R10" s="38"/>
      <c r="S10" s="38"/>
      <c r="T10" s="38"/>
      <c r="U10" s="38"/>
    </row>
    <row r="11" spans="1:21" customFormat="1">
      <c r="A11" s="40" t="s">
        <v>615</v>
      </c>
      <c r="B11" s="41">
        <v>21.69</v>
      </c>
      <c r="C11" s="41">
        <v>16.170000000000002</v>
      </c>
      <c r="D11" s="41">
        <v>25.53</v>
      </c>
      <c r="E11" s="41">
        <v>6.27</v>
      </c>
      <c r="F11" s="27" t="s">
        <v>8</v>
      </c>
      <c r="G11" s="41">
        <v>46.44</v>
      </c>
      <c r="H11" s="41">
        <v>14.99</v>
      </c>
      <c r="I11" s="41">
        <v>13.19</v>
      </c>
      <c r="J11" s="41">
        <v>0.18</v>
      </c>
      <c r="K11" s="41">
        <v>221.39</v>
      </c>
      <c r="L11" s="41">
        <v>19.170000000000002</v>
      </c>
      <c r="M11" s="41">
        <v>30.39</v>
      </c>
      <c r="N11" s="41">
        <v>1.8</v>
      </c>
      <c r="O11" s="41">
        <v>0</v>
      </c>
      <c r="P11" s="41">
        <v>0.7</v>
      </c>
      <c r="Q11" s="41">
        <v>9.4499999999999993</v>
      </c>
      <c r="R11" s="38"/>
      <c r="S11" s="38"/>
      <c r="T11" s="38"/>
      <c r="U11" s="38"/>
    </row>
    <row r="12" spans="1:21" customFormat="1">
      <c r="A12" s="40" t="s">
        <v>616</v>
      </c>
      <c r="B12" s="41">
        <v>25.21</v>
      </c>
      <c r="C12" s="41">
        <v>15.6</v>
      </c>
      <c r="D12" s="41">
        <v>28.28</v>
      </c>
      <c r="E12" s="41">
        <v>6.37</v>
      </c>
      <c r="F12" s="27" t="s">
        <v>8</v>
      </c>
      <c r="G12" s="41">
        <v>44.38</v>
      </c>
      <c r="H12" s="41">
        <v>14.99</v>
      </c>
      <c r="I12" s="41">
        <v>13.13</v>
      </c>
      <c r="J12" s="41">
        <v>0.37</v>
      </c>
      <c r="K12" s="41">
        <v>152.47999999999999</v>
      </c>
      <c r="L12" s="41">
        <v>14.38</v>
      </c>
      <c r="M12" s="41">
        <v>18.3</v>
      </c>
      <c r="N12" s="41">
        <v>1.6</v>
      </c>
      <c r="O12" s="41">
        <v>0</v>
      </c>
      <c r="P12" s="41">
        <v>0.7</v>
      </c>
      <c r="Q12" s="41">
        <v>9.32</v>
      </c>
      <c r="R12" s="38"/>
      <c r="S12" s="38"/>
      <c r="T12" s="38"/>
      <c r="U12" s="38"/>
    </row>
    <row r="13" spans="1:21" customFormat="1">
      <c r="A13" s="40" t="s">
        <v>617</v>
      </c>
      <c r="B13" s="41">
        <v>25.6</v>
      </c>
      <c r="C13" s="41">
        <v>15.56</v>
      </c>
      <c r="D13" s="41">
        <v>28.57</v>
      </c>
      <c r="E13" s="41">
        <v>6.35</v>
      </c>
      <c r="F13" s="27" t="s">
        <v>8</v>
      </c>
      <c r="G13" s="41">
        <v>43.51</v>
      </c>
      <c r="H13" s="41">
        <v>14.4</v>
      </c>
      <c r="I13" s="41">
        <v>13.08</v>
      </c>
      <c r="J13" s="41">
        <v>0.5</v>
      </c>
      <c r="K13" s="41">
        <v>59.89</v>
      </c>
      <c r="L13" s="41">
        <v>8.31</v>
      </c>
      <c r="M13" s="41">
        <v>2.89</v>
      </c>
      <c r="N13" s="41">
        <v>1.7</v>
      </c>
      <c r="O13" s="41">
        <v>0</v>
      </c>
      <c r="P13" s="41">
        <v>0.69</v>
      </c>
      <c r="Q13" s="41">
        <v>9.32</v>
      </c>
      <c r="R13" s="38"/>
      <c r="S13" s="38"/>
      <c r="T13" s="38"/>
      <c r="U13" s="38"/>
    </row>
    <row r="14" spans="1:21" customFormat="1">
      <c r="A14" s="40" t="s">
        <v>618</v>
      </c>
      <c r="B14" s="41">
        <v>25.27</v>
      </c>
      <c r="C14" s="41">
        <v>15.4</v>
      </c>
      <c r="D14" s="41">
        <v>28.32</v>
      </c>
      <c r="E14" s="41">
        <v>6.28</v>
      </c>
      <c r="F14" s="27" t="s">
        <v>8</v>
      </c>
      <c r="G14" s="41">
        <v>48.37</v>
      </c>
      <c r="H14" s="41">
        <v>15.07</v>
      </c>
      <c r="I14" s="41">
        <v>12.8</v>
      </c>
      <c r="J14" s="41">
        <v>0.55000000000000004</v>
      </c>
      <c r="K14" s="41">
        <v>45.67</v>
      </c>
      <c r="L14" s="41">
        <v>12.83</v>
      </c>
      <c r="M14" s="41">
        <v>14.09</v>
      </c>
      <c r="N14" s="41">
        <v>1.8</v>
      </c>
      <c r="O14" s="41">
        <v>0</v>
      </c>
      <c r="P14" s="41">
        <v>0.66</v>
      </c>
      <c r="Q14" s="41">
        <v>9.52</v>
      </c>
      <c r="R14" s="38"/>
      <c r="S14" s="38"/>
      <c r="T14" s="38"/>
      <c r="U14" s="38"/>
    </row>
    <row r="15" spans="1:21" customFormat="1">
      <c r="A15" s="40" t="s">
        <v>619</v>
      </c>
      <c r="B15" s="41">
        <v>26.61</v>
      </c>
      <c r="C15" s="41">
        <v>15.48</v>
      </c>
      <c r="D15" s="41">
        <v>29.41</v>
      </c>
      <c r="E15" s="41">
        <v>6.18</v>
      </c>
      <c r="F15" s="27" t="s">
        <v>8</v>
      </c>
      <c r="G15" s="41">
        <v>50.87</v>
      </c>
      <c r="H15" s="41">
        <v>15.6</v>
      </c>
      <c r="I15" s="41">
        <v>12.43</v>
      </c>
      <c r="J15" s="41">
        <v>0.69</v>
      </c>
      <c r="K15" s="41">
        <v>60.22</v>
      </c>
      <c r="L15" s="41">
        <v>11.41</v>
      </c>
      <c r="M15" s="41">
        <v>10.68</v>
      </c>
      <c r="N15" s="41">
        <v>24.2</v>
      </c>
      <c r="O15" s="41">
        <v>0</v>
      </c>
      <c r="P15" s="41">
        <v>0.66</v>
      </c>
      <c r="Q15" s="41">
        <v>9.32</v>
      </c>
      <c r="R15" s="38"/>
      <c r="S15" s="38"/>
      <c r="T15" s="38"/>
      <c r="U15" s="38"/>
    </row>
    <row r="16" spans="1:21" customFormat="1">
      <c r="A16" s="40" t="s">
        <v>620</v>
      </c>
      <c r="B16" s="41">
        <v>26.61</v>
      </c>
      <c r="C16" s="41">
        <v>16.11</v>
      </c>
      <c r="D16" s="41">
        <v>29.47</v>
      </c>
      <c r="E16" s="41">
        <v>6.06</v>
      </c>
      <c r="F16" s="27" t="s">
        <v>8</v>
      </c>
      <c r="G16" s="41">
        <v>50.87</v>
      </c>
      <c r="H16" s="41">
        <v>15.6</v>
      </c>
      <c r="I16" s="41">
        <v>12.57</v>
      </c>
      <c r="J16" s="41">
        <v>0.72</v>
      </c>
      <c r="K16" s="41">
        <v>57.38</v>
      </c>
      <c r="L16" s="41">
        <v>8.3800000000000008</v>
      </c>
      <c r="M16" s="41">
        <v>0.84</v>
      </c>
      <c r="N16" s="41">
        <v>113.4</v>
      </c>
      <c r="O16" s="41">
        <v>0</v>
      </c>
      <c r="P16" s="41">
        <v>0.65</v>
      </c>
      <c r="Q16" s="41">
        <v>9.32</v>
      </c>
      <c r="R16" s="38"/>
      <c r="S16" s="38"/>
      <c r="T16" s="38"/>
      <c r="U16" s="38"/>
    </row>
    <row r="17" spans="1:21" customFormat="1">
      <c r="A17" s="40" t="s">
        <v>621</v>
      </c>
      <c r="B17" s="41">
        <v>24.87</v>
      </c>
      <c r="C17" s="41">
        <v>16.61</v>
      </c>
      <c r="D17" s="41">
        <v>28.38</v>
      </c>
      <c r="E17" s="41">
        <v>5.98</v>
      </c>
      <c r="F17" s="27" t="s">
        <v>8</v>
      </c>
      <c r="G17" s="41">
        <v>56.17</v>
      </c>
      <c r="H17" s="41">
        <v>15.16</v>
      </c>
      <c r="I17" s="41">
        <v>12.88</v>
      </c>
      <c r="J17" s="41">
        <v>0.79</v>
      </c>
      <c r="K17" s="41">
        <v>75.66</v>
      </c>
      <c r="L17" s="41">
        <v>11.9</v>
      </c>
      <c r="M17" s="41">
        <v>6.74</v>
      </c>
      <c r="N17" s="41">
        <v>254.8</v>
      </c>
      <c r="O17" s="41">
        <v>0</v>
      </c>
      <c r="P17" s="41">
        <v>0.65</v>
      </c>
      <c r="Q17" s="41">
        <v>9.32</v>
      </c>
      <c r="R17" s="38"/>
      <c r="S17" s="38"/>
      <c r="T17" s="38"/>
      <c r="U17" s="38"/>
    </row>
    <row r="18" spans="1:21" customFormat="1">
      <c r="A18" s="40" t="s">
        <v>622</v>
      </c>
      <c r="B18" s="41">
        <v>20.53</v>
      </c>
      <c r="C18" s="41">
        <v>17.52</v>
      </c>
      <c r="D18" s="41">
        <v>25.23</v>
      </c>
      <c r="E18" s="41">
        <v>6.07</v>
      </c>
      <c r="F18" s="27" t="s">
        <v>8</v>
      </c>
      <c r="G18" s="41">
        <v>56.17</v>
      </c>
      <c r="H18" s="41">
        <v>15.21</v>
      </c>
      <c r="I18" s="41">
        <v>12.95</v>
      </c>
      <c r="J18" s="41">
        <v>0.76</v>
      </c>
      <c r="K18" s="41">
        <v>55.68</v>
      </c>
      <c r="L18" s="41">
        <v>11.97</v>
      </c>
      <c r="M18" s="41">
        <v>6.44</v>
      </c>
      <c r="N18" s="41">
        <v>321.3</v>
      </c>
      <c r="O18" s="41">
        <v>0</v>
      </c>
      <c r="P18" s="41">
        <v>0.64</v>
      </c>
      <c r="Q18" s="41">
        <v>9.32</v>
      </c>
      <c r="R18" s="38"/>
      <c r="S18" s="38"/>
      <c r="T18" s="38"/>
      <c r="U18" s="38"/>
    </row>
    <row r="19" spans="1:21" customFormat="1">
      <c r="A19" s="40" t="s">
        <v>623</v>
      </c>
      <c r="B19" s="41">
        <v>16.12</v>
      </c>
      <c r="C19" s="41">
        <v>18.62</v>
      </c>
      <c r="D19" s="41">
        <v>22.27</v>
      </c>
      <c r="E19" s="41">
        <v>6.36</v>
      </c>
      <c r="F19" s="27" t="s">
        <v>8</v>
      </c>
      <c r="G19" s="41">
        <v>50.97</v>
      </c>
      <c r="H19" s="41">
        <v>15.21</v>
      </c>
      <c r="I19" s="41">
        <v>12.65</v>
      </c>
      <c r="J19" s="41">
        <v>1.04</v>
      </c>
      <c r="K19" s="41">
        <v>87.44</v>
      </c>
      <c r="L19" s="41">
        <v>17.260000000000002</v>
      </c>
      <c r="M19" s="41">
        <v>15.28</v>
      </c>
      <c r="N19" s="41">
        <v>427.9</v>
      </c>
      <c r="O19" s="41">
        <v>0</v>
      </c>
      <c r="P19" s="41">
        <v>0.63</v>
      </c>
      <c r="Q19" s="41">
        <v>9.32</v>
      </c>
      <c r="R19" s="38"/>
      <c r="S19" s="38"/>
      <c r="T19" s="38"/>
      <c r="U19" s="38"/>
    </row>
    <row r="20" spans="1:21" customFormat="1">
      <c r="A20" s="40" t="s">
        <v>624</v>
      </c>
      <c r="B20" s="41">
        <v>8.4499999999999993</v>
      </c>
      <c r="C20" s="41">
        <v>18.64</v>
      </c>
      <c r="D20" s="41">
        <v>16.510000000000002</v>
      </c>
      <c r="E20" s="41">
        <v>6.2</v>
      </c>
      <c r="F20" s="27" t="s">
        <v>8</v>
      </c>
      <c r="G20" s="41">
        <v>44.23</v>
      </c>
      <c r="H20" s="41">
        <v>13.97</v>
      </c>
      <c r="I20" s="41">
        <v>11.79</v>
      </c>
      <c r="J20" s="41">
        <v>0.54</v>
      </c>
      <c r="K20" s="41">
        <v>64.69</v>
      </c>
      <c r="L20" s="41">
        <v>18.05</v>
      </c>
      <c r="M20" s="41">
        <v>16.61</v>
      </c>
      <c r="N20" s="41">
        <v>479.9</v>
      </c>
      <c r="O20" s="41">
        <v>0</v>
      </c>
      <c r="P20" s="41">
        <v>0.56999999999999995</v>
      </c>
      <c r="Q20" s="41">
        <v>9.32</v>
      </c>
      <c r="R20" s="38"/>
      <c r="S20" s="38"/>
      <c r="T20" s="38"/>
      <c r="U20" s="38"/>
    </row>
    <row r="21" spans="1:21" customFormat="1">
      <c r="A21" s="40" t="s">
        <v>625</v>
      </c>
      <c r="B21" s="41">
        <v>3.98</v>
      </c>
      <c r="C21" s="41">
        <v>16.14</v>
      </c>
      <c r="D21" s="41">
        <v>11.63</v>
      </c>
      <c r="E21" s="41">
        <v>6.6</v>
      </c>
      <c r="F21" s="27" t="s">
        <v>8</v>
      </c>
      <c r="G21" s="24" t="s">
        <v>14</v>
      </c>
      <c r="H21" s="24" t="s">
        <v>14</v>
      </c>
      <c r="I21" s="41">
        <v>10.41</v>
      </c>
      <c r="J21" s="41">
        <v>0.76</v>
      </c>
      <c r="K21" s="41">
        <v>40.46</v>
      </c>
      <c r="L21" s="41">
        <v>17.329999999999998</v>
      </c>
      <c r="M21" s="41">
        <v>14.84</v>
      </c>
      <c r="N21" s="41">
        <v>475.5</v>
      </c>
      <c r="O21" s="41">
        <v>0</v>
      </c>
      <c r="P21" s="41">
        <v>0.51</v>
      </c>
      <c r="Q21" s="41">
        <v>9.32</v>
      </c>
      <c r="R21" s="38"/>
      <c r="S21" s="38"/>
      <c r="T21" s="38"/>
      <c r="U21" s="38"/>
    </row>
    <row r="22" spans="1:21" customFormat="1">
      <c r="A22" s="40" t="s">
        <v>626</v>
      </c>
      <c r="B22" s="41">
        <v>3.57</v>
      </c>
      <c r="C22" s="41">
        <v>16.010000000000002</v>
      </c>
      <c r="D22" s="41">
        <v>11.23</v>
      </c>
      <c r="E22" s="41">
        <v>7.53</v>
      </c>
      <c r="F22" s="27" t="s">
        <v>8</v>
      </c>
      <c r="G22" s="24" t="s">
        <v>14</v>
      </c>
      <c r="H22" s="24" t="s">
        <v>14</v>
      </c>
      <c r="I22" s="41">
        <v>8.68</v>
      </c>
      <c r="J22" s="41">
        <v>0.77</v>
      </c>
      <c r="K22" s="41">
        <v>80.42</v>
      </c>
      <c r="L22" s="41">
        <v>17.190000000000001</v>
      </c>
      <c r="M22" s="41">
        <v>20.239999999999998</v>
      </c>
      <c r="N22" s="41">
        <v>393.7</v>
      </c>
      <c r="O22" s="41">
        <v>0</v>
      </c>
      <c r="P22" s="41">
        <v>0.45</v>
      </c>
      <c r="Q22" s="41">
        <v>9.32</v>
      </c>
      <c r="R22" s="38"/>
      <c r="S22" s="38"/>
      <c r="T22" s="38"/>
      <c r="U22" s="38"/>
    </row>
    <row r="23" spans="1:21" customFormat="1">
      <c r="A23" s="40" t="s">
        <v>627</v>
      </c>
      <c r="B23" s="41">
        <v>4.3499999999999996</v>
      </c>
      <c r="C23" s="41">
        <v>17.41</v>
      </c>
      <c r="D23" s="41">
        <v>12.59</v>
      </c>
      <c r="E23" s="41">
        <v>9.61</v>
      </c>
      <c r="F23" s="27" t="s">
        <v>8</v>
      </c>
      <c r="G23" s="24" t="s">
        <v>14</v>
      </c>
      <c r="H23" s="24" t="s">
        <v>14</v>
      </c>
      <c r="I23" s="41">
        <v>7.02</v>
      </c>
      <c r="J23" s="41">
        <v>0.94</v>
      </c>
      <c r="K23" s="41">
        <v>113.14</v>
      </c>
      <c r="L23" s="41">
        <v>13.81</v>
      </c>
      <c r="M23" s="41">
        <v>13.61</v>
      </c>
      <c r="N23" s="41">
        <v>127.8</v>
      </c>
      <c r="O23" s="41">
        <v>0</v>
      </c>
      <c r="P23" s="41">
        <v>0.35</v>
      </c>
      <c r="Q23" s="41">
        <v>9.32</v>
      </c>
      <c r="R23" s="38"/>
      <c r="S23" s="38"/>
      <c r="T23" s="38"/>
      <c r="U23" s="38"/>
    </row>
    <row r="24" spans="1:21" customFormat="1">
      <c r="A24" s="40" t="s">
        <v>628</v>
      </c>
      <c r="B24" s="41">
        <v>4.78</v>
      </c>
      <c r="C24" s="41">
        <v>25.99</v>
      </c>
      <c r="D24" s="41">
        <v>17.420000000000002</v>
      </c>
      <c r="E24" s="41">
        <v>12.44</v>
      </c>
      <c r="F24" s="27" t="s">
        <v>8</v>
      </c>
      <c r="G24" s="24" t="s">
        <v>14</v>
      </c>
      <c r="H24" s="24" t="s">
        <v>14</v>
      </c>
      <c r="I24" s="41">
        <v>5.99</v>
      </c>
      <c r="J24" s="41">
        <v>0.75</v>
      </c>
      <c r="K24" s="41">
        <v>54</v>
      </c>
      <c r="L24" s="41">
        <v>11.11</v>
      </c>
      <c r="M24" s="41">
        <v>7.37</v>
      </c>
      <c r="N24" s="41">
        <v>92</v>
      </c>
      <c r="O24" s="41">
        <v>0</v>
      </c>
      <c r="P24" s="41">
        <v>0.41</v>
      </c>
      <c r="Q24" s="41">
        <v>9.32</v>
      </c>
      <c r="R24" s="38"/>
      <c r="S24" s="38"/>
      <c r="T24" s="38"/>
      <c r="U24" s="38"/>
    </row>
    <row r="25" spans="1:21" customFormat="1">
      <c r="A25" s="40" t="s">
        <v>629</v>
      </c>
      <c r="B25" s="41">
        <v>4.2300000000000004</v>
      </c>
      <c r="C25" s="41">
        <v>27.87</v>
      </c>
      <c r="D25" s="41">
        <v>17.670000000000002</v>
      </c>
      <c r="E25" s="41">
        <v>10.99</v>
      </c>
      <c r="F25" s="27" t="s">
        <v>8</v>
      </c>
      <c r="G25" s="24" t="s">
        <v>14</v>
      </c>
      <c r="H25" s="24" t="s">
        <v>14</v>
      </c>
      <c r="I25" s="41">
        <v>6.49</v>
      </c>
      <c r="J25" s="41">
        <v>0.67</v>
      </c>
      <c r="K25" s="41">
        <v>66.48</v>
      </c>
      <c r="L25" s="41">
        <v>10.11</v>
      </c>
      <c r="M25" s="41">
        <v>6.62</v>
      </c>
      <c r="N25" s="41">
        <v>42.6</v>
      </c>
      <c r="O25" s="41">
        <v>0</v>
      </c>
      <c r="P25" s="41">
        <v>0.49</v>
      </c>
      <c r="Q25" s="41">
        <v>9.32</v>
      </c>
      <c r="R25" s="38"/>
      <c r="S25" s="38"/>
      <c r="T25" s="38"/>
      <c r="U25" s="38"/>
    </row>
    <row r="26" spans="1:21" customFormat="1">
      <c r="A26" s="40" t="s">
        <v>630</v>
      </c>
      <c r="B26" s="41">
        <v>3.55</v>
      </c>
      <c r="C26" s="41">
        <v>24.21</v>
      </c>
      <c r="D26" s="41">
        <v>15.5</v>
      </c>
      <c r="E26" s="41">
        <v>6.28</v>
      </c>
      <c r="F26" s="27" t="s">
        <v>8</v>
      </c>
      <c r="G26" s="41">
        <v>116.56</v>
      </c>
      <c r="H26" s="41">
        <v>37.57</v>
      </c>
      <c r="I26" s="41">
        <v>26.65</v>
      </c>
      <c r="J26" s="41">
        <v>0.23</v>
      </c>
      <c r="K26" s="41">
        <v>153.01</v>
      </c>
      <c r="L26" s="41">
        <v>14.55</v>
      </c>
      <c r="M26" s="41">
        <v>18.68</v>
      </c>
      <c r="N26" s="41">
        <v>6.2</v>
      </c>
      <c r="O26" s="41">
        <v>0</v>
      </c>
      <c r="P26" s="41">
        <v>0.49</v>
      </c>
      <c r="Q26" s="41">
        <v>9.32</v>
      </c>
      <c r="R26" s="38"/>
      <c r="S26" s="38"/>
      <c r="T26" s="38"/>
      <c r="U26" s="38"/>
    </row>
    <row r="27" spans="1:21" customFormat="1">
      <c r="A27" s="40" t="s">
        <v>631</v>
      </c>
      <c r="B27" s="41">
        <v>4.3</v>
      </c>
      <c r="C27" s="41">
        <v>18.96</v>
      </c>
      <c r="D27" s="41">
        <v>12.92</v>
      </c>
      <c r="E27" s="41">
        <v>4.24</v>
      </c>
      <c r="F27" s="27" t="s">
        <v>8</v>
      </c>
      <c r="G27" s="41">
        <v>126.73</v>
      </c>
      <c r="H27" s="41">
        <v>38.75</v>
      </c>
      <c r="I27" s="41">
        <v>26.27</v>
      </c>
      <c r="J27" s="41">
        <v>0.2</v>
      </c>
      <c r="K27" s="41">
        <v>147.25</v>
      </c>
      <c r="L27" s="41">
        <v>14.01</v>
      </c>
      <c r="M27" s="41">
        <v>17.329999999999998</v>
      </c>
      <c r="N27" s="41">
        <v>2</v>
      </c>
      <c r="O27" s="41">
        <v>0</v>
      </c>
      <c r="P27" s="41">
        <v>0.51</v>
      </c>
      <c r="Q27" s="41">
        <v>9.32</v>
      </c>
      <c r="R27" s="38"/>
      <c r="S27" s="38"/>
      <c r="T27" s="38"/>
      <c r="U27" s="38"/>
    </row>
    <row r="28" spans="1:21" customFormat="1">
      <c r="A28" s="40" t="s">
        <v>632</v>
      </c>
      <c r="B28" s="41">
        <v>4.63</v>
      </c>
      <c r="C28" s="41">
        <v>16.32</v>
      </c>
      <c r="D28" s="41">
        <v>12.01</v>
      </c>
      <c r="E28" s="41">
        <v>4.47</v>
      </c>
      <c r="F28" s="27" t="s">
        <v>8</v>
      </c>
      <c r="G28" s="41">
        <v>126.73</v>
      </c>
      <c r="H28" s="41">
        <v>38.75</v>
      </c>
      <c r="I28" s="41">
        <v>23.35</v>
      </c>
      <c r="J28" s="41">
        <v>0.36</v>
      </c>
      <c r="K28" s="41">
        <v>124.67</v>
      </c>
      <c r="L28" s="41">
        <v>12.38</v>
      </c>
      <c r="M28" s="41">
        <v>13.32</v>
      </c>
      <c r="N28" s="41">
        <v>1.9</v>
      </c>
      <c r="O28" s="41">
        <v>0</v>
      </c>
      <c r="P28" s="41">
        <v>0.54</v>
      </c>
      <c r="Q28" s="41">
        <v>9.32</v>
      </c>
      <c r="R28" s="38"/>
      <c r="S28" s="38"/>
      <c r="T28" s="38"/>
      <c r="U28" s="38"/>
    </row>
    <row r="29" spans="1:21" customFormat="1">
      <c r="A29" s="40" t="s">
        <v>633</v>
      </c>
      <c r="B29" s="41">
        <v>4.8499999999999996</v>
      </c>
      <c r="C29" s="41">
        <v>15.5</v>
      </c>
      <c r="D29" s="41">
        <v>11.85</v>
      </c>
      <c r="E29" s="41">
        <v>4.8</v>
      </c>
      <c r="F29" s="27" t="s">
        <v>8</v>
      </c>
      <c r="G29" s="41">
        <v>124.87</v>
      </c>
      <c r="H29" s="41">
        <v>41.51</v>
      </c>
      <c r="I29" s="41">
        <v>21.05</v>
      </c>
      <c r="J29" s="41">
        <v>0.52</v>
      </c>
      <c r="K29" s="41">
        <v>142.88</v>
      </c>
      <c r="L29" s="41">
        <v>13.54</v>
      </c>
      <c r="M29" s="41">
        <v>16.21</v>
      </c>
      <c r="N29" s="41">
        <v>1.8</v>
      </c>
      <c r="O29" s="41">
        <v>0</v>
      </c>
      <c r="P29" s="41">
        <v>0.56000000000000005</v>
      </c>
      <c r="Q29" s="41">
        <v>9.32</v>
      </c>
      <c r="R29" s="38"/>
      <c r="S29" s="38"/>
      <c r="T29" s="38"/>
      <c r="U29" s="38"/>
    </row>
    <row r="30" spans="1:21" customFormat="1">
      <c r="A30" s="40" t="s">
        <v>634</v>
      </c>
      <c r="B30" s="41">
        <v>4.8099999999999996</v>
      </c>
      <c r="C30" s="41">
        <v>14.71</v>
      </c>
      <c r="D30" s="41">
        <v>11.54</v>
      </c>
      <c r="E30" s="41">
        <v>5.03</v>
      </c>
      <c r="F30" s="27" t="s">
        <v>8</v>
      </c>
      <c r="G30" s="41">
        <v>124.87</v>
      </c>
      <c r="H30" s="41">
        <v>44.32</v>
      </c>
      <c r="I30" s="41">
        <v>19.260000000000002</v>
      </c>
      <c r="J30" s="41">
        <v>0.25</v>
      </c>
      <c r="K30" s="41">
        <v>183.15</v>
      </c>
      <c r="L30" s="41">
        <v>16.97</v>
      </c>
      <c r="M30" s="41">
        <v>24.94</v>
      </c>
      <c r="N30" s="41">
        <v>2.1</v>
      </c>
      <c r="O30" s="41">
        <v>0</v>
      </c>
      <c r="P30" s="41">
        <v>0.56000000000000005</v>
      </c>
      <c r="Q30" s="41">
        <v>9.32</v>
      </c>
      <c r="R30" s="38"/>
      <c r="S30" s="38"/>
      <c r="T30" s="38"/>
      <c r="U30" s="38"/>
    </row>
    <row r="31" spans="1:21" customFormat="1">
      <c r="A31" s="40" t="s">
        <v>635</v>
      </c>
      <c r="B31" s="41">
        <v>6.09</v>
      </c>
      <c r="C31" s="41">
        <v>13.89</v>
      </c>
      <c r="D31" s="41">
        <v>11.88</v>
      </c>
      <c r="E31" s="41">
        <v>5.17</v>
      </c>
      <c r="F31" s="27" t="s">
        <v>8</v>
      </c>
      <c r="G31" s="41">
        <v>113.72</v>
      </c>
      <c r="H31" s="41">
        <v>44.92</v>
      </c>
      <c r="I31" s="41">
        <v>17.73</v>
      </c>
      <c r="J31" s="41">
        <v>0.39</v>
      </c>
      <c r="K31" s="41">
        <v>172.33</v>
      </c>
      <c r="L31" s="41">
        <v>16.79</v>
      </c>
      <c r="M31" s="41">
        <v>24.17</v>
      </c>
      <c r="N31" s="41">
        <v>2.1</v>
      </c>
      <c r="O31" s="41">
        <v>0</v>
      </c>
      <c r="P31" s="41">
        <v>0.57999999999999996</v>
      </c>
      <c r="Q31" s="41">
        <v>9.32</v>
      </c>
      <c r="R31" s="38"/>
      <c r="S31" s="38"/>
      <c r="T31" s="38"/>
      <c r="U31" s="38"/>
    </row>
    <row r="32" spans="1:21" customFormat="1">
      <c r="A32" s="40" t="s">
        <v>636</v>
      </c>
      <c r="B32" s="41">
        <v>6.78</v>
      </c>
      <c r="C32" s="41">
        <v>13.2</v>
      </c>
      <c r="D32" s="41">
        <v>11.96</v>
      </c>
      <c r="E32" s="41">
        <v>5.3</v>
      </c>
      <c r="F32" s="27" t="s">
        <v>8</v>
      </c>
      <c r="G32" s="41">
        <v>111.89</v>
      </c>
      <c r="H32" s="41">
        <v>46.26</v>
      </c>
      <c r="I32" s="41">
        <v>13.14</v>
      </c>
      <c r="J32" s="41">
        <v>0.21</v>
      </c>
      <c r="K32" s="41">
        <v>229.85</v>
      </c>
      <c r="L32" s="41">
        <v>19.98</v>
      </c>
      <c r="M32" s="41">
        <v>32.24</v>
      </c>
      <c r="N32" s="41">
        <v>1.8</v>
      </c>
      <c r="O32" s="41">
        <v>0</v>
      </c>
      <c r="P32" s="41">
        <v>0.57999999999999996</v>
      </c>
      <c r="Q32" s="41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3.55</v>
      </c>
      <c r="C34" s="18">
        <f t="shared" si="0"/>
        <v>13.2</v>
      </c>
      <c r="D34" s="18">
        <f t="shared" si="0"/>
        <v>11.23</v>
      </c>
      <c r="E34" s="18">
        <f t="shared" si="0"/>
        <v>4.24</v>
      </c>
      <c r="F34" s="18">
        <f t="shared" si="0"/>
        <v>0</v>
      </c>
      <c r="G34" s="18">
        <f t="shared" si="0"/>
        <v>43.51</v>
      </c>
      <c r="H34" s="18">
        <f t="shared" si="0"/>
        <v>13.97</v>
      </c>
      <c r="I34" s="18">
        <f t="shared" si="0"/>
        <v>5.99</v>
      </c>
      <c r="J34" s="18">
        <f t="shared" si="0"/>
        <v>0.15</v>
      </c>
      <c r="K34" s="18">
        <f t="shared" si="0"/>
        <v>40.46</v>
      </c>
      <c r="L34" s="18">
        <f t="shared" si="0"/>
        <v>8.31</v>
      </c>
      <c r="M34" s="18">
        <f t="shared" si="0"/>
        <v>0.84</v>
      </c>
      <c r="N34" s="18">
        <f t="shared" si="0"/>
        <v>1.6</v>
      </c>
      <c r="O34" s="18">
        <f t="shared" si="0"/>
        <v>0</v>
      </c>
      <c r="P34" s="18">
        <f t="shared" si="0"/>
        <v>0.35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26.61</v>
      </c>
      <c r="C35" s="3">
        <f t="shared" si="1"/>
        <v>27.87</v>
      </c>
      <c r="D35" s="3">
        <f t="shared" si="1"/>
        <v>29.47</v>
      </c>
      <c r="E35" s="3">
        <f t="shared" si="1"/>
        <v>12.44</v>
      </c>
      <c r="F35" s="3">
        <f t="shared" si="1"/>
        <v>0</v>
      </c>
      <c r="G35" s="3">
        <f t="shared" si="1"/>
        <v>126.73</v>
      </c>
      <c r="H35" s="3">
        <f t="shared" si="1"/>
        <v>46.26</v>
      </c>
      <c r="I35" s="3">
        <f t="shared" si="1"/>
        <v>26.65</v>
      </c>
      <c r="J35" s="3">
        <f t="shared" si="1"/>
        <v>1.04</v>
      </c>
      <c r="K35" s="3">
        <f t="shared" si="1"/>
        <v>229.85</v>
      </c>
      <c r="L35" s="3">
        <f t="shared" si="1"/>
        <v>19.98</v>
      </c>
      <c r="M35" s="3">
        <f t="shared" si="1"/>
        <v>32.24</v>
      </c>
      <c r="N35" s="3">
        <f t="shared" si="1"/>
        <v>479.9</v>
      </c>
      <c r="O35" s="3">
        <f t="shared" si="1"/>
        <v>0</v>
      </c>
      <c r="P35" s="3">
        <f t="shared" si="1"/>
        <v>0.7</v>
      </c>
      <c r="Q35" s="3">
        <f t="shared" si="1"/>
        <v>9.5299999999999994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12.862083333333333</v>
      </c>
      <c r="C36" s="18">
        <f t="shared" si="2"/>
        <v>17.323333333333327</v>
      </c>
      <c r="D36" s="18">
        <f t="shared" si="2"/>
        <v>19.219583333333333</v>
      </c>
      <c r="E36" s="18">
        <f t="shared" si="2"/>
        <v>6.6316666666666677</v>
      </c>
      <c r="F36" s="18" t="e">
        <f t="shared" si="2"/>
        <v>#DIV/0!</v>
      </c>
      <c r="G36" s="18">
        <f t="shared" si="2"/>
        <v>75.149473684210534</v>
      </c>
      <c r="H36" s="18">
        <f t="shared" si="2"/>
        <v>24.761578947368424</v>
      </c>
      <c r="I36" s="18">
        <f t="shared" si="2"/>
        <v>14.094583333333334</v>
      </c>
      <c r="J36" s="18">
        <f t="shared" si="2"/>
        <v>0.52166666666666661</v>
      </c>
      <c r="K36" s="18">
        <f t="shared" si="2"/>
        <v>116.36333333333334</v>
      </c>
      <c r="L36" s="18">
        <f t="shared" si="2"/>
        <v>14.480833333333338</v>
      </c>
      <c r="M36" s="18">
        <f t="shared" si="2"/>
        <v>16.127916666666668</v>
      </c>
      <c r="N36" s="18">
        <f t="shared" si="2"/>
        <v>115.88333333333334</v>
      </c>
      <c r="O36" s="18">
        <f t="shared" si="2"/>
        <v>0</v>
      </c>
      <c r="P36" s="18">
        <f t="shared" si="2"/>
        <v>0.58041666666666669</v>
      </c>
      <c r="Q36" s="18">
        <f t="shared" si="2"/>
        <v>9.3424999999999958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9.3802502882926557</v>
      </c>
      <c r="C37" s="18">
        <f t="shared" ref="C37:Q37" si="3">STDEV(C9:C32)</f>
        <v>3.6879906944458289</v>
      </c>
      <c r="D37" s="18">
        <f t="shared" si="3"/>
        <v>7.1136497567928512</v>
      </c>
      <c r="E37" s="18">
        <f t="shared" si="3"/>
        <v>1.9290224302044447</v>
      </c>
      <c r="F37" s="18" t="e">
        <f t="shared" si="3"/>
        <v>#DIV/0!</v>
      </c>
      <c r="G37" s="18">
        <f t="shared" si="3"/>
        <v>36.162008682176705</v>
      </c>
      <c r="H37" s="18">
        <f t="shared" si="3"/>
        <v>13.469723771463617</v>
      </c>
      <c r="I37" s="18">
        <f t="shared" si="3"/>
        <v>5.6069529655572268</v>
      </c>
      <c r="J37" s="18">
        <f t="shared" si="3"/>
        <v>0.26637121313761719</v>
      </c>
      <c r="K37" s="18">
        <f t="shared" si="3"/>
        <v>61.796047760682704</v>
      </c>
      <c r="L37" s="18">
        <f t="shared" si="3"/>
        <v>3.3806018459113916</v>
      </c>
      <c r="M37" s="18">
        <f t="shared" si="3"/>
        <v>8.6287295549161822</v>
      </c>
      <c r="N37" s="18">
        <f t="shared" si="3"/>
        <v>172.00858084426474</v>
      </c>
      <c r="O37" s="18">
        <f t="shared" si="3"/>
        <v>0</v>
      </c>
      <c r="P37" s="18">
        <f t="shared" si="3"/>
        <v>9.6750650673765801E-2</v>
      </c>
      <c r="Q37" s="18">
        <f t="shared" si="3"/>
        <v>6.2153386699847893E-2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>COUNT(F9:F32)+24</f>
        <v>24</v>
      </c>
      <c r="G38" s="34">
        <f>COUNT(G9:G32)+5</f>
        <v>24</v>
      </c>
      <c r="H38" s="34">
        <f>COUNT(H9:H32)+5</f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S32" sqref="S3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25/11/2025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637</v>
      </c>
      <c r="B9" s="41">
        <v>7.96</v>
      </c>
      <c r="C9" s="41">
        <v>12.55</v>
      </c>
      <c r="D9" s="41">
        <v>12.94</v>
      </c>
      <c r="E9" s="41">
        <v>5.63</v>
      </c>
      <c r="F9" s="28" t="s">
        <v>15</v>
      </c>
      <c r="G9" s="41">
        <v>108.72</v>
      </c>
      <c r="H9" s="41">
        <v>46.26</v>
      </c>
      <c r="I9" s="41">
        <v>14.27</v>
      </c>
      <c r="J9" s="41">
        <v>0.15</v>
      </c>
      <c r="K9" s="41">
        <v>196.61</v>
      </c>
      <c r="L9" s="41">
        <v>17.45</v>
      </c>
      <c r="M9" s="41">
        <v>25.96</v>
      </c>
      <c r="N9" s="41">
        <v>1.7</v>
      </c>
      <c r="O9" s="41">
        <v>0</v>
      </c>
      <c r="P9" s="41">
        <v>0.56999999999999995</v>
      </c>
      <c r="Q9" s="41">
        <v>9.32</v>
      </c>
      <c r="R9" s="38"/>
      <c r="S9" s="38"/>
      <c r="T9" s="38"/>
      <c r="U9" s="38"/>
    </row>
    <row r="10" spans="1:21" customFormat="1">
      <c r="A10" s="40" t="s">
        <v>638</v>
      </c>
      <c r="B10" s="41">
        <v>8.48</v>
      </c>
      <c r="C10" s="41">
        <v>12.46</v>
      </c>
      <c r="D10" s="41">
        <v>13</v>
      </c>
      <c r="E10" s="41">
        <v>5.38</v>
      </c>
      <c r="F10" s="28" t="s">
        <v>15</v>
      </c>
      <c r="G10" s="41">
        <v>104.16</v>
      </c>
      <c r="H10" s="41">
        <v>47.15</v>
      </c>
      <c r="I10" s="41">
        <v>13.54</v>
      </c>
      <c r="J10" s="41">
        <v>0.15</v>
      </c>
      <c r="K10" s="41">
        <v>232.77</v>
      </c>
      <c r="L10" s="41">
        <v>20.65</v>
      </c>
      <c r="M10" s="41">
        <v>33.909999999999997</v>
      </c>
      <c r="N10" s="41">
        <v>1.7</v>
      </c>
      <c r="O10" s="41">
        <v>0</v>
      </c>
      <c r="P10" s="41">
        <v>0.56000000000000005</v>
      </c>
      <c r="Q10" s="41">
        <v>9.32</v>
      </c>
      <c r="R10" s="38"/>
      <c r="S10" s="38"/>
      <c r="T10" s="38"/>
      <c r="U10" s="38"/>
    </row>
    <row r="11" spans="1:21" customFormat="1">
      <c r="A11" s="40" t="s">
        <v>639</v>
      </c>
      <c r="B11" s="41">
        <v>10.81</v>
      </c>
      <c r="C11" s="41">
        <v>12.5</v>
      </c>
      <c r="D11" s="41">
        <v>15.2</v>
      </c>
      <c r="E11" s="41">
        <v>5.67</v>
      </c>
      <c r="F11" s="28" t="s">
        <v>15</v>
      </c>
      <c r="G11" s="41">
        <v>102.49</v>
      </c>
      <c r="H11" s="41">
        <v>47.15</v>
      </c>
      <c r="I11" s="41">
        <v>12.75</v>
      </c>
      <c r="J11" s="41">
        <v>0.11</v>
      </c>
      <c r="K11" s="41">
        <v>190.05</v>
      </c>
      <c r="L11" s="41">
        <v>16.91</v>
      </c>
      <c r="M11" s="41">
        <v>24.69</v>
      </c>
      <c r="N11" s="41">
        <v>1.5</v>
      </c>
      <c r="O11" s="41">
        <v>0</v>
      </c>
      <c r="P11" s="41">
        <v>0.55000000000000004</v>
      </c>
      <c r="Q11" s="41">
        <v>9.32</v>
      </c>
      <c r="R11" s="38"/>
      <c r="S11" s="38"/>
      <c r="T11" s="38"/>
      <c r="U11" s="38"/>
    </row>
    <row r="12" spans="1:21" customFormat="1">
      <c r="A12" s="40" t="s">
        <v>640</v>
      </c>
      <c r="B12" s="41">
        <v>12.06</v>
      </c>
      <c r="C12" s="41">
        <v>13.64</v>
      </c>
      <c r="D12" s="41">
        <v>16.79</v>
      </c>
      <c r="E12" s="41">
        <v>5.95</v>
      </c>
      <c r="F12" s="28" t="s">
        <v>15</v>
      </c>
      <c r="G12" s="41">
        <v>96.52</v>
      </c>
      <c r="H12" s="41">
        <v>44.41</v>
      </c>
      <c r="I12" s="41">
        <v>12.09</v>
      </c>
      <c r="J12" s="41">
        <v>0.28000000000000003</v>
      </c>
      <c r="K12" s="41">
        <v>198.4</v>
      </c>
      <c r="L12" s="41">
        <v>17.489999999999998</v>
      </c>
      <c r="M12" s="41">
        <v>26.18</v>
      </c>
      <c r="N12" s="41">
        <v>1.6</v>
      </c>
      <c r="O12" s="41">
        <v>0</v>
      </c>
      <c r="P12" s="41">
        <v>0.54</v>
      </c>
      <c r="Q12" s="41">
        <v>9.32</v>
      </c>
      <c r="R12" s="38"/>
      <c r="S12" s="38"/>
      <c r="T12" s="38"/>
      <c r="U12" s="38"/>
    </row>
    <row r="13" spans="1:21" customFormat="1">
      <c r="A13" s="40" t="s">
        <v>641</v>
      </c>
      <c r="B13" s="41">
        <v>12.04</v>
      </c>
      <c r="C13" s="41">
        <v>13.52</v>
      </c>
      <c r="D13" s="41">
        <v>16.72</v>
      </c>
      <c r="E13" s="41">
        <v>5.91</v>
      </c>
      <c r="F13" s="28" t="s">
        <v>15</v>
      </c>
      <c r="G13" s="41">
        <v>99.64</v>
      </c>
      <c r="H13" s="41">
        <v>45.64</v>
      </c>
      <c r="I13" s="41">
        <v>11.43</v>
      </c>
      <c r="J13" s="41">
        <v>0.2</v>
      </c>
      <c r="K13" s="41">
        <v>184.58</v>
      </c>
      <c r="L13" s="41">
        <v>17.29</v>
      </c>
      <c r="M13" s="41">
        <v>25.72</v>
      </c>
      <c r="N13" s="41">
        <v>1.7</v>
      </c>
      <c r="O13" s="41">
        <v>0</v>
      </c>
      <c r="P13" s="41">
        <v>0.53</v>
      </c>
      <c r="Q13" s="41">
        <v>9.32</v>
      </c>
      <c r="R13" s="38"/>
      <c r="S13" s="38"/>
      <c r="T13" s="38"/>
      <c r="U13" s="38"/>
    </row>
    <row r="14" spans="1:21" customFormat="1">
      <c r="A14" s="40" t="s">
        <v>642</v>
      </c>
      <c r="B14" s="41">
        <v>13.29</v>
      </c>
      <c r="C14" s="41">
        <v>13.19</v>
      </c>
      <c r="D14" s="41">
        <v>17.47</v>
      </c>
      <c r="E14" s="41">
        <v>5.97</v>
      </c>
      <c r="F14" s="28" t="s">
        <v>15</v>
      </c>
      <c r="G14" s="41">
        <v>99.64</v>
      </c>
      <c r="H14" s="41">
        <v>45.64</v>
      </c>
      <c r="I14" s="41">
        <v>10.91</v>
      </c>
      <c r="J14" s="41">
        <v>0.18</v>
      </c>
      <c r="K14" s="41">
        <v>213.39</v>
      </c>
      <c r="L14" s="41">
        <v>18.7</v>
      </c>
      <c r="M14" s="41">
        <v>29.26</v>
      </c>
      <c r="N14" s="41">
        <v>1.7</v>
      </c>
      <c r="O14" s="41">
        <v>0</v>
      </c>
      <c r="P14" s="41">
        <v>0.52</v>
      </c>
      <c r="Q14" s="41">
        <v>9.32</v>
      </c>
      <c r="R14" s="38"/>
      <c r="S14" s="38"/>
      <c r="T14" s="38"/>
      <c r="U14" s="38"/>
    </row>
    <row r="15" spans="1:21" customFormat="1">
      <c r="A15" s="40" t="s">
        <v>643</v>
      </c>
      <c r="B15" s="41">
        <v>15.63</v>
      </c>
      <c r="C15" s="41">
        <v>13.6</v>
      </c>
      <c r="D15" s="41">
        <v>19.57</v>
      </c>
      <c r="E15" s="41">
        <v>6.01</v>
      </c>
      <c r="F15" s="28" t="s">
        <v>15</v>
      </c>
      <c r="G15" s="41">
        <v>97.8</v>
      </c>
      <c r="H15" s="41">
        <v>46.69</v>
      </c>
      <c r="I15" s="41">
        <v>10.49</v>
      </c>
      <c r="J15" s="41">
        <v>0.18</v>
      </c>
      <c r="K15" s="41">
        <v>188.52</v>
      </c>
      <c r="L15" s="41">
        <v>17.23</v>
      </c>
      <c r="M15" s="41">
        <v>25.32</v>
      </c>
      <c r="N15" s="41">
        <v>23.4</v>
      </c>
      <c r="O15" s="41">
        <v>0</v>
      </c>
      <c r="P15" s="41">
        <v>0.53</v>
      </c>
      <c r="Q15" s="41">
        <v>9.32</v>
      </c>
      <c r="R15" s="38"/>
      <c r="S15" s="38"/>
      <c r="T15" s="38"/>
      <c r="U15" s="38"/>
    </row>
    <row r="16" spans="1:21" customFormat="1">
      <c r="A16" s="40" t="s">
        <v>644</v>
      </c>
      <c r="B16" s="41">
        <v>16.559999999999999</v>
      </c>
      <c r="C16" s="41">
        <v>14.62</v>
      </c>
      <c r="D16" s="41">
        <v>20.92</v>
      </c>
      <c r="E16" s="41">
        <v>6.03</v>
      </c>
      <c r="F16" s="28" t="s">
        <v>15</v>
      </c>
      <c r="G16" s="41">
        <v>106.85</v>
      </c>
      <c r="H16" s="41">
        <v>46.69</v>
      </c>
      <c r="I16" s="41">
        <v>10.59</v>
      </c>
      <c r="J16" s="41">
        <v>0.55000000000000004</v>
      </c>
      <c r="K16" s="41">
        <v>39.17</v>
      </c>
      <c r="L16" s="41">
        <v>13.5</v>
      </c>
      <c r="M16" s="41">
        <v>13.43</v>
      </c>
      <c r="N16" s="41">
        <v>104.7</v>
      </c>
      <c r="O16" s="41">
        <v>0</v>
      </c>
      <c r="P16" s="41">
        <v>0.56999999999999995</v>
      </c>
      <c r="Q16" s="41">
        <v>9.32</v>
      </c>
      <c r="R16" s="38"/>
      <c r="S16" s="38"/>
      <c r="T16" s="38"/>
      <c r="U16" s="38"/>
    </row>
    <row r="17" spans="1:21" customFormat="1">
      <c r="A17" s="40" t="s">
        <v>645</v>
      </c>
      <c r="B17" s="41">
        <v>16.690000000000001</v>
      </c>
      <c r="C17" s="41">
        <v>15.04</v>
      </c>
      <c r="D17" s="41">
        <v>21.2</v>
      </c>
      <c r="E17" s="41">
        <v>6.24</v>
      </c>
      <c r="F17" s="28" t="s">
        <v>15</v>
      </c>
      <c r="G17" s="41">
        <v>123.18</v>
      </c>
      <c r="H17" s="41">
        <v>48.69</v>
      </c>
      <c r="I17" s="41">
        <v>10.91</v>
      </c>
      <c r="J17" s="41">
        <v>0.76</v>
      </c>
      <c r="K17" s="41">
        <v>40.409999999999997</v>
      </c>
      <c r="L17" s="41">
        <v>12.01</v>
      </c>
      <c r="M17" s="41">
        <v>7.12</v>
      </c>
      <c r="N17" s="41">
        <v>231.1</v>
      </c>
      <c r="O17" s="41">
        <v>0</v>
      </c>
      <c r="P17" s="41">
        <v>0.59</v>
      </c>
      <c r="Q17" s="41">
        <v>9.32</v>
      </c>
      <c r="R17" s="38"/>
      <c r="S17" s="38"/>
      <c r="T17" s="38"/>
      <c r="U17" s="38"/>
    </row>
    <row r="18" spans="1:21" customFormat="1">
      <c r="A18" s="40" t="s">
        <v>646</v>
      </c>
      <c r="B18" s="41">
        <v>16.04</v>
      </c>
      <c r="C18" s="41">
        <v>15.09</v>
      </c>
      <c r="D18" s="41">
        <v>20.61</v>
      </c>
      <c r="E18" s="41">
        <v>6.55</v>
      </c>
      <c r="F18" s="28" t="s">
        <v>15</v>
      </c>
      <c r="G18" s="41">
        <v>125.56</v>
      </c>
      <c r="H18" s="41">
        <v>54.78</v>
      </c>
      <c r="I18" s="41">
        <v>10.95</v>
      </c>
      <c r="J18" s="41">
        <v>0.98</v>
      </c>
      <c r="K18" s="41">
        <v>55.99</v>
      </c>
      <c r="L18" s="41">
        <v>12.14</v>
      </c>
      <c r="M18" s="41">
        <v>5.45</v>
      </c>
      <c r="N18" s="41">
        <v>298.10000000000002</v>
      </c>
      <c r="O18" s="41">
        <v>0</v>
      </c>
      <c r="P18" s="41">
        <v>0.59</v>
      </c>
      <c r="Q18" s="41">
        <v>9.32</v>
      </c>
      <c r="R18" s="38"/>
      <c r="S18" s="38"/>
      <c r="T18" s="38"/>
      <c r="U18" s="38"/>
    </row>
    <row r="19" spans="1:21" customFormat="1">
      <c r="A19" s="40" t="s">
        <v>647</v>
      </c>
      <c r="B19" s="41">
        <v>14.67</v>
      </c>
      <c r="C19" s="41">
        <v>15.26</v>
      </c>
      <c r="D19" s="41">
        <v>19.690000000000001</v>
      </c>
      <c r="E19" s="41">
        <v>5.98</v>
      </c>
      <c r="F19" s="28" t="s">
        <v>15</v>
      </c>
      <c r="G19" s="41">
        <v>128.25</v>
      </c>
      <c r="H19" s="41">
        <v>54.78</v>
      </c>
      <c r="I19" s="41">
        <v>10.9</v>
      </c>
      <c r="J19" s="41">
        <v>0.94</v>
      </c>
      <c r="K19" s="41">
        <v>54.46</v>
      </c>
      <c r="L19" s="41">
        <v>13.19</v>
      </c>
      <c r="M19" s="41">
        <v>5.57</v>
      </c>
      <c r="N19" s="41">
        <v>405.8</v>
      </c>
      <c r="O19" s="41">
        <v>0</v>
      </c>
      <c r="P19" s="41">
        <v>0.6</v>
      </c>
      <c r="Q19" s="41">
        <v>9.32</v>
      </c>
      <c r="R19" s="38"/>
      <c r="S19" s="38"/>
      <c r="T19" s="38"/>
      <c r="U19" s="38"/>
    </row>
    <row r="20" spans="1:21" customFormat="1">
      <c r="A20" s="40" t="s">
        <v>648</v>
      </c>
      <c r="B20" s="41">
        <v>11.58</v>
      </c>
      <c r="C20" s="41">
        <v>15.33</v>
      </c>
      <c r="D20" s="41">
        <v>17.27</v>
      </c>
      <c r="E20" s="41">
        <v>6.25</v>
      </c>
      <c r="F20" s="28" t="s">
        <v>15</v>
      </c>
      <c r="G20" s="41">
        <v>128.25</v>
      </c>
      <c r="H20" s="41">
        <v>50.98</v>
      </c>
      <c r="I20" s="41">
        <v>10.83</v>
      </c>
      <c r="J20" s="41">
        <v>0.83</v>
      </c>
      <c r="K20" s="41">
        <v>69.8</v>
      </c>
      <c r="L20" s="41">
        <v>16.38</v>
      </c>
      <c r="M20" s="41">
        <v>13.22</v>
      </c>
      <c r="N20" s="41">
        <v>433</v>
      </c>
      <c r="O20" s="41">
        <v>0</v>
      </c>
      <c r="P20" s="41">
        <v>0.59</v>
      </c>
      <c r="Q20" s="41">
        <v>9.32</v>
      </c>
      <c r="R20" s="38"/>
      <c r="S20" s="38"/>
      <c r="T20" s="38"/>
      <c r="U20" s="38"/>
    </row>
    <row r="21" spans="1:21" customFormat="1">
      <c r="A21" s="40" t="s">
        <v>649</v>
      </c>
      <c r="B21" s="41">
        <v>8</v>
      </c>
      <c r="C21" s="41">
        <v>15.43</v>
      </c>
      <c r="D21" s="41">
        <v>14.47</v>
      </c>
      <c r="E21" s="41">
        <v>7.64</v>
      </c>
      <c r="F21" s="28" t="s">
        <v>15</v>
      </c>
      <c r="G21" s="41">
        <v>124.48</v>
      </c>
      <c r="H21" s="41">
        <v>50.56</v>
      </c>
      <c r="I21" s="41">
        <v>10.59</v>
      </c>
      <c r="J21" s="41">
        <v>0.92</v>
      </c>
      <c r="K21" s="41">
        <v>62.92</v>
      </c>
      <c r="L21" s="41">
        <v>15.37</v>
      </c>
      <c r="M21" s="41">
        <v>10.36</v>
      </c>
      <c r="N21" s="41">
        <v>431.2</v>
      </c>
      <c r="O21" s="41">
        <v>0</v>
      </c>
      <c r="P21" s="41">
        <v>0.57999999999999996</v>
      </c>
      <c r="Q21" s="41">
        <v>9.74</v>
      </c>
      <c r="R21" s="38"/>
      <c r="S21" s="38"/>
      <c r="T21" s="38"/>
      <c r="U21" s="38"/>
    </row>
    <row r="22" spans="1:21" customFormat="1">
      <c r="A22" s="40" t="s">
        <v>650</v>
      </c>
      <c r="B22" s="41">
        <v>4.88</v>
      </c>
      <c r="C22" s="41">
        <v>15.37</v>
      </c>
      <c r="D22" s="41">
        <v>11.94</v>
      </c>
      <c r="E22" s="41">
        <v>6.42</v>
      </c>
      <c r="F22" s="28" t="s">
        <v>15</v>
      </c>
      <c r="G22" s="41">
        <v>114.02</v>
      </c>
      <c r="H22" s="41">
        <v>50.4</v>
      </c>
      <c r="I22" s="41">
        <v>10.14</v>
      </c>
      <c r="J22" s="41">
        <v>0.81</v>
      </c>
      <c r="K22" s="41">
        <v>58.64</v>
      </c>
      <c r="L22" s="41">
        <v>15.06</v>
      </c>
      <c r="M22" s="41">
        <v>11</v>
      </c>
      <c r="N22" s="41">
        <v>372</v>
      </c>
      <c r="O22" s="41">
        <v>0</v>
      </c>
      <c r="P22" s="41">
        <v>0.54</v>
      </c>
      <c r="Q22" s="41">
        <v>9.69</v>
      </c>
      <c r="R22" s="38"/>
      <c r="S22" s="38"/>
      <c r="T22" s="38"/>
      <c r="U22" s="38"/>
    </row>
    <row r="23" spans="1:21" customFormat="1">
      <c r="A23" s="40" t="s">
        <v>651</v>
      </c>
      <c r="B23" s="41">
        <v>3.59</v>
      </c>
      <c r="C23" s="41">
        <v>14.74</v>
      </c>
      <c r="D23" s="41">
        <v>10.58</v>
      </c>
      <c r="E23" s="41">
        <v>6.34</v>
      </c>
      <c r="F23" s="28" t="s">
        <v>15</v>
      </c>
      <c r="G23" s="41">
        <v>114</v>
      </c>
      <c r="H23" s="41">
        <v>50.4</v>
      </c>
      <c r="I23" s="41">
        <v>9.85</v>
      </c>
      <c r="J23" s="41">
        <v>0.56999999999999995</v>
      </c>
      <c r="K23" s="41">
        <v>70.02</v>
      </c>
      <c r="L23" s="41">
        <v>12.69</v>
      </c>
      <c r="M23" s="41">
        <v>10.86</v>
      </c>
      <c r="N23" s="41">
        <v>143.69999999999999</v>
      </c>
      <c r="O23" s="41">
        <v>0</v>
      </c>
      <c r="P23" s="41">
        <v>0.51</v>
      </c>
      <c r="Q23" s="41">
        <v>9.8699999999999992</v>
      </c>
      <c r="R23" s="38"/>
      <c r="S23" s="38"/>
      <c r="T23" s="38"/>
      <c r="U23" s="38"/>
    </row>
    <row r="24" spans="1:21" customFormat="1">
      <c r="A24" s="40" t="s">
        <v>652</v>
      </c>
      <c r="B24" s="41">
        <v>3.55</v>
      </c>
      <c r="C24" s="41">
        <v>14.73</v>
      </c>
      <c r="D24" s="41">
        <v>10.54</v>
      </c>
      <c r="E24" s="41">
        <v>6.27</v>
      </c>
      <c r="F24" s="28" t="s">
        <v>15</v>
      </c>
      <c r="G24" s="41">
        <v>109.34</v>
      </c>
      <c r="H24" s="41">
        <v>49.83</v>
      </c>
      <c r="I24" s="41">
        <v>9.51</v>
      </c>
      <c r="J24" s="41">
        <v>0.55000000000000004</v>
      </c>
      <c r="K24" s="41">
        <v>97.92</v>
      </c>
      <c r="L24" s="41">
        <v>12.67</v>
      </c>
      <c r="M24" s="41">
        <v>12.12</v>
      </c>
      <c r="N24" s="41">
        <v>91.8</v>
      </c>
      <c r="O24" s="41">
        <v>0</v>
      </c>
      <c r="P24" s="41">
        <v>0.51</v>
      </c>
      <c r="Q24" s="41">
        <v>9.39</v>
      </c>
      <c r="R24" s="38"/>
      <c r="S24" s="38"/>
      <c r="T24" s="38"/>
      <c r="U24" s="38"/>
    </row>
    <row r="25" spans="1:21" customFormat="1">
      <c r="A25" s="40" t="s">
        <v>653</v>
      </c>
      <c r="B25" s="41">
        <v>3.78</v>
      </c>
      <c r="C25" s="41">
        <v>15.2</v>
      </c>
      <c r="D25" s="41">
        <v>10.9</v>
      </c>
      <c r="E25" s="41">
        <v>6.05</v>
      </c>
      <c r="F25" s="28" t="s">
        <v>15</v>
      </c>
      <c r="G25" s="41">
        <v>109.48</v>
      </c>
      <c r="H25" s="41">
        <v>49.07</v>
      </c>
      <c r="I25" s="41">
        <v>9.64</v>
      </c>
      <c r="J25" s="41">
        <v>0.42</v>
      </c>
      <c r="K25" s="41">
        <v>129.69</v>
      </c>
      <c r="L25" s="41">
        <v>13.32</v>
      </c>
      <c r="M25" s="41">
        <v>15.44</v>
      </c>
      <c r="N25" s="41">
        <v>43.7</v>
      </c>
      <c r="O25" s="41">
        <v>0</v>
      </c>
      <c r="P25" s="41">
        <v>0.5</v>
      </c>
      <c r="Q25" s="41">
        <v>9.43</v>
      </c>
      <c r="R25" s="38"/>
      <c r="S25" s="38"/>
      <c r="T25" s="38"/>
      <c r="U25" s="38"/>
    </row>
    <row r="26" spans="1:21" customFormat="1">
      <c r="A26" s="40" t="s">
        <v>654</v>
      </c>
      <c r="B26" s="41">
        <v>4.5199999999999996</v>
      </c>
      <c r="C26" s="41">
        <v>15.89</v>
      </c>
      <c r="D26" s="41">
        <v>11.92</v>
      </c>
      <c r="E26" s="41">
        <v>5.74</v>
      </c>
      <c r="F26" s="28" t="s">
        <v>15</v>
      </c>
      <c r="G26" s="41">
        <v>121.13</v>
      </c>
      <c r="H26" s="41">
        <v>51.18</v>
      </c>
      <c r="I26" s="41">
        <v>12.13</v>
      </c>
      <c r="J26" s="41">
        <v>0.34</v>
      </c>
      <c r="K26" s="41">
        <v>141.02000000000001</v>
      </c>
      <c r="L26" s="41">
        <v>13.4</v>
      </c>
      <c r="M26" s="41">
        <v>15.85</v>
      </c>
      <c r="N26" s="41">
        <v>6.6</v>
      </c>
      <c r="O26" s="41">
        <v>0</v>
      </c>
      <c r="P26" s="41">
        <v>0.54</v>
      </c>
      <c r="Q26" s="41">
        <v>9.56</v>
      </c>
      <c r="R26" s="38"/>
      <c r="S26" s="38"/>
      <c r="T26" s="38"/>
      <c r="U26" s="38"/>
    </row>
    <row r="27" spans="1:21" customFormat="1">
      <c r="A27" s="40" t="s">
        <v>655</v>
      </c>
      <c r="B27" s="41">
        <v>5.63</v>
      </c>
      <c r="C27" s="41">
        <v>15.99</v>
      </c>
      <c r="D27" s="41">
        <v>12.57</v>
      </c>
      <c r="E27" s="41">
        <v>5.96</v>
      </c>
      <c r="F27" s="28" t="s">
        <v>15</v>
      </c>
      <c r="G27" s="41">
        <v>141.13999999999999</v>
      </c>
      <c r="H27" s="41">
        <v>52.16</v>
      </c>
      <c r="I27" s="41">
        <v>14.32</v>
      </c>
      <c r="J27" s="41">
        <v>0.23</v>
      </c>
      <c r="K27" s="41">
        <v>171.73</v>
      </c>
      <c r="L27" s="41">
        <v>15.84</v>
      </c>
      <c r="M27" s="41">
        <v>21.9</v>
      </c>
      <c r="N27" s="41">
        <v>2.1</v>
      </c>
      <c r="O27" s="41">
        <v>0</v>
      </c>
      <c r="P27" s="41">
        <v>0.59</v>
      </c>
      <c r="Q27" s="41">
        <v>9.41</v>
      </c>
      <c r="R27" s="38"/>
      <c r="S27" s="38"/>
      <c r="T27" s="38"/>
      <c r="U27" s="38"/>
    </row>
    <row r="28" spans="1:21" customFormat="1">
      <c r="A28" s="40" t="s">
        <v>656</v>
      </c>
      <c r="B28" s="41">
        <v>6.13</v>
      </c>
      <c r="C28" s="41">
        <v>14.75</v>
      </c>
      <c r="D28" s="41">
        <v>12.32</v>
      </c>
      <c r="E28" s="41">
        <v>5.72</v>
      </c>
      <c r="F28" s="28" t="s">
        <v>15</v>
      </c>
      <c r="G28" s="41">
        <v>175.11</v>
      </c>
      <c r="H28" s="41">
        <v>58.04</v>
      </c>
      <c r="I28" s="41">
        <v>14.11</v>
      </c>
      <c r="J28" s="41">
        <v>0.27</v>
      </c>
      <c r="K28" s="41">
        <v>182.71</v>
      </c>
      <c r="L28" s="41">
        <v>17.059999999999999</v>
      </c>
      <c r="M28" s="41">
        <v>24.95</v>
      </c>
      <c r="N28" s="41">
        <v>2.4</v>
      </c>
      <c r="O28" s="41">
        <v>0</v>
      </c>
      <c r="P28" s="41">
        <v>0.6</v>
      </c>
      <c r="Q28" s="41">
        <v>9.43</v>
      </c>
      <c r="R28" s="38"/>
      <c r="S28" s="38"/>
      <c r="T28" s="38"/>
      <c r="U28" s="38"/>
    </row>
    <row r="29" spans="1:21" customFormat="1">
      <c r="A29" s="40" t="s">
        <v>657</v>
      </c>
      <c r="B29" s="41">
        <v>6.63</v>
      </c>
      <c r="C29" s="41">
        <v>13.68</v>
      </c>
      <c r="D29" s="41">
        <v>12.19</v>
      </c>
      <c r="E29" s="41">
        <v>5.56</v>
      </c>
      <c r="F29" s="28" t="s">
        <v>15</v>
      </c>
      <c r="G29" s="41">
        <v>175.11</v>
      </c>
      <c r="H29" s="41">
        <v>58.15</v>
      </c>
      <c r="I29" s="41">
        <v>13.61</v>
      </c>
      <c r="J29" s="41">
        <v>0.2</v>
      </c>
      <c r="K29" s="41">
        <v>206.66</v>
      </c>
      <c r="L29" s="41">
        <v>18.510000000000002</v>
      </c>
      <c r="M29" s="41">
        <v>28.54</v>
      </c>
      <c r="N29" s="41">
        <v>2</v>
      </c>
      <c r="O29" s="41">
        <v>0</v>
      </c>
      <c r="P29" s="41">
        <v>0.61</v>
      </c>
      <c r="Q29" s="41">
        <v>9.32</v>
      </c>
      <c r="R29" s="38"/>
      <c r="S29" s="38"/>
      <c r="T29" s="38"/>
      <c r="U29" s="38"/>
    </row>
    <row r="30" spans="1:21" customFormat="1">
      <c r="A30" s="40" t="s">
        <v>658</v>
      </c>
      <c r="B30" s="41">
        <v>7.63</v>
      </c>
      <c r="C30" s="41">
        <v>13.5</v>
      </c>
      <c r="D30" s="41">
        <v>13.17</v>
      </c>
      <c r="E30" s="41">
        <v>5.58</v>
      </c>
      <c r="F30" s="28" t="s">
        <v>15</v>
      </c>
      <c r="G30" s="41">
        <v>155.86000000000001</v>
      </c>
      <c r="H30" s="41">
        <v>58.15</v>
      </c>
      <c r="I30" s="41">
        <v>13.16</v>
      </c>
      <c r="J30" s="41">
        <v>0.18</v>
      </c>
      <c r="K30" s="41">
        <v>160.11000000000001</v>
      </c>
      <c r="L30" s="41">
        <v>14.81</v>
      </c>
      <c r="M30" s="41">
        <v>19.32</v>
      </c>
      <c r="N30" s="41">
        <v>1.7</v>
      </c>
      <c r="O30" s="41">
        <v>0</v>
      </c>
      <c r="P30" s="41">
        <v>0.63</v>
      </c>
      <c r="Q30" s="41">
        <v>9.32</v>
      </c>
      <c r="R30" s="38"/>
      <c r="S30" s="38"/>
      <c r="T30" s="38"/>
      <c r="U30" s="38"/>
    </row>
    <row r="31" spans="1:21" customFormat="1">
      <c r="A31" s="40" t="s">
        <v>659</v>
      </c>
      <c r="B31" s="41">
        <v>7.86</v>
      </c>
      <c r="C31" s="41">
        <v>13.9</v>
      </c>
      <c r="D31" s="41">
        <v>13.48</v>
      </c>
      <c r="E31" s="41">
        <v>5.88</v>
      </c>
      <c r="F31" s="28" t="s">
        <v>15</v>
      </c>
      <c r="G31" s="41">
        <v>141.43</v>
      </c>
      <c r="H31" s="41">
        <v>57.51</v>
      </c>
      <c r="I31" s="41">
        <v>12.76</v>
      </c>
      <c r="J31" s="41">
        <v>0.14000000000000001</v>
      </c>
      <c r="K31" s="41">
        <v>186.7</v>
      </c>
      <c r="L31" s="41">
        <v>17.73</v>
      </c>
      <c r="M31" s="41">
        <v>26.53</v>
      </c>
      <c r="N31" s="41">
        <v>1.9</v>
      </c>
      <c r="O31" s="41">
        <v>0</v>
      </c>
      <c r="P31" s="41">
        <v>0.63</v>
      </c>
      <c r="Q31" s="41">
        <v>9.32</v>
      </c>
      <c r="R31" s="38"/>
      <c r="S31" s="38"/>
      <c r="T31" s="38"/>
      <c r="U31" s="38"/>
    </row>
    <row r="32" spans="1:21" customFormat="1">
      <c r="A32" s="40" t="s">
        <v>660</v>
      </c>
      <c r="B32" s="41">
        <v>7.7</v>
      </c>
      <c r="C32" s="41">
        <v>14.54</v>
      </c>
      <c r="D32" s="41">
        <v>13.68</v>
      </c>
      <c r="E32" s="41">
        <v>5.64</v>
      </c>
      <c r="F32" s="28" t="s">
        <v>15</v>
      </c>
      <c r="G32" s="41">
        <v>129.52000000000001</v>
      </c>
      <c r="H32" s="41">
        <v>55.96</v>
      </c>
      <c r="I32" s="41">
        <v>12.39</v>
      </c>
      <c r="J32" s="41">
        <v>0.2</v>
      </c>
      <c r="K32" s="41">
        <v>201.02</v>
      </c>
      <c r="L32" s="41">
        <v>18</v>
      </c>
      <c r="M32" s="41">
        <v>27.48</v>
      </c>
      <c r="N32" s="41">
        <v>2</v>
      </c>
      <c r="O32" s="41">
        <v>0</v>
      </c>
      <c r="P32" s="41">
        <v>0.62</v>
      </c>
      <c r="Q32" s="41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3.55</v>
      </c>
      <c r="C34" s="18">
        <f t="shared" si="0"/>
        <v>12.46</v>
      </c>
      <c r="D34" s="18">
        <f t="shared" si="0"/>
        <v>10.54</v>
      </c>
      <c r="E34" s="18">
        <f t="shared" si="0"/>
        <v>5.38</v>
      </c>
      <c r="F34" s="18">
        <f t="shared" si="0"/>
        <v>0</v>
      </c>
      <c r="G34" s="18">
        <f t="shared" si="0"/>
        <v>96.52</v>
      </c>
      <c r="H34" s="18">
        <f t="shared" si="0"/>
        <v>44.41</v>
      </c>
      <c r="I34" s="18">
        <f t="shared" si="0"/>
        <v>9.51</v>
      </c>
      <c r="J34" s="18">
        <f t="shared" si="0"/>
        <v>0.11</v>
      </c>
      <c r="K34" s="18">
        <f t="shared" si="0"/>
        <v>39.17</v>
      </c>
      <c r="L34" s="18">
        <f t="shared" si="0"/>
        <v>12.01</v>
      </c>
      <c r="M34" s="18">
        <f t="shared" si="0"/>
        <v>5.45</v>
      </c>
      <c r="N34" s="18">
        <f t="shared" si="0"/>
        <v>1.5</v>
      </c>
      <c r="O34" s="18">
        <f t="shared" si="0"/>
        <v>0</v>
      </c>
      <c r="P34" s="18">
        <f t="shared" si="0"/>
        <v>0.5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16.690000000000001</v>
      </c>
      <c r="C35" s="3">
        <f t="shared" si="1"/>
        <v>15.99</v>
      </c>
      <c r="D35" s="3">
        <f t="shared" si="1"/>
        <v>21.2</v>
      </c>
      <c r="E35" s="3">
        <f t="shared" si="1"/>
        <v>7.64</v>
      </c>
      <c r="F35" s="3">
        <f t="shared" si="1"/>
        <v>0</v>
      </c>
      <c r="G35" s="3">
        <f t="shared" si="1"/>
        <v>175.11</v>
      </c>
      <c r="H35" s="3">
        <f t="shared" si="1"/>
        <v>58.15</v>
      </c>
      <c r="I35" s="3">
        <f t="shared" si="1"/>
        <v>14.32</v>
      </c>
      <c r="J35" s="3">
        <f t="shared" si="1"/>
        <v>0.98</v>
      </c>
      <c r="K35" s="3">
        <f t="shared" si="1"/>
        <v>232.77</v>
      </c>
      <c r="L35" s="3">
        <f t="shared" si="1"/>
        <v>20.65</v>
      </c>
      <c r="M35" s="3">
        <f t="shared" si="1"/>
        <v>33.909999999999997</v>
      </c>
      <c r="N35" s="3">
        <f t="shared" si="1"/>
        <v>433</v>
      </c>
      <c r="O35" s="3">
        <f t="shared" si="1"/>
        <v>0</v>
      </c>
      <c r="P35" s="3">
        <f t="shared" si="1"/>
        <v>0.63</v>
      </c>
      <c r="Q35" s="3">
        <f t="shared" si="1"/>
        <v>9.8699999999999992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9.4045833333333331</v>
      </c>
      <c r="C36" s="18">
        <f t="shared" si="2"/>
        <v>14.355000000000002</v>
      </c>
      <c r="D36" s="18">
        <f t="shared" si="2"/>
        <v>14.964166666666669</v>
      </c>
      <c r="E36" s="18">
        <f t="shared" si="2"/>
        <v>6.015416666666666</v>
      </c>
      <c r="F36" s="18" t="e">
        <f t="shared" si="2"/>
        <v>#DIV/0!</v>
      </c>
      <c r="G36" s="18">
        <f t="shared" si="2"/>
        <v>122.15333333333332</v>
      </c>
      <c r="H36" s="18">
        <f t="shared" si="2"/>
        <v>50.84458333333334</v>
      </c>
      <c r="I36" s="18">
        <f t="shared" si="2"/>
        <v>11.744583333333336</v>
      </c>
      <c r="J36" s="18">
        <f t="shared" si="2"/>
        <v>0.42249999999999993</v>
      </c>
      <c r="K36" s="18">
        <f t="shared" si="2"/>
        <v>138.88708333333335</v>
      </c>
      <c r="L36" s="18">
        <f t="shared" si="2"/>
        <v>15.725</v>
      </c>
      <c r="M36" s="18">
        <f t="shared" si="2"/>
        <v>19.174166666666668</v>
      </c>
      <c r="N36" s="18">
        <f t="shared" si="2"/>
        <v>108.62916666666665</v>
      </c>
      <c r="O36" s="18">
        <f t="shared" si="2"/>
        <v>0</v>
      </c>
      <c r="P36" s="18">
        <f t="shared" si="2"/>
        <v>0.56666666666666654</v>
      </c>
      <c r="Q36" s="18">
        <f t="shared" si="2"/>
        <v>9.4016666666666655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4.3771312614211331</v>
      </c>
      <c r="C37" s="18">
        <f t="shared" ref="C37:Q37" si="3">STDEV(C9:C32)</f>
        <v>1.0647963675500711</v>
      </c>
      <c r="D37" s="18">
        <f t="shared" si="3"/>
        <v>3.472015974550835</v>
      </c>
      <c r="E37" s="18">
        <f t="shared" si="3"/>
        <v>0.45581250117990846</v>
      </c>
      <c r="F37" s="18" t="e">
        <f t="shared" si="3"/>
        <v>#DIV/0!</v>
      </c>
      <c r="G37" s="18">
        <f t="shared" si="3"/>
        <v>22.332560877837544</v>
      </c>
      <c r="H37" s="18">
        <f t="shared" si="3"/>
        <v>4.4215843896156448</v>
      </c>
      <c r="I37" s="18">
        <f t="shared" si="3"/>
        <v>1.5257043396031711</v>
      </c>
      <c r="J37" s="18">
        <f t="shared" si="3"/>
        <v>0.29846345636042065</v>
      </c>
      <c r="K37" s="18">
        <f t="shared" si="3"/>
        <v>65.84943415155297</v>
      </c>
      <c r="L37" s="18">
        <f t="shared" si="3"/>
        <v>2.4106791393803473</v>
      </c>
      <c r="M37" s="18">
        <f t="shared" si="3"/>
        <v>8.4756202372331995</v>
      </c>
      <c r="N37" s="18">
        <f t="shared" si="3"/>
        <v>158.54291280052655</v>
      </c>
      <c r="O37" s="18">
        <f t="shared" si="3"/>
        <v>0</v>
      </c>
      <c r="P37" s="18">
        <f t="shared" si="3"/>
        <v>3.9305566224542329E-2</v>
      </c>
      <c r="Q37" s="18">
        <f t="shared" si="3"/>
        <v>0.15471338624714379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0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&lt;90%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LESS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H21" sqref="H21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26/11/2025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661</v>
      </c>
      <c r="B9" s="41">
        <v>6.67</v>
      </c>
      <c r="C9" s="41">
        <v>13.64</v>
      </c>
      <c r="D9" s="41">
        <v>12.38</v>
      </c>
      <c r="E9" s="41">
        <v>5.49</v>
      </c>
      <c r="F9" s="28" t="s">
        <v>15</v>
      </c>
      <c r="G9" s="41">
        <v>117.14</v>
      </c>
      <c r="H9" s="41">
        <v>52.98</v>
      </c>
      <c r="I9" s="41">
        <v>11.59</v>
      </c>
      <c r="J9" s="41">
        <v>0.18</v>
      </c>
      <c r="K9" s="41">
        <v>232.17</v>
      </c>
      <c r="L9" s="41">
        <v>20.350000000000001</v>
      </c>
      <c r="M9" s="41">
        <v>33.32</v>
      </c>
      <c r="N9" s="41">
        <v>1.8</v>
      </c>
      <c r="O9" s="41">
        <v>0</v>
      </c>
      <c r="P9" s="41">
        <v>0.59</v>
      </c>
      <c r="Q9" s="41">
        <v>9.32</v>
      </c>
      <c r="R9" s="38"/>
      <c r="S9" s="38"/>
      <c r="T9" s="38"/>
      <c r="U9" s="38"/>
    </row>
    <row r="10" spans="1:21" customFormat="1">
      <c r="A10" s="40" t="s">
        <v>662</v>
      </c>
      <c r="B10" s="41">
        <v>6.11</v>
      </c>
      <c r="C10" s="41">
        <v>13.28</v>
      </c>
      <c r="D10" s="41">
        <v>11.84</v>
      </c>
      <c r="E10" s="41">
        <v>5.34</v>
      </c>
      <c r="F10" s="28" t="s">
        <v>15</v>
      </c>
      <c r="G10" s="41">
        <v>112.61</v>
      </c>
      <c r="H10" s="41">
        <v>51.2</v>
      </c>
      <c r="I10" s="41">
        <v>11.04</v>
      </c>
      <c r="J10" s="41">
        <v>0.16</v>
      </c>
      <c r="K10" s="41">
        <v>213.73</v>
      </c>
      <c r="L10" s="41">
        <v>18.8</v>
      </c>
      <c r="M10" s="41">
        <v>29.42</v>
      </c>
      <c r="N10" s="41">
        <v>1.7</v>
      </c>
      <c r="O10" s="41">
        <v>0</v>
      </c>
      <c r="P10" s="41">
        <v>0.57999999999999996</v>
      </c>
      <c r="Q10" s="41">
        <v>9.4</v>
      </c>
      <c r="R10" s="38"/>
      <c r="S10" s="38"/>
      <c r="T10" s="38"/>
      <c r="U10" s="38"/>
    </row>
    <row r="11" spans="1:21" customFormat="1">
      <c r="A11" s="40" t="s">
        <v>663</v>
      </c>
      <c r="B11" s="41">
        <v>10.88</v>
      </c>
      <c r="C11" s="41">
        <v>14.59</v>
      </c>
      <c r="D11" s="41">
        <v>16.350000000000001</v>
      </c>
      <c r="E11" s="41">
        <v>5.93</v>
      </c>
      <c r="F11" s="28" t="s">
        <v>15</v>
      </c>
      <c r="G11" s="41">
        <v>111.54</v>
      </c>
      <c r="H11" s="41">
        <v>50.55</v>
      </c>
      <c r="I11" s="41">
        <v>10.75</v>
      </c>
      <c r="J11" s="41">
        <v>0.18</v>
      </c>
      <c r="K11" s="41">
        <v>212.18</v>
      </c>
      <c r="L11" s="41">
        <v>18.87</v>
      </c>
      <c r="M11" s="41">
        <v>29.66</v>
      </c>
      <c r="N11" s="41">
        <v>1.7</v>
      </c>
      <c r="O11" s="41">
        <v>0</v>
      </c>
      <c r="P11" s="41">
        <v>0.56999999999999995</v>
      </c>
      <c r="Q11" s="41">
        <v>9.32</v>
      </c>
      <c r="R11" s="38"/>
      <c r="S11" s="38"/>
      <c r="T11" s="38"/>
      <c r="U11" s="38"/>
    </row>
    <row r="12" spans="1:21" customFormat="1">
      <c r="A12" s="40" t="s">
        <v>664</v>
      </c>
      <c r="B12" s="41">
        <v>11.3</v>
      </c>
      <c r="C12" s="41">
        <v>14.38</v>
      </c>
      <c r="D12" s="41">
        <v>16.399999999999999</v>
      </c>
      <c r="E12" s="41">
        <v>5.95</v>
      </c>
      <c r="F12" s="28" t="s">
        <v>15</v>
      </c>
      <c r="G12" s="41">
        <v>111.54</v>
      </c>
      <c r="H12" s="41">
        <v>48.25</v>
      </c>
      <c r="I12" s="41">
        <v>10.66</v>
      </c>
      <c r="J12" s="41">
        <v>0.15</v>
      </c>
      <c r="K12" s="41">
        <v>216.56</v>
      </c>
      <c r="L12" s="41">
        <v>19.23</v>
      </c>
      <c r="M12" s="41">
        <v>30.43</v>
      </c>
      <c r="N12" s="41">
        <v>1.8</v>
      </c>
      <c r="O12" s="41">
        <v>0</v>
      </c>
      <c r="P12" s="41">
        <v>0.56999999999999995</v>
      </c>
      <c r="Q12" s="41">
        <v>9.39</v>
      </c>
      <c r="R12" s="38"/>
      <c r="S12" s="38"/>
      <c r="T12" s="38"/>
      <c r="U12" s="38"/>
    </row>
    <row r="13" spans="1:21" customFormat="1">
      <c r="A13" s="40" t="s">
        <v>665</v>
      </c>
      <c r="B13" s="41">
        <v>16.95</v>
      </c>
      <c r="C13" s="41">
        <v>14.98</v>
      </c>
      <c r="D13" s="41">
        <v>21.42</v>
      </c>
      <c r="E13" s="41">
        <v>5.63</v>
      </c>
      <c r="F13" s="28" t="s">
        <v>15</v>
      </c>
      <c r="G13" s="41">
        <v>105.74</v>
      </c>
      <c r="H13" s="41">
        <v>50.76</v>
      </c>
      <c r="I13" s="41">
        <v>10.220000000000001</v>
      </c>
      <c r="J13" s="41">
        <v>0.16</v>
      </c>
      <c r="K13" s="41">
        <v>231.94</v>
      </c>
      <c r="L13" s="41">
        <v>20.16</v>
      </c>
      <c r="M13" s="41">
        <v>32.729999999999997</v>
      </c>
      <c r="N13" s="41">
        <v>1.7</v>
      </c>
      <c r="O13" s="41">
        <v>0</v>
      </c>
      <c r="P13" s="41">
        <v>0.56000000000000005</v>
      </c>
      <c r="Q13" s="41">
        <v>9.43</v>
      </c>
      <c r="R13" s="38"/>
      <c r="S13" s="38"/>
      <c r="T13" s="38"/>
      <c r="U13" s="38"/>
    </row>
    <row r="14" spans="1:21" customFormat="1">
      <c r="A14" s="40" t="s">
        <v>666</v>
      </c>
      <c r="B14" s="41">
        <v>20.83</v>
      </c>
      <c r="C14" s="41">
        <v>15.48</v>
      </c>
      <c r="D14" s="41">
        <v>24.79</v>
      </c>
      <c r="E14" s="41">
        <v>5.7</v>
      </c>
      <c r="F14" s="28" t="s">
        <v>15</v>
      </c>
      <c r="G14" s="41">
        <v>102.2</v>
      </c>
      <c r="H14" s="41">
        <v>52.19</v>
      </c>
      <c r="I14" s="41">
        <v>10.039999999999999</v>
      </c>
      <c r="J14" s="41">
        <v>0.34</v>
      </c>
      <c r="K14" s="41">
        <v>184.03</v>
      </c>
      <c r="L14" s="41">
        <v>17.579999999999998</v>
      </c>
      <c r="M14" s="41">
        <v>26.25</v>
      </c>
      <c r="N14" s="41">
        <v>1.7</v>
      </c>
      <c r="O14" s="41">
        <v>0</v>
      </c>
      <c r="P14" s="41">
        <v>0.55000000000000004</v>
      </c>
      <c r="Q14" s="41">
        <v>9.43</v>
      </c>
      <c r="R14" s="38"/>
      <c r="S14" s="38"/>
      <c r="T14" s="38"/>
      <c r="U14" s="38"/>
    </row>
    <row r="15" spans="1:21" customFormat="1">
      <c r="A15" s="40" t="s">
        <v>667</v>
      </c>
      <c r="B15" s="41">
        <v>20.59</v>
      </c>
      <c r="C15" s="41">
        <v>15.63</v>
      </c>
      <c r="D15" s="41">
        <v>24.57</v>
      </c>
      <c r="E15" s="41">
        <v>5.79</v>
      </c>
      <c r="F15" s="28" t="s">
        <v>15</v>
      </c>
      <c r="G15" s="41">
        <v>99.76</v>
      </c>
      <c r="H15" s="41">
        <v>52.19</v>
      </c>
      <c r="I15" s="41">
        <v>10.08</v>
      </c>
      <c r="J15" s="41">
        <v>0.45</v>
      </c>
      <c r="K15" s="41">
        <v>85.03</v>
      </c>
      <c r="L15" s="41">
        <v>10.51</v>
      </c>
      <c r="M15" s="41">
        <v>8.5</v>
      </c>
      <c r="N15" s="41">
        <v>23.1</v>
      </c>
      <c r="O15" s="41">
        <v>0</v>
      </c>
      <c r="P15" s="41">
        <v>0.55000000000000004</v>
      </c>
      <c r="Q15" s="41">
        <v>9.4499999999999993</v>
      </c>
      <c r="R15" s="38"/>
      <c r="S15" s="38"/>
      <c r="T15" s="38"/>
      <c r="U15" s="38"/>
    </row>
    <row r="16" spans="1:21" customFormat="1">
      <c r="A16" s="40" t="s">
        <v>668</v>
      </c>
      <c r="B16" s="41">
        <v>19.98</v>
      </c>
      <c r="C16" s="41">
        <v>16.600000000000001</v>
      </c>
      <c r="D16" s="41">
        <v>24.28</v>
      </c>
      <c r="E16" s="41">
        <v>5.71</v>
      </c>
      <c r="F16" s="28" t="s">
        <v>15</v>
      </c>
      <c r="G16" s="41">
        <v>104.98</v>
      </c>
      <c r="H16" s="41">
        <v>51.62</v>
      </c>
      <c r="I16" s="41">
        <v>10.32</v>
      </c>
      <c r="J16" s="41">
        <v>0.87</v>
      </c>
      <c r="K16" s="41">
        <v>65.97</v>
      </c>
      <c r="L16" s="41">
        <v>8.41</v>
      </c>
      <c r="M16" s="41">
        <v>2.0499999999999998</v>
      </c>
      <c r="N16" s="41">
        <v>98</v>
      </c>
      <c r="O16" s="41">
        <v>0</v>
      </c>
      <c r="P16" s="41">
        <v>0.56000000000000005</v>
      </c>
      <c r="Q16" s="41">
        <v>9.74</v>
      </c>
      <c r="R16" s="38"/>
      <c r="S16" s="38"/>
      <c r="T16" s="38"/>
      <c r="U16" s="38"/>
    </row>
    <row r="17" spans="1:21" customFormat="1">
      <c r="A17" s="40" t="s">
        <v>669</v>
      </c>
      <c r="B17" s="41">
        <v>18.98</v>
      </c>
      <c r="C17" s="41">
        <v>16.87</v>
      </c>
      <c r="D17" s="41">
        <v>23.89</v>
      </c>
      <c r="E17" s="41">
        <v>5.7</v>
      </c>
      <c r="F17" s="28" t="s">
        <v>15</v>
      </c>
      <c r="G17" s="41">
        <v>107.16</v>
      </c>
      <c r="H17" s="41">
        <v>51.62</v>
      </c>
      <c r="I17" s="41">
        <v>10.76</v>
      </c>
      <c r="J17" s="41">
        <v>1.01</v>
      </c>
      <c r="K17" s="41">
        <v>105.03</v>
      </c>
      <c r="L17" s="41">
        <v>14.01</v>
      </c>
      <c r="M17" s="41">
        <v>12.88</v>
      </c>
      <c r="N17" s="41">
        <v>220.1</v>
      </c>
      <c r="O17" s="41">
        <v>0</v>
      </c>
      <c r="P17" s="41">
        <v>0.56999999999999995</v>
      </c>
      <c r="Q17" s="41">
        <v>9.9499999999999993</v>
      </c>
      <c r="R17" s="38"/>
      <c r="S17" s="38"/>
      <c r="T17" s="38"/>
      <c r="U17" s="38"/>
    </row>
    <row r="18" spans="1:21" customFormat="1">
      <c r="A18" s="40" t="s">
        <v>670</v>
      </c>
      <c r="B18" s="41">
        <v>15.32</v>
      </c>
      <c r="C18" s="41">
        <v>17.559999999999999</v>
      </c>
      <c r="D18" s="41">
        <v>21.16</v>
      </c>
      <c r="E18" s="41">
        <v>5.39</v>
      </c>
      <c r="F18" s="28" t="s">
        <v>15</v>
      </c>
      <c r="G18" s="41">
        <v>112.74</v>
      </c>
      <c r="H18" s="41">
        <v>48.98</v>
      </c>
      <c r="I18" s="41">
        <v>10.8</v>
      </c>
      <c r="J18" s="41">
        <v>0.88</v>
      </c>
      <c r="K18" s="41">
        <v>66.47</v>
      </c>
      <c r="L18" s="41">
        <v>12.47</v>
      </c>
      <c r="M18" s="41">
        <v>7.1</v>
      </c>
      <c r="N18" s="41">
        <v>293.7</v>
      </c>
      <c r="O18" s="41">
        <v>0</v>
      </c>
      <c r="P18" s="41">
        <v>0.56999999999999995</v>
      </c>
      <c r="Q18" s="41">
        <v>10.210000000000001</v>
      </c>
      <c r="R18" s="38"/>
      <c r="S18" s="38"/>
      <c r="T18" s="38"/>
      <c r="U18" s="38"/>
    </row>
    <row r="19" spans="1:21" customFormat="1">
      <c r="A19" s="40" t="s">
        <v>671</v>
      </c>
      <c r="B19" s="41">
        <v>11.07</v>
      </c>
      <c r="C19" s="41">
        <v>17.98</v>
      </c>
      <c r="D19" s="41">
        <v>18.190000000000001</v>
      </c>
      <c r="E19" s="41">
        <v>6.21</v>
      </c>
      <c r="F19" s="28" t="s">
        <v>15</v>
      </c>
      <c r="G19" s="41">
        <v>112.74</v>
      </c>
      <c r="H19" s="41">
        <v>47.68</v>
      </c>
      <c r="I19" s="41">
        <v>10.61</v>
      </c>
      <c r="J19" s="41">
        <v>0.8</v>
      </c>
      <c r="K19" s="41">
        <v>93.9</v>
      </c>
      <c r="L19" s="41">
        <v>15.14</v>
      </c>
      <c r="M19" s="41">
        <v>11.12</v>
      </c>
      <c r="N19" s="41">
        <v>396.5</v>
      </c>
      <c r="O19" s="41">
        <v>0</v>
      </c>
      <c r="P19" s="41">
        <v>0.56000000000000005</v>
      </c>
      <c r="Q19" s="41">
        <v>9.44</v>
      </c>
      <c r="R19" s="38"/>
      <c r="S19" s="38"/>
      <c r="T19" s="38"/>
      <c r="U19" s="38"/>
    </row>
    <row r="20" spans="1:21" customFormat="1">
      <c r="A20" s="40" t="s">
        <v>672</v>
      </c>
      <c r="B20" s="41">
        <v>6.87</v>
      </c>
      <c r="C20" s="41">
        <v>17.86</v>
      </c>
      <c r="D20" s="41">
        <v>14.81</v>
      </c>
      <c r="E20" s="41">
        <v>6.37</v>
      </c>
      <c r="F20" s="28" t="s">
        <v>15</v>
      </c>
      <c r="G20" s="41">
        <v>90.9</v>
      </c>
      <c r="H20" s="41">
        <v>30.99</v>
      </c>
      <c r="I20" s="41">
        <v>10.24</v>
      </c>
      <c r="J20" s="41">
        <v>1.39</v>
      </c>
      <c r="K20" s="41">
        <v>70.42</v>
      </c>
      <c r="L20" s="41">
        <v>13.69</v>
      </c>
      <c r="M20" s="41">
        <v>6.64</v>
      </c>
      <c r="N20" s="41">
        <v>423.2</v>
      </c>
      <c r="O20" s="41">
        <v>0</v>
      </c>
      <c r="P20" s="41">
        <v>0.52</v>
      </c>
      <c r="Q20" s="41">
        <v>9.41</v>
      </c>
      <c r="R20" s="38"/>
      <c r="S20" s="38"/>
      <c r="T20" s="38"/>
      <c r="U20" s="38"/>
    </row>
    <row r="21" spans="1:21" customFormat="1">
      <c r="A21" s="40" t="s">
        <v>673</v>
      </c>
      <c r="B21" s="41">
        <v>4.3</v>
      </c>
      <c r="C21" s="41">
        <v>17.57</v>
      </c>
      <c r="D21" s="41">
        <v>12.63</v>
      </c>
      <c r="E21" s="41">
        <v>6.99</v>
      </c>
      <c r="F21" s="28" t="s">
        <v>15</v>
      </c>
      <c r="G21" s="41">
        <v>88.32</v>
      </c>
      <c r="H21" s="41">
        <v>30.56</v>
      </c>
      <c r="I21" s="41">
        <v>9.8000000000000007</v>
      </c>
      <c r="J21" s="41">
        <v>0.97</v>
      </c>
      <c r="K21" s="41">
        <v>47.02</v>
      </c>
      <c r="L21" s="41">
        <v>16.21</v>
      </c>
      <c r="M21" s="41">
        <v>13.62</v>
      </c>
      <c r="N21" s="41">
        <v>410.5</v>
      </c>
      <c r="O21" s="41">
        <v>0</v>
      </c>
      <c r="P21" s="41">
        <v>0.51</v>
      </c>
      <c r="Q21" s="41">
        <v>9.85</v>
      </c>
      <c r="R21" s="38"/>
      <c r="S21" s="38"/>
      <c r="T21" s="38"/>
      <c r="U21" s="38"/>
    </row>
    <row r="22" spans="1:21" customFormat="1">
      <c r="A22" s="40" t="s">
        <v>674</v>
      </c>
      <c r="B22" s="41">
        <v>3.63</v>
      </c>
      <c r="C22" s="41">
        <v>16.47</v>
      </c>
      <c r="D22" s="41">
        <v>11.38</v>
      </c>
      <c r="E22" s="41">
        <v>7.85</v>
      </c>
      <c r="F22" s="28" t="s">
        <v>15</v>
      </c>
      <c r="G22" s="41">
        <v>88.32</v>
      </c>
      <c r="H22" s="41">
        <v>30.13</v>
      </c>
      <c r="I22" s="41">
        <v>9.3000000000000007</v>
      </c>
      <c r="J22" s="41">
        <v>0.97</v>
      </c>
      <c r="K22" s="41">
        <v>43.32</v>
      </c>
      <c r="L22" s="41">
        <v>13.12</v>
      </c>
      <c r="M22" s="41">
        <v>10.59</v>
      </c>
      <c r="N22" s="41">
        <v>355</v>
      </c>
      <c r="O22" s="41">
        <v>0</v>
      </c>
      <c r="P22" s="41">
        <v>0.51</v>
      </c>
      <c r="Q22" s="41">
        <v>9.77</v>
      </c>
      <c r="R22" s="38"/>
      <c r="S22" s="38"/>
      <c r="T22" s="38"/>
      <c r="U22" s="38"/>
    </row>
    <row r="23" spans="1:21" customFormat="1">
      <c r="A23" s="40" t="s">
        <v>675</v>
      </c>
      <c r="B23" s="41">
        <v>3.66</v>
      </c>
      <c r="C23" s="41">
        <v>15.27</v>
      </c>
      <c r="D23" s="41">
        <v>10.88</v>
      </c>
      <c r="E23" s="41">
        <v>8.98</v>
      </c>
      <c r="F23" s="28" t="s">
        <v>15</v>
      </c>
      <c r="G23" s="41">
        <v>86.74</v>
      </c>
      <c r="H23" s="41">
        <v>28.91</v>
      </c>
      <c r="I23" s="41">
        <v>8.86</v>
      </c>
      <c r="J23" s="41">
        <v>0.91</v>
      </c>
      <c r="K23" s="41">
        <v>95.27</v>
      </c>
      <c r="L23" s="41">
        <v>14.62</v>
      </c>
      <c r="M23" s="41">
        <v>15.72</v>
      </c>
      <c r="N23" s="41">
        <v>139</v>
      </c>
      <c r="O23" s="41">
        <v>0</v>
      </c>
      <c r="P23" s="41">
        <v>0.5</v>
      </c>
      <c r="Q23" s="41">
        <v>9.6199999999999992</v>
      </c>
      <c r="R23" s="38"/>
      <c r="S23" s="38"/>
      <c r="T23" s="38"/>
      <c r="U23" s="38"/>
    </row>
    <row r="24" spans="1:21" customFormat="1">
      <c r="A24" s="40" t="s">
        <v>676</v>
      </c>
      <c r="B24" s="41">
        <v>3.78</v>
      </c>
      <c r="C24" s="41">
        <v>15.26</v>
      </c>
      <c r="D24" s="41">
        <v>10.91</v>
      </c>
      <c r="E24" s="41">
        <v>10.08</v>
      </c>
      <c r="F24" s="28" t="s">
        <v>15</v>
      </c>
      <c r="G24" s="41">
        <v>82.23</v>
      </c>
      <c r="H24" s="41">
        <v>28.91</v>
      </c>
      <c r="I24" s="41">
        <v>8.64</v>
      </c>
      <c r="J24" s="41">
        <v>0.82</v>
      </c>
      <c r="K24" s="41">
        <v>67.239999999999995</v>
      </c>
      <c r="L24" s="41">
        <v>10.93</v>
      </c>
      <c r="M24" s="41">
        <v>7.22</v>
      </c>
      <c r="N24" s="41">
        <v>87.5</v>
      </c>
      <c r="O24" s="41">
        <v>0</v>
      </c>
      <c r="P24" s="41">
        <v>0.5</v>
      </c>
      <c r="Q24" s="41">
        <v>9.61</v>
      </c>
      <c r="R24" s="38"/>
      <c r="S24" s="38"/>
      <c r="T24" s="38"/>
      <c r="U24" s="38"/>
    </row>
    <row r="25" spans="1:21" customFormat="1">
      <c r="A25" s="40" t="s">
        <v>677</v>
      </c>
      <c r="B25" s="41">
        <v>3.81</v>
      </c>
      <c r="C25" s="41">
        <v>15.24</v>
      </c>
      <c r="D25" s="41">
        <v>10.99</v>
      </c>
      <c r="E25" s="41">
        <v>9.5</v>
      </c>
      <c r="F25" s="28" t="s">
        <v>15</v>
      </c>
      <c r="G25" s="41">
        <v>84.2</v>
      </c>
      <c r="H25" s="41">
        <v>29.06</v>
      </c>
      <c r="I25" s="41">
        <v>8.69</v>
      </c>
      <c r="J25" s="41">
        <v>0.49</v>
      </c>
      <c r="K25" s="41">
        <v>136.63999999999999</v>
      </c>
      <c r="L25" s="41">
        <v>13.46</v>
      </c>
      <c r="M25" s="41">
        <v>15.66</v>
      </c>
      <c r="N25" s="41">
        <v>42.7</v>
      </c>
      <c r="O25" s="41">
        <v>0</v>
      </c>
      <c r="P25" s="41">
        <v>0.52</v>
      </c>
      <c r="Q25" s="41">
        <v>9.56</v>
      </c>
      <c r="R25" s="38"/>
      <c r="S25" s="38"/>
      <c r="T25" s="38"/>
      <c r="U25" s="38"/>
    </row>
    <row r="26" spans="1:21" customFormat="1">
      <c r="A26" s="40" t="s">
        <v>678</v>
      </c>
      <c r="B26" s="41">
        <v>4.3600000000000003</v>
      </c>
      <c r="C26" s="41">
        <v>17.34</v>
      </c>
      <c r="D26" s="41">
        <v>12.32</v>
      </c>
      <c r="E26" s="41">
        <v>8.08</v>
      </c>
      <c r="F26" s="28" t="s">
        <v>15</v>
      </c>
      <c r="G26" s="41">
        <v>90.26</v>
      </c>
      <c r="H26" s="41">
        <v>29.37</v>
      </c>
      <c r="I26" s="41">
        <v>8.83</v>
      </c>
      <c r="J26" s="41">
        <v>0.19</v>
      </c>
      <c r="K26" s="41">
        <v>164.57</v>
      </c>
      <c r="L26" s="41">
        <v>15.62</v>
      </c>
      <c r="M26" s="41">
        <v>21.38</v>
      </c>
      <c r="N26" s="41">
        <v>6.4</v>
      </c>
      <c r="O26" s="41">
        <v>0</v>
      </c>
      <c r="P26" s="41">
        <v>0.54</v>
      </c>
      <c r="Q26" s="41">
        <v>9.65</v>
      </c>
      <c r="R26" s="38"/>
      <c r="S26" s="38"/>
      <c r="T26" s="38"/>
      <c r="U26" s="38"/>
    </row>
    <row r="27" spans="1:21" customFormat="1">
      <c r="A27" s="40" t="s">
        <v>679</v>
      </c>
      <c r="B27" s="41">
        <v>4.97</v>
      </c>
      <c r="C27" s="41">
        <v>16.29</v>
      </c>
      <c r="D27" s="41">
        <v>12.5</v>
      </c>
      <c r="E27" s="41">
        <v>7.7</v>
      </c>
      <c r="F27" s="28" t="s">
        <v>15</v>
      </c>
      <c r="G27" s="41">
        <v>201.35</v>
      </c>
      <c r="H27" s="41">
        <v>35.340000000000003</v>
      </c>
      <c r="I27" s="41">
        <v>9.3699999999999992</v>
      </c>
      <c r="J27" s="41">
        <v>0.2</v>
      </c>
      <c r="K27" s="41">
        <v>154.94999999999999</v>
      </c>
      <c r="L27" s="41">
        <v>14.63</v>
      </c>
      <c r="M27" s="41">
        <v>18.91</v>
      </c>
      <c r="N27" s="41">
        <v>2</v>
      </c>
      <c r="O27" s="41">
        <v>0</v>
      </c>
      <c r="P27" s="41">
        <v>0.6</v>
      </c>
      <c r="Q27" s="41">
        <v>9.9</v>
      </c>
      <c r="R27" s="38"/>
      <c r="S27" s="38"/>
      <c r="T27" s="38"/>
      <c r="U27" s="38"/>
    </row>
    <row r="28" spans="1:21" customFormat="1">
      <c r="A28" s="40" t="s">
        <v>680</v>
      </c>
      <c r="B28" s="41">
        <v>6.2</v>
      </c>
      <c r="C28" s="41">
        <v>17.93</v>
      </c>
      <c r="D28" s="41">
        <v>14.34</v>
      </c>
      <c r="E28" s="41">
        <v>7.38</v>
      </c>
      <c r="F28" s="28" t="s">
        <v>15</v>
      </c>
      <c r="G28" s="41">
        <v>201.35</v>
      </c>
      <c r="H28" s="41">
        <v>38.54</v>
      </c>
      <c r="I28" s="41">
        <v>10.09</v>
      </c>
      <c r="J28" s="41">
        <v>0.23</v>
      </c>
      <c r="K28" s="41">
        <v>114.67</v>
      </c>
      <c r="L28" s="41">
        <v>11.47</v>
      </c>
      <c r="M28" s="41">
        <v>11.03</v>
      </c>
      <c r="N28" s="41">
        <v>1.8</v>
      </c>
      <c r="O28" s="41">
        <v>0</v>
      </c>
      <c r="P28" s="41">
        <v>0.67</v>
      </c>
      <c r="Q28" s="41">
        <v>9.3699999999999992</v>
      </c>
      <c r="R28" s="38"/>
      <c r="S28" s="38"/>
      <c r="T28" s="38"/>
      <c r="U28" s="38"/>
    </row>
    <row r="29" spans="1:21" customFormat="1">
      <c r="A29" s="40" t="s">
        <v>681</v>
      </c>
      <c r="B29" s="41">
        <v>6.26</v>
      </c>
      <c r="C29" s="41">
        <v>18.32</v>
      </c>
      <c r="D29" s="41">
        <v>14.56</v>
      </c>
      <c r="E29" s="41">
        <v>7.54</v>
      </c>
      <c r="F29" s="28" t="s">
        <v>15</v>
      </c>
      <c r="G29" s="41">
        <v>171.55</v>
      </c>
      <c r="H29" s="41">
        <v>40.200000000000003</v>
      </c>
      <c r="I29" s="41">
        <v>10.88</v>
      </c>
      <c r="J29" s="41">
        <v>0.4</v>
      </c>
      <c r="K29" s="41">
        <v>68.16</v>
      </c>
      <c r="L29" s="41">
        <v>8.2200000000000006</v>
      </c>
      <c r="M29" s="41">
        <v>2.77</v>
      </c>
      <c r="N29" s="41">
        <v>1.7</v>
      </c>
      <c r="O29" s="41">
        <v>0</v>
      </c>
      <c r="P29" s="41">
        <v>0.72</v>
      </c>
      <c r="Q29" s="41">
        <v>9.32</v>
      </c>
      <c r="R29" s="38"/>
      <c r="S29" s="38"/>
      <c r="T29" s="38"/>
      <c r="U29" s="38"/>
    </row>
    <row r="30" spans="1:21" customFormat="1">
      <c r="A30" s="40" t="s">
        <v>682</v>
      </c>
      <c r="B30" s="41">
        <v>6.39</v>
      </c>
      <c r="C30" s="41">
        <v>18.25</v>
      </c>
      <c r="D30" s="41">
        <v>14.66</v>
      </c>
      <c r="E30" s="41">
        <v>7.33</v>
      </c>
      <c r="F30" s="28" t="s">
        <v>15</v>
      </c>
      <c r="G30" s="41">
        <v>166.12</v>
      </c>
      <c r="H30" s="41">
        <v>40.200000000000003</v>
      </c>
      <c r="I30" s="41">
        <v>11.21</v>
      </c>
      <c r="J30" s="41">
        <v>0.44</v>
      </c>
      <c r="K30" s="41">
        <v>74.94</v>
      </c>
      <c r="L30" s="41">
        <v>9.2200000000000006</v>
      </c>
      <c r="M30" s="41">
        <v>5.32</v>
      </c>
      <c r="N30" s="41">
        <v>1.7</v>
      </c>
      <c r="O30" s="41">
        <v>0</v>
      </c>
      <c r="P30" s="41">
        <v>0.73</v>
      </c>
      <c r="Q30" s="41">
        <v>9.32</v>
      </c>
      <c r="R30" s="38"/>
      <c r="S30" s="38"/>
      <c r="T30" s="38"/>
      <c r="U30" s="38"/>
    </row>
    <row r="31" spans="1:21" customFormat="1">
      <c r="A31" s="40" t="s">
        <v>683</v>
      </c>
      <c r="B31" s="41">
        <v>6.75</v>
      </c>
      <c r="C31" s="41">
        <v>18.329999999999998</v>
      </c>
      <c r="D31" s="41">
        <v>14.9</v>
      </c>
      <c r="E31" s="41">
        <v>7.29</v>
      </c>
      <c r="F31" s="28" t="s">
        <v>15</v>
      </c>
      <c r="G31" s="41">
        <v>132.80000000000001</v>
      </c>
      <c r="H31" s="41">
        <v>38.56</v>
      </c>
      <c r="I31" s="41">
        <v>11.15</v>
      </c>
      <c r="J31" s="41">
        <v>0.33</v>
      </c>
      <c r="K31" s="41">
        <v>91.71</v>
      </c>
      <c r="L31" s="41">
        <v>12.95</v>
      </c>
      <c r="M31" s="41">
        <v>14.75</v>
      </c>
      <c r="N31" s="41">
        <v>1.9</v>
      </c>
      <c r="O31" s="41">
        <v>0</v>
      </c>
      <c r="P31" s="41">
        <v>0.74</v>
      </c>
      <c r="Q31" s="41">
        <v>9.32</v>
      </c>
      <c r="R31" s="38"/>
      <c r="S31" s="38"/>
      <c r="T31" s="38"/>
      <c r="U31" s="38"/>
    </row>
    <row r="32" spans="1:21" customFormat="1">
      <c r="A32" s="40" t="s">
        <v>684</v>
      </c>
      <c r="B32" s="41">
        <v>6.92</v>
      </c>
      <c r="C32" s="41">
        <v>18.09</v>
      </c>
      <c r="D32" s="41">
        <v>14.8</v>
      </c>
      <c r="E32" s="41">
        <v>7.06</v>
      </c>
      <c r="F32" s="28" t="s">
        <v>15</v>
      </c>
      <c r="G32" s="41">
        <v>127.62</v>
      </c>
      <c r="H32" s="41">
        <v>38.44</v>
      </c>
      <c r="I32" s="41">
        <v>11.13</v>
      </c>
      <c r="J32" s="41">
        <v>0.17</v>
      </c>
      <c r="K32" s="41">
        <v>197.44</v>
      </c>
      <c r="L32" s="41">
        <v>18.059999999999999</v>
      </c>
      <c r="M32" s="41">
        <v>27.49</v>
      </c>
      <c r="N32" s="41">
        <v>2</v>
      </c>
      <c r="O32" s="41">
        <v>0</v>
      </c>
      <c r="P32" s="41">
        <v>0.73</v>
      </c>
      <c r="Q32" s="41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3.63</v>
      </c>
      <c r="C34" s="18">
        <f t="shared" si="0"/>
        <v>13.28</v>
      </c>
      <c r="D34" s="18">
        <f t="shared" si="0"/>
        <v>10.88</v>
      </c>
      <c r="E34" s="18">
        <f t="shared" si="0"/>
        <v>5.34</v>
      </c>
      <c r="F34" s="18">
        <f t="shared" si="0"/>
        <v>0</v>
      </c>
      <c r="G34" s="18">
        <f t="shared" si="0"/>
        <v>82.23</v>
      </c>
      <c r="H34" s="18">
        <f t="shared" si="0"/>
        <v>28.91</v>
      </c>
      <c r="I34" s="18">
        <f t="shared" si="0"/>
        <v>8.64</v>
      </c>
      <c r="J34" s="18">
        <f t="shared" si="0"/>
        <v>0.15</v>
      </c>
      <c r="K34" s="18">
        <f t="shared" si="0"/>
        <v>43.32</v>
      </c>
      <c r="L34" s="18">
        <f t="shared" si="0"/>
        <v>8.2200000000000006</v>
      </c>
      <c r="M34" s="18">
        <f t="shared" si="0"/>
        <v>2.0499999999999998</v>
      </c>
      <c r="N34" s="18">
        <f t="shared" si="0"/>
        <v>1.7</v>
      </c>
      <c r="O34" s="18">
        <f t="shared" si="0"/>
        <v>0</v>
      </c>
      <c r="P34" s="18">
        <f t="shared" si="0"/>
        <v>0.5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20.83</v>
      </c>
      <c r="C35" s="3">
        <f t="shared" si="1"/>
        <v>18.329999999999998</v>
      </c>
      <c r="D35" s="3">
        <f t="shared" si="1"/>
        <v>24.79</v>
      </c>
      <c r="E35" s="3">
        <f t="shared" si="1"/>
        <v>10.08</v>
      </c>
      <c r="F35" s="3">
        <f t="shared" si="1"/>
        <v>0</v>
      </c>
      <c r="G35" s="3">
        <f t="shared" si="1"/>
        <v>201.35</v>
      </c>
      <c r="H35" s="3">
        <f t="shared" si="1"/>
        <v>52.98</v>
      </c>
      <c r="I35" s="3">
        <f t="shared" si="1"/>
        <v>11.59</v>
      </c>
      <c r="J35" s="3">
        <f t="shared" si="1"/>
        <v>1.39</v>
      </c>
      <c r="K35" s="3">
        <f t="shared" si="1"/>
        <v>232.17</v>
      </c>
      <c r="L35" s="3">
        <f t="shared" si="1"/>
        <v>20.350000000000001</v>
      </c>
      <c r="M35" s="3">
        <f t="shared" si="1"/>
        <v>33.32</v>
      </c>
      <c r="N35" s="3">
        <f t="shared" si="1"/>
        <v>423.2</v>
      </c>
      <c r="O35" s="3">
        <f t="shared" si="1"/>
        <v>0</v>
      </c>
      <c r="P35" s="3">
        <f t="shared" si="1"/>
        <v>0.74</v>
      </c>
      <c r="Q35" s="3">
        <f t="shared" si="1"/>
        <v>10.210000000000001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9.4408333333333321</v>
      </c>
      <c r="C36" s="18">
        <f t="shared" si="2"/>
        <v>16.383749999999999</v>
      </c>
      <c r="D36" s="18">
        <f t="shared" si="2"/>
        <v>16.039583333333336</v>
      </c>
      <c r="E36" s="18">
        <f t="shared" si="2"/>
        <v>6.8745833333333328</v>
      </c>
      <c r="F36" s="18" t="e">
        <f t="shared" si="2"/>
        <v>#DIV/0!</v>
      </c>
      <c r="G36" s="18">
        <f t="shared" si="2"/>
        <v>117.07958333333335</v>
      </c>
      <c r="H36" s="18">
        <f t="shared" si="2"/>
        <v>41.551250000000003</v>
      </c>
      <c r="I36" s="18">
        <f t="shared" si="2"/>
        <v>10.210833333333333</v>
      </c>
      <c r="J36" s="18">
        <f t="shared" si="2"/>
        <v>0.52874999999999994</v>
      </c>
      <c r="K36" s="18">
        <f t="shared" si="2"/>
        <v>126.39</v>
      </c>
      <c r="L36" s="18">
        <f t="shared" si="2"/>
        <v>14.488750000000005</v>
      </c>
      <c r="M36" s="18">
        <f t="shared" si="2"/>
        <v>16.440000000000001</v>
      </c>
      <c r="N36" s="18">
        <f t="shared" si="2"/>
        <v>104.88333333333333</v>
      </c>
      <c r="O36" s="18">
        <f t="shared" si="2"/>
        <v>0</v>
      </c>
      <c r="P36" s="18">
        <f t="shared" si="2"/>
        <v>0.58416666666666661</v>
      </c>
      <c r="Q36" s="18">
        <f t="shared" si="2"/>
        <v>9.5458333333333325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5.9974341736001255</v>
      </c>
      <c r="C37" s="18">
        <f t="shared" ref="C37:Q37" si="3">STDEV(C9:C32)</f>
        <v>1.5689204610315584</v>
      </c>
      <c r="D37" s="18">
        <f t="shared" si="3"/>
        <v>4.7520233486165715</v>
      </c>
      <c r="E37" s="18">
        <f t="shared" si="3"/>
        <v>1.3444280476702053</v>
      </c>
      <c r="F37" s="18" t="e">
        <f t="shared" si="3"/>
        <v>#DIV/0!</v>
      </c>
      <c r="G37" s="18">
        <f t="shared" si="3"/>
        <v>34.402943817311666</v>
      </c>
      <c r="H37" s="18">
        <f t="shared" si="3"/>
        <v>9.3552483816630065</v>
      </c>
      <c r="I37" s="18">
        <f t="shared" si="3"/>
        <v>0.8686366962919122</v>
      </c>
      <c r="J37" s="18">
        <f t="shared" si="3"/>
        <v>0.36790018140558289</v>
      </c>
      <c r="K37" s="18">
        <f t="shared" si="3"/>
        <v>64.214104505095321</v>
      </c>
      <c r="L37" s="18">
        <f t="shared" si="3"/>
        <v>3.6454299114274966</v>
      </c>
      <c r="M37" s="18">
        <f t="shared" si="3"/>
        <v>10.007465474204304</v>
      </c>
      <c r="N37" s="18">
        <f t="shared" si="3"/>
        <v>153.3048814182597</v>
      </c>
      <c r="O37" s="18">
        <f t="shared" si="3"/>
        <v>0</v>
      </c>
      <c r="P37" s="18">
        <f t="shared" si="3"/>
        <v>7.6095858692473678E-2</v>
      </c>
      <c r="Q37" s="18">
        <f t="shared" si="3"/>
        <v>0.24487648468896145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0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&lt;90%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LESS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96"/>
  <sheetViews>
    <sheetView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I42" sqref="I4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27/11/2025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685</v>
      </c>
      <c r="B9" s="41">
        <v>7.48</v>
      </c>
      <c r="C9" s="41">
        <v>15.71</v>
      </c>
      <c r="D9" s="41">
        <v>14.21</v>
      </c>
      <c r="E9" s="41">
        <v>7.37</v>
      </c>
      <c r="F9" s="28" t="s">
        <v>15</v>
      </c>
      <c r="G9" s="41">
        <v>109.78</v>
      </c>
      <c r="H9" s="41">
        <v>37.35</v>
      </c>
      <c r="I9" s="41">
        <v>10.92</v>
      </c>
      <c r="J9" s="41">
        <v>0.36</v>
      </c>
      <c r="K9" s="41">
        <v>178.72</v>
      </c>
      <c r="L9" s="41">
        <v>16.329999999999998</v>
      </c>
      <c r="M9" s="41">
        <v>23.21</v>
      </c>
      <c r="N9" s="41">
        <v>1.7</v>
      </c>
      <c r="O9" s="41">
        <v>0</v>
      </c>
      <c r="P9" s="41">
        <v>0.72</v>
      </c>
      <c r="Q9" s="41">
        <v>9.32</v>
      </c>
      <c r="R9" s="38"/>
      <c r="S9" s="38"/>
      <c r="T9" s="38"/>
      <c r="U9" s="38"/>
    </row>
    <row r="10" spans="1:21" customFormat="1">
      <c r="A10" s="40" t="s">
        <v>686</v>
      </c>
      <c r="B10" s="41">
        <v>8.17</v>
      </c>
      <c r="C10" s="41">
        <v>15.98</v>
      </c>
      <c r="D10" s="41">
        <v>14.84</v>
      </c>
      <c r="E10" s="41">
        <v>7.25</v>
      </c>
      <c r="F10" s="28" t="s">
        <v>15</v>
      </c>
      <c r="G10" s="41">
        <v>97.74</v>
      </c>
      <c r="H10" s="41">
        <v>34.65</v>
      </c>
      <c r="I10" s="41">
        <v>10.76</v>
      </c>
      <c r="J10" s="41">
        <v>0.46</v>
      </c>
      <c r="K10" s="41">
        <v>65.260000000000005</v>
      </c>
      <c r="L10" s="41">
        <v>8.09</v>
      </c>
      <c r="M10" s="41">
        <v>2.42</v>
      </c>
      <c r="N10" s="41">
        <v>1.7</v>
      </c>
      <c r="O10" s="41">
        <v>0</v>
      </c>
      <c r="P10" s="41">
        <v>0.68</v>
      </c>
      <c r="Q10" s="41">
        <v>9.32</v>
      </c>
      <c r="R10" s="38"/>
      <c r="S10" s="38"/>
      <c r="T10" s="38"/>
      <c r="U10" s="38"/>
    </row>
    <row r="11" spans="1:21" customFormat="1">
      <c r="A11" s="40" t="s">
        <v>687</v>
      </c>
      <c r="B11" s="41">
        <v>8.4</v>
      </c>
      <c r="C11" s="41">
        <v>15.99</v>
      </c>
      <c r="D11" s="41">
        <v>15</v>
      </c>
      <c r="E11" s="41">
        <v>6.84</v>
      </c>
      <c r="F11" s="28" t="s">
        <v>15</v>
      </c>
      <c r="G11" s="41">
        <v>97.74</v>
      </c>
      <c r="H11" s="41">
        <v>33.03</v>
      </c>
      <c r="I11" s="41">
        <v>10.65</v>
      </c>
      <c r="J11" s="41">
        <v>0.43</v>
      </c>
      <c r="K11" s="41">
        <v>61.39</v>
      </c>
      <c r="L11" s="41">
        <v>7.95</v>
      </c>
      <c r="M11" s="41">
        <v>2.0299999999999998</v>
      </c>
      <c r="N11" s="41">
        <v>1.6</v>
      </c>
      <c r="O11" s="41">
        <v>0</v>
      </c>
      <c r="P11" s="41">
        <v>0.66</v>
      </c>
      <c r="Q11" s="41">
        <v>9.32</v>
      </c>
      <c r="R11" s="38"/>
      <c r="S11" s="38"/>
      <c r="T11" s="38"/>
      <c r="U11" s="38"/>
    </row>
    <row r="12" spans="1:21" customFormat="1">
      <c r="A12" s="40" t="s">
        <v>688</v>
      </c>
      <c r="B12" s="41">
        <v>8.4600000000000009</v>
      </c>
      <c r="C12" s="41">
        <v>15.65</v>
      </c>
      <c r="D12" s="41">
        <v>14.89</v>
      </c>
      <c r="E12" s="41">
        <v>7.24</v>
      </c>
      <c r="F12" s="28" t="s">
        <v>15</v>
      </c>
      <c r="G12" s="41">
        <v>94.4</v>
      </c>
      <c r="H12" s="41">
        <v>33.72</v>
      </c>
      <c r="I12" s="41">
        <v>10.5</v>
      </c>
      <c r="J12" s="41">
        <v>0.31</v>
      </c>
      <c r="K12" s="41">
        <v>52.76</v>
      </c>
      <c r="L12" s="41">
        <v>9.24</v>
      </c>
      <c r="M12" s="41">
        <v>5.18</v>
      </c>
      <c r="N12" s="41">
        <v>1.7</v>
      </c>
      <c r="O12" s="41">
        <v>0</v>
      </c>
      <c r="P12" s="41">
        <v>0.64</v>
      </c>
      <c r="Q12" s="41">
        <v>9.32</v>
      </c>
      <c r="R12" s="38"/>
      <c r="S12" s="38"/>
      <c r="T12" s="38"/>
      <c r="U12" s="38"/>
    </row>
    <row r="13" spans="1:21" customFormat="1">
      <c r="A13" s="40" t="s">
        <v>689</v>
      </c>
      <c r="B13" s="41">
        <v>8.9600000000000009</v>
      </c>
      <c r="C13" s="41">
        <v>16.07</v>
      </c>
      <c r="D13" s="41">
        <v>15.58</v>
      </c>
      <c r="E13" s="41">
        <v>6.89</v>
      </c>
      <c r="F13" s="28" t="s">
        <v>15</v>
      </c>
      <c r="G13" s="41">
        <v>92.88</v>
      </c>
      <c r="H13" s="41">
        <v>33.72</v>
      </c>
      <c r="I13" s="41">
        <v>10.33</v>
      </c>
      <c r="J13" s="41">
        <v>0.37</v>
      </c>
      <c r="K13" s="41">
        <v>83.9</v>
      </c>
      <c r="L13" s="41">
        <v>13.52</v>
      </c>
      <c r="M13" s="41">
        <v>16.100000000000001</v>
      </c>
      <c r="N13" s="41">
        <v>1.6</v>
      </c>
      <c r="O13" s="41">
        <v>0</v>
      </c>
      <c r="P13" s="41">
        <v>0.62</v>
      </c>
      <c r="Q13" s="41">
        <v>9.32</v>
      </c>
      <c r="R13" s="38"/>
      <c r="S13" s="38"/>
      <c r="T13" s="38"/>
      <c r="U13" s="38"/>
    </row>
    <row r="14" spans="1:21" customFormat="1">
      <c r="A14" s="40" t="s">
        <v>690</v>
      </c>
      <c r="B14" s="41">
        <v>9.7200000000000006</v>
      </c>
      <c r="C14" s="41">
        <v>16.39</v>
      </c>
      <c r="D14" s="41">
        <v>16.34</v>
      </c>
      <c r="E14" s="41">
        <v>6.69</v>
      </c>
      <c r="F14" s="28" t="s">
        <v>15</v>
      </c>
      <c r="G14" s="41">
        <v>95.53</v>
      </c>
      <c r="H14" s="41">
        <v>32.409999999999997</v>
      </c>
      <c r="I14" s="41">
        <v>10.28</v>
      </c>
      <c r="J14" s="41">
        <v>0.46</v>
      </c>
      <c r="K14" s="41">
        <v>66.260000000000005</v>
      </c>
      <c r="L14" s="41">
        <v>9.09</v>
      </c>
      <c r="M14" s="41">
        <v>4.9800000000000004</v>
      </c>
      <c r="N14" s="41">
        <v>1.7</v>
      </c>
      <c r="O14" s="41">
        <v>0</v>
      </c>
      <c r="P14" s="41">
        <v>0.6</v>
      </c>
      <c r="Q14" s="41">
        <v>9.32</v>
      </c>
      <c r="R14" s="38"/>
      <c r="S14" s="38"/>
      <c r="T14" s="38"/>
      <c r="U14" s="38"/>
    </row>
    <row r="15" spans="1:21" customFormat="1">
      <c r="A15" s="40" t="s">
        <v>691</v>
      </c>
      <c r="B15" s="41">
        <v>10.09</v>
      </c>
      <c r="C15" s="41">
        <v>16.54</v>
      </c>
      <c r="D15" s="41">
        <v>16.73</v>
      </c>
      <c r="E15" s="41">
        <v>6.49</v>
      </c>
      <c r="F15" s="28" t="s">
        <v>15</v>
      </c>
      <c r="G15" s="41">
        <v>95.53</v>
      </c>
      <c r="H15" s="41">
        <v>32.68</v>
      </c>
      <c r="I15" s="41">
        <v>10.57</v>
      </c>
      <c r="J15" s="41">
        <v>0.51</v>
      </c>
      <c r="K15" s="41">
        <v>47.46</v>
      </c>
      <c r="L15" s="41">
        <v>8.15</v>
      </c>
      <c r="M15" s="41">
        <v>2.08</v>
      </c>
      <c r="N15" s="41">
        <v>22.6</v>
      </c>
      <c r="O15" s="41">
        <v>0</v>
      </c>
      <c r="P15" s="41">
        <v>0.62</v>
      </c>
      <c r="Q15" s="41">
        <v>9.32</v>
      </c>
      <c r="R15" s="38"/>
      <c r="S15" s="38"/>
      <c r="T15" s="38"/>
      <c r="U15" s="38"/>
    </row>
    <row r="16" spans="1:21" customFormat="1">
      <c r="A16" s="40" t="s">
        <v>692</v>
      </c>
      <c r="B16" s="41">
        <v>10.44</v>
      </c>
      <c r="C16" s="41">
        <v>17.22</v>
      </c>
      <c r="D16" s="41">
        <v>17.21</v>
      </c>
      <c r="E16" s="41">
        <v>6.67</v>
      </c>
      <c r="F16" s="28" t="s">
        <v>15</v>
      </c>
      <c r="G16" s="41">
        <v>101.4</v>
      </c>
      <c r="H16" s="41">
        <v>33.020000000000003</v>
      </c>
      <c r="I16" s="41">
        <v>11.03</v>
      </c>
      <c r="J16" s="41">
        <v>0.81</v>
      </c>
      <c r="K16" s="41">
        <v>48.76</v>
      </c>
      <c r="L16" s="41">
        <v>7.57</v>
      </c>
      <c r="M16" s="41">
        <v>0.02</v>
      </c>
      <c r="N16" s="41">
        <v>104.4</v>
      </c>
      <c r="O16" s="41">
        <v>0</v>
      </c>
      <c r="P16" s="41">
        <v>0.63</v>
      </c>
      <c r="Q16" s="41">
        <v>9.32</v>
      </c>
      <c r="R16" s="38"/>
      <c r="S16" s="38"/>
      <c r="T16" s="38"/>
      <c r="U16" s="38"/>
    </row>
    <row r="17" spans="1:21" customFormat="1">
      <c r="A17" s="40" t="s">
        <v>693</v>
      </c>
      <c r="B17" s="41">
        <v>10.06</v>
      </c>
      <c r="C17" s="41">
        <v>17.55</v>
      </c>
      <c r="D17" s="41">
        <v>17.16</v>
      </c>
      <c r="E17" s="41">
        <v>6.56</v>
      </c>
      <c r="F17" s="28" t="s">
        <v>15</v>
      </c>
      <c r="G17" s="41">
        <v>114.49</v>
      </c>
      <c r="H17" s="41">
        <v>33.020000000000003</v>
      </c>
      <c r="I17" s="41">
        <v>11.25</v>
      </c>
      <c r="J17" s="41">
        <v>0.96</v>
      </c>
      <c r="K17" s="41">
        <v>53.72</v>
      </c>
      <c r="L17" s="41">
        <v>10.8</v>
      </c>
      <c r="M17" s="41">
        <v>3.91</v>
      </c>
      <c r="N17" s="41">
        <v>251.5</v>
      </c>
      <c r="O17" s="41">
        <v>0</v>
      </c>
      <c r="P17" s="41">
        <v>0.64</v>
      </c>
      <c r="Q17" s="41">
        <v>9.32</v>
      </c>
      <c r="R17" s="38"/>
      <c r="S17" s="38"/>
      <c r="T17" s="38"/>
      <c r="U17" s="38"/>
    </row>
    <row r="18" spans="1:21" customFormat="1">
      <c r="A18" s="40" t="s">
        <v>694</v>
      </c>
      <c r="B18" s="41">
        <v>8.0299999999999994</v>
      </c>
      <c r="C18" s="41">
        <v>17.809999999999999</v>
      </c>
      <c r="D18" s="41">
        <v>15.75</v>
      </c>
      <c r="E18" s="41">
        <v>6.73</v>
      </c>
      <c r="F18" s="28" t="s">
        <v>15</v>
      </c>
      <c r="G18" s="41">
        <v>114.49</v>
      </c>
      <c r="H18" s="41">
        <v>33.630000000000003</v>
      </c>
      <c r="I18" s="41">
        <v>11.32</v>
      </c>
      <c r="J18" s="41">
        <v>1.34</v>
      </c>
      <c r="K18" s="41">
        <v>55.19</v>
      </c>
      <c r="L18" s="41">
        <v>11.82</v>
      </c>
      <c r="M18" s="41">
        <v>6.42</v>
      </c>
      <c r="N18" s="41">
        <v>314.2</v>
      </c>
      <c r="O18" s="41">
        <v>0</v>
      </c>
      <c r="P18" s="41">
        <v>0.65</v>
      </c>
      <c r="Q18" s="41">
        <v>9.4</v>
      </c>
      <c r="R18" s="38"/>
      <c r="S18" s="38"/>
      <c r="T18" s="38"/>
      <c r="U18" s="38"/>
    </row>
    <row r="19" spans="1:21" customFormat="1">
      <c r="A19" s="40" t="s">
        <v>695</v>
      </c>
      <c r="B19" s="41">
        <v>6.48</v>
      </c>
      <c r="C19" s="41">
        <v>17.09</v>
      </c>
      <c r="D19" s="41">
        <v>14.12</v>
      </c>
      <c r="E19" s="41">
        <v>6.4</v>
      </c>
      <c r="F19" s="28" t="s">
        <v>15</v>
      </c>
      <c r="G19" s="41">
        <v>103.62</v>
      </c>
      <c r="H19" s="41">
        <v>33.630000000000003</v>
      </c>
      <c r="I19" s="41">
        <v>11.19</v>
      </c>
      <c r="J19" s="41">
        <v>1.34</v>
      </c>
      <c r="K19" s="41">
        <v>54.18</v>
      </c>
      <c r="L19" s="41">
        <v>13.01</v>
      </c>
      <c r="M19" s="41">
        <v>4.3600000000000003</v>
      </c>
      <c r="N19" s="41">
        <v>436.1</v>
      </c>
      <c r="O19" s="41">
        <v>0</v>
      </c>
      <c r="P19" s="41">
        <v>0.62</v>
      </c>
      <c r="Q19" s="41">
        <v>9.32</v>
      </c>
      <c r="R19" s="38"/>
      <c r="S19" s="38"/>
      <c r="T19" s="38"/>
      <c r="U19" s="38"/>
    </row>
    <row r="20" spans="1:21" customFormat="1">
      <c r="A20" s="40" t="s">
        <v>696</v>
      </c>
      <c r="B20" s="41">
        <v>4.91</v>
      </c>
      <c r="C20" s="41">
        <v>16.440000000000001</v>
      </c>
      <c r="D20" s="41">
        <v>12.53</v>
      </c>
      <c r="E20" s="41">
        <v>7.02</v>
      </c>
      <c r="F20" s="28" t="s">
        <v>15</v>
      </c>
      <c r="G20" s="41">
        <v>58.13</v>
      </c>
      <c r="H20" s="41">
        <v>16.2</v>
      </c>
      <c r="I20" s="41">
        <v>10.94</v>
      </c>
      <c r="J20" s="41">
        <v>1.42</v>
      </c>
      <c r="K20" s="41">
        <v>53.34</v>
      </c>
      <c r="L20" s="41">
        <v>13.95</v>
      </c>
      <c r="M20" s="41">
        <v>5.24</v>
      </c>
      <c r="N20" s="41">
        <v>504.4</v>
      </c>
      <c r="O20" s="41">
        <v>0</v>
      </c>
      <c r="P20" s="41">
        <v>0.61</v>
      </c>
      <c r="Q20" s="41">
        <v>9.32</v>
      </c>
      <c r="R20" s="38"/>
      <c r="S20" s="38"/>
      <c r="T20" s="38"/>
      <c r="U20" s="38"/>
    </row>
    <row r="21" spans="1:21" customFormat="1">
      <c r="A21" s="40" t="s">
        <v>697</v>
      </c>
      <c r="B21" s="41">
        <v>3.82</v>
      </c>
      <c r="C21" s="41">
        <v>17.100000000000001</v>
      </c>
      <c r="D21" s="41">
        <v>11.74</v>
      </c>
      <c r="E21" s="41">
        <v>8.3000000000000007</v>
      </c>
      <c r="F21" s="28" t="s">
        <v>15</v>
      </c>
      <c r="G21" s="41">
        <v>46.84</v>
      </c>
      <c r="H21" s="41">
        <v>15.4</v>
      </c>
      <c r="I21" s="41">
        <v>10.67</v>
      </c>
      <c r="J21" s="41">
        <v>1.22</v>
      </c>
      <c r="K21" s="41">
        <v>47.87</v>
      </c>
      <c r="L21" s="41">
        <v>15.74</v>
      </c>
      <c r="M21" s="41">
        <v>10.55</v>
      </c>
      <c r="N21" s="41">
        <v>500.6</v>
      </c>
      <c r="O21" s="41">
        <v>0</v>
      </c>
      <c r="P21" s="41">
        <v>0.56999999999999995</v>
      </c>
      <c r="Q21" s="41">
        <v>9.7100000000000009</v>
      </c>
      <c r="R21" s="38"/>
      <c r="S21" s="38"/>
      <c r="T21" s="38"/>
      <c r="U21" s="38"/>
    </row>
    <row r="22" spans="1:21" customFormat="1">
      <c r="A22" s="40" t="s">
        <v>698</v>
      </c>
      <c r="B22" s="41">
        <v>3.47</v>
      </c>
      <c r="C22" s="41">
        <v>19.78</v>
      </c>
      <c r="D22" s="41">
        <v>12.89</v>
      </c>
      <c r="E22" s="41">
        <v>10.6</v>
      </c>
      <c r="F22" s="28" t="s">
        <v>15</v>
      </c>
      <c r="G22" s="41">
        <v>60.42</v>
      </c>
      <c r="H22" s="41">
        <v>35.57</v>
      </c>
      <c r="I22" s="41">
        <v>10.28</v>
      </c>
      <c r="J22" s="41">
        <v>1.29</v>
      </c>
      <c r="K22" s="41">
        <v>33.67</v>
      </c>
      <c r="L22" s="41">
        <v>12.97</v>
      </c>
      <c r="M22" s="41">
        <v>11.64</v>
      </c>
      <c r="N22" s="41">
        <v>438.1</v>
      </c>
      <c r="O22" s="41">
        <v>0</v>
      </c>
      <c r="P22" s="41">
        <v>0.54</v>
      </c>
      <c r="Q22" s="41">
        <v>9.76</v>
      </c>
      <c r="R22" s="38"/>
      <c r="S22" s="38"/>
      <c r="T22" s="38"/>
      <c r="U22" s="38"/>
    </row>
    <row r="23" spans="1:21" customFormat="1">
      <c r="A23" s="40" t="s">
        <v>699</v>
      </c>
      <c r="B23" s="41">
        <v>3.04</v>
      </c>
      <c r="C23" s="41">
        <v>21.34</v>
      </c>
      <c r="D23" s="41">
        <v>13.47</v>
      </c>
      <c r="E23" s="41">
        <v>9.11</v>
      </c>
      <c r="F23" s="41">
        <v>11.34</v>
      </c>
      <c r="G23" s="41">
        <v>65.260000000000005</v>
      </c>
      <c r="H23" s="41">
        <v>35.57</v>
      </c>
      <c r="I23" s="41">
        <v>8.9600000000000009</v>
      </c>
      <c r="J23" s="41">
        <v>1.48</v>
      </c>
      <c r="K23" s="41">
        <v>42.02</v>
      </c>
      <c r="L23" s="41">
        <v>29.3</v>
      </c>
      <c r="M23" s="41">
        <v>17.329999999999998</v>
      </c>
      <c r="N23" s="41">
        <v>117.7</v>
      </c>
      <c r="O23" s="41">
        <v>0</v>
      </c>
      <c r="P23" s="41">
        <v>0.42</v>
      </c>
      <c r="Q23" s="41">
        <v>9.32</v>
      </c>
      <c r="R23" s="38"/>
      <c r="S23" s="38"/>
      <c r="T23" s="38"/>
      <c r="U23" s="38"/>
    </row>
    <row r="24" spans="1:21" customFormat="1">
      <c r="A24" s="40" t="s">
        <v>700</v>
      </c>
      <c r="B24" s="41">
        <v>2.92</v>
      </c>
      <c r="C24" s="41">
        <v>23.49</v>
      </c>
      <c r="D24" s="41">
        <v>14.52</v>
      </c>
      <c r="E24" s="41">
        <v>7.72</v>
      </c>
      <c r="F24" s="41">
        <v>18.34</v>
      </c>
      <c r="G24" s="41">
        <v>65.260000000000005</v>
      </c>
      <c r="H24" s="41">
        <v>32.119999999999997</v>
      </c>
      <c r="I24" s="41">
        <v>8.11</v>
      </c>
      <c r="J24" s="41">
        <v>1.1100000000000001</v>
      </c>
      <c r="K24" s="41">
        <v>42.77</v>
      </c>
      <c r="L24" s="41">
        <v>29.26</v>
      </c>
      <c r="M24" s="41">
        <v>20.88</v>
      </c>
      <c r="N24" s="41">
        <v>76.599999999999994</v>
      </c>
      <c r="O24" s="41">
        <v>0</v>
      </c>
      <c r="P24" s="41">
        <v>0.39</v>
      </c>
      <c r="Q24" s="41">
        <v>9.32</v>
      </c>
      <c r="R24" s="38"/>
      <c r="S24" s="38"/>
      <c r="T24" s="38"/>
      <c r="U24" s="38"/>
    </row>
    <row r="25" spans="1:21" customFormat="1">
      <c r="A25" s="40" t="s">
        <v>701</v>
      </c>
      <c r="B25" s="41">
        <v>2.93</v>
      </c>
      <c r="C25" s="41">
        <v>24.05</v>
      </c>
      <c r="D25" s="41">
        <v>14.79</v>
      </c>
      <c r="E25" s="41">
        <v>7.63</v>
      </c>
      <c r="F25" s="41">
        <v>17.07</v>
      </c>
      <c r="G25" s="41">
        <v>59.01</v>
      </c>
      <c r="H25" s="41">
        <v>30.14</v>
      </c>
      <c r="I25" s="41">
        <v>8.1999999999999993</v>
      </c>
      <c r="J25" s="41">
        <v>0.56000000000000005</v>
      </c>
      <c r="K25" s="41">
        <v>127.81</v>
      </c>
      <c r="L25" s="41">
        <v>28.55</v>
      </c>
      <c r="M25" s="41">
        <v>29.13</v>
      </c>
      <c r="N25" s="41">
        <v>43.6</v>
      </c>
      <c r="O25" s="41">
        <v>0</v>
      </c>
      <c r="P25" s="41">
        <v>0.42</v>
      </c>
      <c r="Q25" s="41">
        <v>9.32</v>
      </c>
      <c r="R25" s="38"/>
      <c r="S25" s="38"/>
      <c r="T25" s="38"/>
      <c r="U25" s="38"/>
    </row>
    <row r="26" spans="1:21" customFormat="1">
      <c r="A26" s="40" t="s">
        <v>702</v>
      </c>
      <c r="B26" s="41">
        <v>3.39</v>
      </c>
      <c r="C26" s="41">
        <v>22.5</v>
      </c>
      <c r="D26" s="41">
        <v>14.17</v>
      </c>
      <c r="E26" s="41">
        <v>4.1399999999999997</v>
      </c>
      <c r="F26" s="41">
        <v>3.51</v>
      </c>
      <c r="G26" s="41">
        <v>89.65</v>
      </c>
      <c r="H26" s="41">
        <v>30.06</v>
      </c>
      <c r="I26" s="41">
        <v>7.79</v>
      </c>
      <c r="J26" s="41">
        <v>0.22</v>
      </c>
      <c r="K26" s="41">
        <v>142.85</v>
      </c>
      <c r="L26" s="41">
        <v>26.76</v>
      </c>
      <c r="M26" s="41">
        <v>33.9</v>
      </c>
      <c r="N26" s="41">
        <v>7.3</v>
      </c>
      <c r="O26" s="41">
        <v>0</v>
      </c>
      <c r="P26" s="41">
        <v>0.44</v>
      </c>
      <c r="Q26" s="41">
        <v>9.32</v>
      </c>
      <c r="R26" s="38"/>
      <c r="S26" s="38"/>
      <c r="T26" s="38"/>
      <c r="U26" s="38"/>
    </row>
    <row r="27" spans="1:21" customFormat="1">
      <c r="A27" s="40" t="s">
        <v>703</v>
      </c>
      <c r="B27" s="41">
        <v>3.85</v>
      </c>
      <c r="C27" s="41">
        <v>19.899999999999999</v>
      </c>
      <c r="D27" s="41">
        <v>13.21</v>
      </c>
      <c r="E27" s="41">
        <v>4.8600000000000003</v>
      </c>
      <c r="F27" s="41">
        <v>1.25</v>
      </c>
      <c r="G27" s="41">
        <v>101.88</v>
      </c>
      <c r="H27" s="41">
        <v>35.67</v>
      </c>
      <c r="I27" s="41">
        <v>8.18</v>
      </c>
      <c r="J27" s="41">
        <v>0.21</v>
      </c>
      <c r="K27" s="41">
        <v>144.06</v>
      </c>
      <c r="L27" s="41">
        <v>24.89</v>
      </c>
      <c r="M27" s="41">
        <v>37.81</v>
      </c>
      <c r="N27" s="41">
        <v>1.7</v>
      </c>
      <c r="O27" s="41">
        <v>0</v>
      </c>
      <c r="P27" s="41">
        <v>0.48</v>
      </c>
      <c r="Q27" s="41">
        <v>9.32</v>
      </c>
      <c r="R27" s="38"/>
      <c r="S27" s="38"/>
      <c r="T27" s="38"/>
      <c r="U27" s="38"/>
    </row>
    <row r="28" spans="1:21" customFormat="1">
      <c r="A28" s="40" t="s">
        <v>704</v>
      </c>
      <c r="B28" s="41">
        <v>4.43</v>
      </c>
      <c r="C28" s="41">
        <v>18.84</v>
      </c>
      <c r="D28" s="41">
        <v>13.08</v>
      </c>
      <c r="E28" s="41">
        <v>5.19</v>
      </c>
      <c r="F28" s="41">
        <v>1.4</v>
      </c>
      <c r="G28" s="41">
        <v>101.55</v>
      </c>
      <c r="H28" s="41">
        <v>36.75</v>
      </c>
      <c r="I28" s="41">
        <v>8.6300000000000008</v>
      </c>
      <c r="J28" s="41">
        <v>0.17</v>
      </c>
      <c r="K28" s="41">
        <v>145.63999999999999</v>
      </c>
      <c r="L28" s="41">
        <v>23.8</v>
      </c>
      <c r="M28" s="41">
        <v>39.68</v>
      </c>
      <c r="N28" s="41">
        <v>1.5</v>
      </c>
      <c r="O28" s="41">
        <v>0</v>
      </c>
      <c r="P28" s="41">
        <v>0.53</v>
      </c>
      <c r="Q28" s="41">
        <v>9.32</v>
      </c>
      <c r="R28" s="38"/>
      <c r="S28" s="38"/>
      <c r="T28" s="38"/>
      <c r="U28" s="38"/>
    </row>
    <row r="29" spans="1:21" customFormat="1">
      <c r="A29" s="40" t="s">
        <v>705</v>
      </c>
      <c r="B29" s="41">
        <v>4.96</v>
      </c>
      <c r="C29" s="41">
        <v>17.41</v>
      </c>
      <c r="D29" s="41">
        <v>12.74</v>
      </c>
      <c r="E29" s="41">
        <v>5.07</v>
      </c>
      <c r="F29" s="41">
        <v>0.84</v>
      </c>
      <c r="G29" s="41">
        <v>100.83</v>
      </c>
      <c r="H29" s="41">
        <v>39.53</v>
      </c>
      <c r="I29" s="41">
        <v>8.68</v>
      </c>
      <c r="J29" s="41">
        <v>0.19</v>
      </c>
      <c r="K29" s="41">
        <v>171.62</v>
      </c>
      <c r="L29" s="41">
        <v>22.69</v>
      </c>
      <c r="M29" s="41">
        <v>60.56</v>
      </c>
      <c r="N29" s="41">
        <v>2.1</v>
      </c>
      <c r="O29" s="41">
        <v>0</v>
      </c>
      <c r="P29" s="41">
        <v>0.56000000000000005</v>
      </c>
      <c r="Q29" s="41">
        <v>9.32</v>
      </c>
      <c r="R29" s="38"/>
      <c r="S29" s="38"/>
      <c r="T29" s="38"/>
      <c r="U29" s="38"/>
    </row>
    <row r="30" spans="1:21" customFormat="1">
      <c r="A30" s="40" t="s">
        <v>706</v>
      </c>
      <c r="B30" s="41">
        <v>7.11</v>
      </c>
      <c r="C30" s="41">
        <v>17.27</v>
      </c>
      <c r="D30" s="41">
        <v>14.72</v>
      </c>
      <c r="E30" s="41">
        <v>5.21</v>
      </c>
      <c r="F30" s="41">
        <v>0.3</v>
      </c>
      <c r="G30" s="41">
        <v>92.64</v>
      </c>
      <c r="H30" s="41">
        <v>39.72</v>
      </c>
      <c r="I30" s="41">
        <v>9.3000000000000007</v>
      </c>
      <c r="J30" s="41">
        <v>0.41</v>
      </c>
      <c r="K30" s="41">
        <v>92.88</v>
      </c>
      <c r="L30" s="41">
        <v>21.81</v>
      </c>
      <c r="M30" s="41">
        <v>44.64</v>
      </c>
      <c r="N30" s="41">
        <v>1.2</v>
      </c>
      <c r="O30" s="41">
        <v>0</v>
      </c>
      <c r="P30" s="41">
        <v>0.6</v>
      </c>
      <c r="Q30" s="41">
        <v>9.32</v>
      </c>
      <c r="R30" s="38"/>
      <c r="S30" s="38"/>
      <c r="T30" s="38"/>
      <c r="U30" s="38"/>
    </row>
    <row r="31" spans="1:21" customFormat="1">
      <c r="A31" s="40" t="s">
        <v>707</v>
      </c>
      <c r="B31" s="41">
        <v>8.61</v>
      </c>
      <c r="C31" s="41">
        <v>17.71</v>
      </c>
      <c r="D31" s="41">
        <v>16.16</v>
      </c>
      <c r="E31" s="41">
        <v>5.55</v>
      </c>
      <c r="F31" s="41">
        <v>0.35</v>
      </c>
      <c r="G31" s="41">
        <v>101.8</v>
      </c>
      <c r="H31" s="41">
        <v>43.02</v>
      </c>
      <c r="I31" s="41">
        <v>9.7899999999999991</v>
      </c>
      <c r="J31" s="41">
        <v>0.38</v>
      </c>
      <c r="K31" s="41">
        <v>142.56</v>
      </c>
      <c r="L31" s="41">
        <v>21.7</v>
      </c>
      <c r="M31" s="41">
        <v>50.76</v>
      </c>
      <c r="N31" s="41">
        <v>1.7</v>
      </c>
      <c r="O31" s="41">
        <v>0</v>
      </c>
      <c r="P31" s="41">
        <v>0.63</v>
      </c>
      <c r="Q31" s="41">
        <v>9.32</v>
      </c>
      <c r="R31" s="38"/>
      <c r="S31" s="38"/>
      <c r="T31" s="38"/>
      <c r="U31" s="38"/>
    </row>
    <row r="32" spans="1:21" customFormat="1">
      <c r="A32" s="40" t="s">
        <v>708</v>
      </c>
      <c r="B32" s="41">
        <v>8.93</v>
      </c>
      <c r="C32" s="41">
        <v>17.63</v>
      </c>
      <c r="D32" s="41">
        <v>16.149999999999999</v>
      </c>
      <c r="E32" s="41">
        <v>5.21</v>
      </c>
      <c r="F32" s="41">
        <v>0.46</v>
      </c>
      <c r="G32" s="41">
        <v>101.8</v>
      </c>
      <c r="H32" s="41">
        <v>43.02</v>
      </c>
      <c r="I32" s="41">
        <v>9.9</v>
      </c>
      <c r="J32" s="41">
        <v>0.19</v>
      </c>
      <c r="K32" s="41">
        <v>215.06</v>
      </c>
      <c r="L32" s="41">
        <v>19.8</v>
      </c>
      <c r="M32" s="41">
        <v>67.78</v>
      </c>
      <c r="N32" s="41">
        <v>2.1</v>
      </c>
      <c r="O32" s="41">
        <v>0</v>
      </c>
      <c r="P32" s="41">
        <v>0.63</v>
      </c>
      <c r="Q32" s="41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2.92</v>
      </c>
      <c r="C34" s="18">
        <f t="shared" si="0"/>
        <v>15.65</v>
      </c>
      <c r="D34" s="18">
        <f t="shared" si="0"/>
        <v>11.74</v>
      </c>
      <c r="E34" s="18">
        <f t="shared" si="0"/>
        <v>4.1399999999999997</v>
      </c>
      <c r="F34" s="18">
        <f t="shared" si="0"/>
        <v>0.3</v>
      </c>
      <c r="G34" s="18">
        <f t="shared" si="0"/>
        <v>46.84</v>
      </c>
      <c r="H34" s="18">
        <f t="shared" si="0"/>
        <v>15.4</v>
      </c>
      <c r="I34" s="18">
        <f t="shared" si="0"/>
        <v>7.79</v>
      </c>
      <c r="J34" s="18">
        <f t="shared" si="0"/>
        <v>0.17</v>
      </c>
      <c r="K34" s="18">
        <f t="shared" si="0"/>
        <v>33.67</v>
      </c>
      <c r="L34" s="18">
        <f t="shared" si="0"/>
        <v>7.57</v>
      </c>
      <c r="M34" s="18">
        <f t="shared" si="0"/>
        <v>0.02</v>
      </c>
      <c r="N34" s="18">
        <f t="shared" si="0"/>
        <v>1.2</v>
      </c>
      <c r="O34" s="18">
        <f t="shared" si="0"/>
        <v>0</v>
      </c>
      <c r="P34" s="18">
        <f t="shared" si="0"/>
        <v>0.39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10.44</v>
      </c>
      <c r="C35" s="3">
        <f t="shared" si="1"/>
        <v>24.05</v>
      </c>
      <c r="D35" s="3">
        <f t="shared" si="1"/>
        <v>17.21</v>
      </c>
      <c r="E35" s="3">
        <f t="shared" si="1"/>
        <v>10.6</v>
      </c>
      <c r="F35" s="3">
        <f t="shared" si="1"/>
        <v>18.34</v>
      </c>
      <c r="G35" s="3">
        <f t="shared" si="1"/>
        <v>114.49</v>
      </c>
      <c r="H35" s="3">
        <f t="shared" si="1"/>
        <v>43.02</v>
      </c>
      <c r="I35" s="3">
        <f t="shared" si="1"/>
        <v>11.32</v>
      </c>
      <c r="J35" s="3">
        <f t="shared" si="1"/>
        <v>1.48</v>
      </c>
      <c r="K35" s="3">
        <f t="shared" si="1"/>
        <v>215.06</v>
      </c>
      <c r="L35" s="3">
        <f t="shared" si="1"/>
        <v>29.3</v>
      </c>
      <c r="M35" s="3">
        <f t="shared" si="1"/>
        <v>67.78</v>
      </c>
      <c r="N35" s="3">
        <f t="shared" si="1"/>
        <v>504.4</v>
      </c>
      <c r="O35" s="3">
        <f t="shared" si="1"/>
        <v>0</v>
      </c>
      <c r="P35" s="3">
        <f t="shared" si="1"/>
        <v>0.72</v>
      </c>
      <c r="Q35" s="3">
        <f t="shared" si="1"/>
        <v>9.76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6.6108333333333347</v>
      </c>
      <c r="C36" s="18">
        <f t="shared" si="2"/>
        <v>18.144166666666667</v>
      </c>
      <c r="D36" s="18">
        <f t="shared" si="2"/>
        <v>14.666666666666666</v>
      </c>
      <c r="E36" s="18">
        <f t="shared" si="2"/>
        <v>6.6975000000000007</v>
      </c>
      <c r="F36" s="18">
        <f t="shared" si="2"/>
        <v>5.4859999999999998</v>
      </c>
      <c r="G36" s="18">
        <f t="shared" si="2"/>
        <v>90.111250000000027</v>
      </c>
      <c r="H36" s="18">
        <f t="shared" si="2"/>
        <v>33.484583333333326</v>
      </c>
      <c r="I36" s="18">
        <f t="shared" si="2"/>
        <v>9.9262499999999996</v>
      </c>
      <c r="J36" s="18">
        <f t="shared" si="2"/>
        <v>0.67500000000000016</v>
      </c>
      <c r="K36" s="18">
        <f t="shared" si="2"/>
        <v>90.406249999999986</v>
      </c>
      <c r="L36" s="18">
        <f t="shared" si="2"/>
        <v>16.949583333333333</v>
      </c>
      <c r="M36" s="18">
        <f t="shared" si="2"/>
        <v>20.858750000000001</v>
      </c>
      <c r="N36" s="18">
        <f t="shared" si="2"/>
        <v>118.22499999999997</v>
      </c>
      <c r="O36" s="18">
        <f t="shared" si="2"/>
        <v>0</v>
      </c>
      <c r="P36" s="18">
        <f t="shared" si="2"/>
        <v>0.57916666666666672</v>
      </c>
      <c r="Q36" s="18">
        <f t="shared" si="2"/>
        <v>9.3579166666666627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2.6478636452917952</v>
      </c>
      <c r="C37" s="18">
        <f t="shared" ref="C37:Q37" si="3">STDEV(C9:C32)</f>
        <v>2.4538327016193087</v>
      </c>
      <c r="D37" s="18">
        <f t="shared" si="3"/>
        <v>1.521385714654125</v>
      </c>
      <c r="E37" s="18">
        <f t="shared" si="3"/>
        <v>1.4367664479959661</v>
      </c>
      <c r="F37" s="18">
        <f t="shared" si="3"/>
        <v>7.2445108722244163</v>
      </c>
      <c r="G37" s="18">
        <f t="shared" si="3"/>
        <v>19.482366009447684</v>
      </c>
      <c r="H37" s="18">
        <f t="shared" si="3"/>
        <v>6.4298590012039289</v>
      </c>
      <c r="I37" s="18">
        <f t="shared" si="3"/>
        <v>1.1406436493412757</v>
      </c>
      <c r="J37" s="18">
        <f t="shared" si="3"/>
        <v>0.46042513435717858</v>
      </c>
      <c r="K37" s="18">
        <f t="shared" si="3"/>
        <v>53.056709186246344</v>
      </c>
      <c r="L37" s="18">
        <f t="shared" si="3"/>
        <v>7.5074962416800837</v>
      </c>
      <c r="M37" s="18">
        <f t="shared" si="3"/>
        <v>20.152283140152374</v>
      </c>
      <c r="N37" s="18">
        <f t="shared" si="3"/>
        <v>180.19035888410514</v>
      </c>
      <c r="O37" s="18">
        <f t="shared" si="3"/>
        <v>0</v>
      </c>
      <c r="P37" s="18">
        <f t="shared" si="3"/>
        <v>8.934139050838083E-2</v>
      </c>
      <c r="Q37" s="18">
        <f t="shared" si="3"/>
        <v>0.11750963574428112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>COUNT(F9:F32)+14</f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66929133858267698" right="2.63779527559055" top="0.196850393700787" bottom="2.0866141732283499" header="0.31496062992126" footer="0.15748031496063"/>
  <pageSetup paperSize="9" scale="9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T10" sqref="T10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28/11/2025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709</v>
      </c>
      <c r="B9" s="41">
        <v>8.8699999999999992</v>
      </c>
      <c r="C9" s="41">
        <v>16.57</v>
      </c>
      <c r="D9" s="41">
        <v>15.77</v>
      </c>
      <c r="E9" s="41">
        <v>5.34</v>
      </c>
      <c r="F9" s="41">
        <v>0.21</v>
      </c>
      <c r="G9" s="41">
        <v>94.4</v>
      </c>
      <c r="H9" s="41">
        <v>40.82</v>
      </c>
      <c r="I9" s="41">
        <v>9.9499999999999993</v>
      </c>
      <c r="J9" s="41">
        <v>0.17</v>
      </c>
      <c r="K9" s="41">
        <v>206.57</v>
      </c>
      <c r="L9" s="41">
        <v>18.66</v>
      </c>
      <c r="M9" s="41">
        <v>76.02</v>
      </c>
      <c r="N9" s="41">
        <v>1.4</v>
      </c>
      <c r="O9" s="41">
        <v>0</v>
      </c>
      <c r="P9" s="41">
        <v>0.6</v>
      </c>
      <c r="Q9" s="41">
        <v>9.32</v>
      </c>
      <c r="R9" s="38"/>
      <c r="S9" s="38"/>
      <c r="T9" s="38"/>
      <c r="U9" s="38"/>
    </row>
    <row r="10" spans="1:21" customFormat="1">
      <c r="A10" s="40" t="s">
        <v>710</v>
      </c>
      <c r="B10" s="41">
        <v>9.8000000000000007</v>
      </c>
      <c r="C10" s="41">
        <v>17.010000000000002</v>
      </c>
      <c r="D10" s="41">
        <v>16.739999999999998</v>
      </c>
      <c r="E10" s="41">
        <v>5.44</v>
      </c>
      <c r="F10" s="41">
        <v>0.22</v>
      </c>
      <c r="G10" s="41">
        <v>86.28</v>
      </c>
      <c r="H10" s="41">
        <v>40.5</v>
      </c>
      <c r="I10" s="41">
        <v>9.9600000000000009</v>
      </c>
      <c r="J10" s="41">
        <v>0.35</v>
      </c>
      <c r="K10" s="41">
        <v>223.82</v>
      </c>
      <c r="L10" s="41">
        <v>18.47</v>
      </c>
      <c r="M10" s="41">
        <v>66.67</v>
      </c>
      <c r="N10" s="41">
        <v>1.4</v>
      </c>
      <c r="O10" s="41">
        <v>0</v>
      </c>
      <c r="P10" s="41">
        <v>0.59</v>
      </c>
      <c r="Q10" s="41">
        <v>9.32</v>
      </c>
      <c r="R10" s="38"/>
      <c r="S10" s="38"/>
      <c r="T10" s="38"/>
      <c r="U10" s="38"/>
    </row>
    <row r="11" spans="1:21" customFormat="1">
      <c r="A11" s="40" t="s">
        <v>711</v>
      </c>
      <c r="B11" s="41">
        <v>9.66</v>
      </c>
      <c r="C11" s="41">
        <v>16.91</v>
      </c>
      <c r="D11" s="41">
        <v>16.579999999999998</v>
      </c>
      <c r="E11" s="41">
        <v>5.2</v>
      </c>
      <c r="F11" s="41">
        <v>0.28999999999999998</v>
      </c>
      <c r="G11" s="41">
        <v>78.67</v>
      </c>
      <c r="H11" s="41">
        <v>37.130000000000003</v>
      </c>
      <c r="I11" s="41">
        <v>12.2</v>
      </c>
      <c r="J11" s="41">
        <v>0.23</v>
      </c>
      <c r="K11" s="41">
        <v>190.23</v>
      </c>
      <c r="L11" s="41">
        <v>18.350000000000001</v>
      </c>
      <c r="M11" s="41">
        <v>68.77</v>
      </c>
      <c r="N11" s="41">
        <v>1.7</v>
      </c>
      <c r="O11" s="41">
        <v>0</v>
      </c>
      <c r="P11" s="41">
        <v>0.66</v>
      </c>
      <c r="Q11" s="41">
        <v>9.32</v>
      </c>
      <c r="R11" s="38"/>
      <c r="S11" s="38"/>
      <c r="T11" s="38"/>
      <c r="U11" s="38"/>
    </row>
    <row r="12" spans="1:21" customFormat="1">
      <c r="A12" s="40" t="s">
        <v>712</v>
      </c>
      <c r="B12" s="41">
        <v>10.33</v>
      </c>
      <c r="C12" s="41">
        <v>16.64</v>
      </c>
      <c r="D12" s="41">
        <v>16.829999999999998</v>
      </c>
      <c r="E12" s="41">
        <v>5.0999999999999996</v>
      </c>
      <c r="F12" s="41">
        <v>0.27</v>
      </c>
      <c r="G12" s="41">
        <v>78.67</v>
      </c>
      <c r="H12" s="41">
        <v>38.75</v>
      </c>
      <c r="I12" s="41">
        <v>14.26</v>
      </c>
      <c r="J12" s="41">
        <v>0.4</v>
      </c>
      <c r="K12" s="41">
        <v>160.44999999999999</v>
      </c>
      <c r="L12" s="41">
        <v>17.89</v>
      </c>
      <c r="M12" s="41">
        <v>70.040000000000006</v>
      </c>
      <c r="N12" s="41">
        <v>1.4</v>
      </c>
      <c r="O12" s="41">
        <v>0</v>
      </c>
      <c r="P12" s="41">
        <v>0.66</v>
      </c>
      <c r="Q12" s="41">
        <v>9.32</v>
      </c>
      <c r="R12" s="38"/>
      <c r="S12" s="38"/>
      <c r="T12" s="38"/>
      <c r="U12" s="38"/>
    </row>
    <row r="13" spans="1:21" customFormat="1">
      <c r="A13" s="40" t="s">
        <v>713</v>
      </c>
      <c r="B13" s="41">
        <v>11.57</v>
      </c>
      <c r="C13" s="41">
        <v>16.5</v>
      </c>
      <c r="D13" s="41">
        <v>17.89</v>
      </c>
      <c r="E13" s="41">
        <v>5.24</v>
      </c>
      <c r="F13" s="41">
        <v>0.15</v>
      </c>
      <c r="G13" s="41">
        <v>86.2</v>
      </c>
      <c r="H13" s="41">
        <v>39.18</v>
      </c>
      <c r="I13" s="41">
        <v>18.690000000000001</v>
      </c>
      <c r="J13" s="41">
        <v>0.42</v>
      </c>
      <c r="K13" s="41">
        <v>39.97</v>
      </c>
      <c r="L13" s="41">
        <v>17.8</v>
      </c>
      <c r="M13" s="41">
        <v>68.27</v>
      </c>
      <c r="N13" s="41">
        <v>1.4</v>
      </c>
      <c r="O13" s="41">
        <v>0</v>
      </c>
      <c r="P13" s="41">
        <v>0.74</v>
      </c>
      <c r="Q13" s="41">
        <v>9.32</v>
      </c>
      <c r="R13" s="38"/>
      <c r="S13" s="38"/>
      <c r="T13" s="38"/>
      <c r="U13" s="38"/>
    </row>
    <row r="14" spans="1:21" customFormat="1">
      <c r="A14" s="40" t="s">
        <v>714</v>
      </c>
      <c r="B14" s="41">
        <v>12.82</v>
      </c>
      <c r="C14" s="41">
        <v>16.59</v>
      </c>
      <c r="D14" s="41">
        <v>18.829999999999998</v>
      </c>
      <c r="E14" s="41">
        <v>5.0599999999999996</v>
      </c>
      <c r="F14" s="41">
        <v>0.26</v>
      </c>
      <c r="G14" s="41">
        <v>87.38</v>
      </c>
      <c r="H14" s="41">
        <v>39.18</v>
      </c>
      <c r="I14" s="41">
        <v>22.87</v>
      </c>
      <c r="J14" s="41">
        <v>0.42</v>
      </c>
      <c r="K14" s="41">
        <v>58.07</v>
      </c>
      <c r="L14" s="41">
        <v>17.309999999999999</v>
      </c>
      <c r="M14" s="41">
        <v>72.75</v>
      </c>
      <c r="N14" s="41">
        <v>1.5</v>
      </c>
      <c r="O14" s="41">
        <v>0</v>
      </c>
      <c r="P14" s="41">
        <v>0.76</v>
      </c>
      <c r="Q14" s="41">
        <v>9.32</v>
      </c>
      <c r="R14" s="38"/>
      <c r="S14" s="38"/>
      <c r="T14" s="38"/>
      <c r="U14" s="38"/>
    </row>
    <row r="15" spans="1:21" customFormat="1">
      <c r="A15" s="40" t="s">
        <v>715</v>
      </c>
      <c r="B15" s="41">
        <v>14.24</v>
      </c>
      <c r="C15" s="41">
        <v>16.45</v>
      </c>
      <c r="D15" s="41">
        <v>19.93</v>
      </c>
      <c r="E15" s="41">
        <v>4.97</v>
      </c>
      <c r="F15" s="41">
        <v>0.24</v>
      </c>
      <c r="G15" s="41">
        <v>87.57</v>
      </c>
      <c r="H15" s="41">
        <v>38.31</v>
      </c>
      <c r="I15" s="41">
        <v>19.37</v>
      </c>
      <c r="J15" s="41">
        <v>0.3</v>
      </c>
      <c r="K15" s="41">
        <v>81.33</v>
      </c>
      <c r="L15" s="41">
        <v>16.96</v>
      </c>
      <c r="M15" s="41">
        <v>75.84</v>
      </c>
      <c r="N15" s="41">
        <v>23.9</v>
      </c>
      <c r="O15" s="41">
        <v>0</v>
      </c>
      <c r="P15" s="41">
        <v>0.73</v>
      </c>
      <c r="Q15" s="41">
        <v>9.32</v>
      </c>
      <c r="R15" s="38"/>
      <c r="S15" s="38"/>
      <c r="T15" s="38"/>
      <c r="U15" s="38"/>
    </row>
    <row r="16" spans="1:21" customFormat="1">
      <c r="A16" s="40" t="s">
        <v>716</v>
      </c>
      <c r="B16" s="41">
        <v>16.5</v>
      </c>
      <c r="C16" s="41">
        <v>17.43</v>
      </c>
      <c r="D16" s="41">
        <v>22.34</v>
      </c>
      <c r="E16" s="41">
        <v>5.0599999999999996</v>
      </c>
      <c r="F16" s="41">
        <v>0.17</v>
      </c>
      <c r="G16" s="41">
        <v>87.57</v>
      </c>
      <c r="H16" s="41">
        <v>37.65</v>
      </c>
      <c r="I16" s="41">
        <v>14.99</v>
      </c>
      <c r="J16" s="41">
        <v>0.51</v>
      </c>
      <c r="K16" s="41">
        <v>54.79</v>
      </c>
      <c r="L16" s="41">
        <v>18.8</v>
      </c>
      <c r="M16" s="41">
        <v>73.540000000000006</v>
      </c>
      <c r="N16" s="41">
        <v>112.1</v>
      </c>
      <c r="O16" s="41">
        <v>0</v>
      </c>
      <c r="P16" s="41">
        <v>0.73</v>
      </c>
      <c r="Q16" s="41">
        <v>9.32</v>
      </c>
      <c r="R16" s="38"/>
      <c r="S16" s="38"/>
      <c r="T16" s="38"/>
      <c r="U16" s="38"/>
    </row>
    <row r="17" spans="1:21" customFormat="1">
      <c r="A17" s="40" t="s">
        <v>717</v>
      </c>
      <c r="B17" s="41">
        <v>16.52</v>
      </c>
      <c r="C17" s="41">
        <v>17.95</v>
      </c>
      <c r="D17" s="41">
        <v>22.59</v>
      </c>
      <c r="E17" s="41">
        <v>4.9800000000000004</v>
      </c>
      <c r="F17" s="41">
        <v>0.22</v>
      </c>
      <c r="G17" s="41">
        <v>95.2</v>
      </c>
      <c r="H17" s="41">
        <v>39.74</v>
      </c>
      <c r="I17" s="41">
        <v>14.18</v>
      </c>
      <c r="J17" s="41">
        <v>0.86</v>
      </c>
      <c r="K17" s="41">
        <v>61.88</v>
      </c>
      <c r="L17" s="41">
        <v>22.13</v>
      </c>
      <c r="M17" s="41">
        <v>64.459999999999994</v>
      </c>
      <c r="N17" s="41">
        <v>284.60000000000002</v>
      </c>
      <c r="O17" s="41">
        <v>0</v>
      </c>
      <c r="P17" s="41">
        <v>0.73</v>
      </c>
      <c r="Q17" s="41">
        <v>9.32</v>
      </c>
      <c r="R17" s="38"/>
      <c r="S17" s="38"/>
      <c r="T17" s="38"/>
      <c r="U17" s="38"/>
    </row>
    <row r="18" spans="1:21" customFormat="1">
      <c r="A18" s="40" t="s">
        <v>718</v>
      </c>
      <c r="B18" s="41">
        <v>14.71</v>
      </c>
      <c r="C18" s="41">
        <v>17.84</v>
      </c>
      <c r="D18" s="41">
        <v>20.96</v>
      </c>
      <c r="E18" s="41">
        <v>5.29</v>
      </c>
      <c r="F18" s="41">
        <v>0.48</v>
      </c>
      <c r="G18" s="41">
        <v>95.2</v>
      </c>
      <c r="H18" s="41">
        <v>39.74</v>
      </c>
      <c r="I18" s="41">
        <v>13.64</v>
      </c>
      <c r="J18" s="41">
        <v>0.97</v>
      </c>
      <c r="K18" s="41">
        <v>88.96</v>
      </c>
      <c r="L18" s="41">
        <v>25.04</v>
      </c>
      <c r="M18" s="41">
        <v>51.68</v>
      </c>
      <c r="N18" s="41">
        <v>368.3</v>
      </c>
      <c r="O18" s="41">
        <v>0</v>
      </c>
      <c r="P18" s="41">
        <v>0.72</v>
      </c>
      <c r="Q18" s="41">
        <v>9.32</v>
      </c>
      <c r="R18" s="38"/>
      <c r="S18" s="38"/>
      <c r="T18" s="38"/>
      <c r="U18" s="38"/>
    </row>
    <row r="19" spans="1:21" customFormat="1">
      <c r="A19" s="40" t="s">
        <v>719</v>
      </c>
      <c r="B19" s="41">
        <v>11.02</v>
      </c>
      <c r="C19" s="41">
        <v>18.82</v>
      </c>
      <c r="D19" s="41">
        <v>18.34</v>
      </c>
      <c r="E19" s="41">
        <v>5.82</v>
      </c>
      <c r="F19" s="41">
        <v>1.25</v>
      </c>
      <c r="G19" s="41">
        <v>93.65</v>
      </c>
      <c r="H19" s="41">
        <v>38.65</v>
      </c>
      <c r="I19" s="41">
        <v>13.04</v>
      </c>
      <c r="J19" s="41">
        <v>0.75</v>
      </c>
      <c r="K19" s="41">
        <v>75.849999999999994</v>
      </c>
      <c r="L19" s="41">
        <v>27.33</v>
      </c>
      <c r="M19" s="41">
        <v>39.799999999999997</v>
      </c>
      <c r="N19" s="41">
        <v>541.9</v>
      </c>
      <c r="O19" s="41">
        <v>0</v>
      </c>
      <c r="P19" s="41">
        <v>0.69</v>
      </c>
      <c r="Q19" s="41">
        <v>9.3699999999999992</v>
      </c>
      <c r="R19" s="38"/>
      <c r="S19" s="38"/>
      <c r="T19" s="38"/>
      <c r="U19" s="38"/>
    </row>
    <row r="20" spans="1:21" customFormat="1">
      <c r="A20" s="40" t="s">
        <v>720</v>
      </c>
      <c r="B20" s="41">
        <v>6.06</v>
      </c>
      <c r="C20" s="41">
        <v>18.86</v>
      </c>
      <c r="D20" s="41">
        <v>14.71</v>
      </c>
      <c r="E20" s="41">
        <v>5.77</v>
      </c>
      <c r="F20" s="41">
        <v>2.6</v>
      </c>
      <c r="G20" s="41">
        <v>92.19</v>
      </c>
      <c r="H20" s="41">
        <v>38.65</v>
      </c>
      <c r="I20" s="41">
        <v>13.96</v>
      </c>
      <c r="J20" s="41">
        <v>1.04</v>
      </c>
      <c r="K20" s="41">
        <v>87.09</v>
      </c>
      <c r="L20" s="41">
        <v>28.62</v>
      </c>
      <c r="M20" s="41">
        <v>36.51</v>
      </c>
      <c r="N20" s="41">
        <v>603</v>
      </c>
      <c r="O20" s="41">
        <v>0</v>
      </c>
      <c r="P20" s="41">
        <v>0.64</v>
      </c>
      <c r="Q20" s="41">
        <v>9.32</v>
      </c>
      <c r="R20" s="38"/>
      <c r="S20" s="38"/>
      <c r="T20" s="38"/>
      <c r="U20" s="38"/>
    </row>
    <row r="21" spans="1:21" customFormat="1">
      <c r="A21" s="40" t="s">
        <v>721</v>
      </c>
      <c r="B21" s="41">
        <v>3.59</v>
      </c>
      <c r="C21" s="41">
        <v>17.059999999999999</v>
      </c>
      <c r="D21" s="41">
        <v>11.8</v>
      </c>
      <c r="E21" s="41">
        <v>5.86</v>
      </c>
      <c r="F21" s="41">
        <v>4.3499999999999996</v>
      </c>
      <c r="G21" s="41">
        <v>73.290000000000006</v>
      </c>
      <c r="H21" s="41">
        <v>36.65</v>
      </c>
      <c r="I21" s="41">
        <v>13.4</v>
      </c>
      <c r="J21" s="41">
        <v>0.59</v>
      </c>
      <c r="K21" s="41">
        <v>120.99</v>
      </c>
      <c r="L21" s="41">
        <v>29.34</v>
      </c>
      <c r="M21" s="41">
        <v>32.89</v>
      </c>
      <c r="N21" s="41">
        <v>611.70000000000005</v>
      </c>
      <c r="O21" s="41">
        <v>0</v>
      </c>
      <c r="P21" s="41">
        <v>0.6</v>
      </c>
      <c r="Q21" s="41">
        <v>9.32</v>
      </c>
      <c r="R21" s="38"/>
      <c r="S21" s="38"/>
      <c r="T21" s="38"/>
      <c r="U21" s="38"/>
    </row>
    <row r="22" spans="1:21" customFormat="1">
      <c r="A22" s="40" t="s">
        <v>722</v>
      </c>
      <c r="B22" s="41">
        <v>3.15</v>
      </c>
      <c r="C22" s="41">
        <v>14.57</v>
      </c>
      <c r="D22" s="41">
        <v>10.1</v>
      </c>
      <c r="E22" s="41">
        <v>6.17</v>
      </c>
      <c r="F22" s="41">
        <v>4.8600000000000003</v>
      </c>
      <c r="G22" s="41">
        <v>71.13</v>
      </c>
      <c r="H22" s="41">
        <v>36.65</v>
      </c>
      <c r="I22" s="41">
        <v>12.57</v>
      </c>
      <c r="J22" s="41">
        <v>1</v>
      </c>
      <c r="K22" s="41">
        <v>61.75</v>
      </c>
      <c r="L22" s="41">
        <v>28.98</v>
      </c>
      <c r="M22" s="41">
        <v>31.48</v>
      </c>
      <c r="N22" s="41">
        <v>529.70000000000005</v>
      </c>
      <c r="O22" s="41">
        <v>0</v>
      </c>
      <c r="P22" s="41">
        <v>0.56999999999999995</v>
      </c>
      <c r="Q22" s="41">
        <v>9.32</v>
      </c>
      <c r="R22" s="38"/>
      <c r="S22" s="38"/>
      <c r="T22" s="38"/>
      <c r="U22" s="38"/>
    </row>
    <row r="23" spans="1:21" customFormat="1">
      <c r="A23" s="40" t="s">
        <v>723</v>
      </c>
      <c r="B23" s="41">
        <v>3.15</v>
      </c>
      <c r="C23" s="41">
        <v>14.33</v>
      </c>
      <c r="D23" s="41">
        <v>10.01</v>
      </c>
      <c r="E23" s="41">
        <v>6.23</v>
      </c>
      <c r="F23" s="41">
        <v>5.31</v>
      </c>
      <c r="G23" s="41">
        <v>67.75</v>
      </c>
      <c r="H23" s="41">
        <v>34.99</v>
      </c>
      <c r="I23" s="41">
        <v>11.56</v>
      </c>
      <c r="J23" s="41">
        <v>0.98</v>
      </c>
      <c r="K23" s="41">
        <v>67.03</v>
      </c>
      <c r="L23" s="41">
        <v>28.86</v>
      </c>
      <c r="M23" s="41">
        <v>30.98</v>
      </c>
      <c r="N23" s="41">
        <v>132.80000000000001</v>
      </c>
      <c r="O23" s="41">
        <v>0</v>
      </c>
      <c r="P23" s="41">
        <v>0.54</v>
      </c>
      <c r="Q23" s="41">
        <v>9.32</v>
      </c>
      <c r="R23" s="38"/>
      <c r="S23" s="38"/>
      <c r="T23" s="38"/>
      <c r="U23" s="38"/>
    </row>
    <row r="24" spans="1:21" customFormat="1">
      <c r="A24" s="40" t="s">
        <v>724</v>
      </c>
      <c r="B24" s="41">
        <v>3.41</v>
      </c>
      <c r="C24" s="41">
        <v>13.9</v>
      </c>
      <c r="D24" s="41">
        <v>9.92</v>
      </c>
      <c r="E24" s="41">
        <v>6.93</v>
      </c>
      <c r="F24" s="41">
        <v>7.72</v>
      </c>
      <c r="G24" s="41">
        <v>59.91</v>
      </c>
      <c r="H24" s="41">
        <v>32.770000000000003</v>
      </c>
      <c r="I24" s="41">
        <v>10.91</v>
      </c>
      <c r="J24" s="41">
        <v>1</v>
      </c>
      <c r="K24" s="41">
        <v>45.73</v>
      </c>
      <c r="L24" s="41">
        <v>28.57</v>
      </c>
      <c r="M24" s="41">
        <v>29.7</v>
      </c>
      <c r="N24" s="41">
        <v>79.599999999999994</v>
      </c>
      <c r="O24" s="41">
        <v>0</v>
      </c>
      <c r="P24" s="41">
        <v>0.53</v>
      </c>
      <c r="Q24" s="41">
        <v>9.32</v>
      </c>
      <c r="R24" s="38"/>
      <c r="S24" s="38"/>
      <c r="T24" s="38"/>
      <c r="U24" s="38"/>
    </row>
    <row r="25" spans="1:21" customFormat="1">
      <c r="A25" s="40" t="s">
        <v>725</v>
      </c>
      <c r="B25" s="41">
        <v>3.83</v>
      </c>
      <c r="C25" s="41">
        <v>13.99</v>
      </c>
      <c r="D25" s="41">
        <v>10.38</v>
      </c>
      <c r="E25" s="41">
        <v>6.82</v>
      </c>
      <c r="F25" s="41">
        <v>4.43</v>
      </c>
      <c r="G25" s="41">
        <v>55.97</v>
      </c>
      <c r="H25" s="41">
        <v>32.119999999999997</v>
      </c>
      <c r="I25" s="41">
        <v>10.63</v>
      </c>
      <c r="J25" s="41">
        <v>0.92</v>
      </c>
      <c r="K25" s="41">
        <v>54.25</v>
      </c>
      <c r="L25" s="41">
        <v>28.13</v>
      </c>
      <c r="M25" s="41">
        <v>34.58</v>
      </c>
      <c r="N25" s="41">
        <v>43.9</v>
      </c>
      <c r="O25" s="41">
        <v>0</v>
      </c>
      <c r="P25" s="41">
        <v>0.54</v>
      </c>
      <c r="Q25" s="41">
        <v>9.3800000000000008</v>
      </c>
      <c r="R25" s="38"/>
      <c r="S25" s="38"/>
      <c r="T25" s="38"/>
      <c r="U25" s="38"/>
    </row>
    <row r="26" spans="1:21" customFormat="1">
      <c r="A26" s="40" t="s">
        <v>726</v>
      </c>
      <c r="B26" s="41">
        <v>5.03</v>
      </c>
      <c r="C26" s="41">
        <v>15.53</v>
      </c>
      <c r="D26" s="41">
        <v>12.15</v>
      </c>
      <c r="E26" s="41">
        <v>6.55</v>
      </c>
      <c r="F26" s="41">
        <v>1.38</v>
      </c>
      <c r="G26" s="41">
        <v>59.51</v>
      </c>
      <c r="H26" s="41">
        <v>29.76</v>
      </c>
      <c r="I26" s="41">
        <v>10.58</v>
      </c>
      <c r="J26" s="41">
        <v>0.61</v>
      </c>
      <c r="K26" s="41">
        <v>59.76</v>
      </c>
      <c r="L26" s="41">
        <v>26.53</v>
      </c>
      <c r="M26" s="41">
        <v>40.51</v>
      </c>
      <c r="N26" s="41">
        <v>7.3</v>
      </c>
      <c r="O26" s="41">
        <v>0</v>
      </c>
      <c r="P26" s="41">
        <v>0.55000000000000004</v>
      </c>
      <c r="Q26" s="41">
        <v>9.7799999999999994</v>
      </c>
      <c r="R26" s="38"/>
      <c r="S26" s="38"/>
      <c r="T26" s="38"/>
      <c r="U26" s="38"/>
    </row>
    <row r="27" spans="1:21" customFormat="1">
      <c r="A27" s="40" t="s">
        <v>727</v>
      </c>
      <c r="B27" s="41">
        <v>6.83</v>
      </c>
      <c r="C27" s="41">
        <v>16.73</v>
      </c>
      <c r="D27" s="41">
        <v>14.22</v>
      </c>
      <c r="E27" s="41">
        <v>6.72</v>
      </c>
      <c r="F27" s="41">
        <v>0.35</v>
      </c>
      <c r="G27" s="41">
        <v>73.489999999999995</v>
      </c>
      <c r="H27" s="41">
        <v>34.61</v>
      </c>
      <c r="I27" s="41">
        <v>11.5</v>
      </c>
      <c r="J27" s="41">
        <v>0.51</v>
      </c>
      <c r="K27" s="41">
        <v>119.58</v>
      </c>
      <c r="L27" s="41">
        <v>24.92</v>
      </c>
      <c r="M27" s="41">
        <v>49.12</v>
      </c>
      <c r="N27" s="41">
        <v>2.1</v>
      </c>
      <c r="O27" s="41">
        <v>0</v>
      </c>
      <c r="P27" s="41">
        <v>0.6</v>
      </c>
      <c r="Q27" s="41">
        <v>9.32</v>
      </c>
      <c r="R27" s="38"/>
      <c r="S27" s="38"/>
      <c r="T27" s="38"/>
      <c r="U27" s="38"/>
    </row>
    <row r="28" spans="1:21" customFormat="1">
      <c r="A28" s="40" t="s">
        <v>728</v>
      </c>
      <c r="B28" s="41">
        <v>7.33</v>
      </c>
      <c r="C28" s="41">
        <v>17.239999999999998</v>
      </c>
      <c r="D28" s="41">
        <v>14.83</v>
      </c>
      <c r="E28" s="41">
        <v>6.8</v>
      </c>
      <c r="F28" s="41">
        <v>0.33</v>
      </c>
      <c r="G28" s="41">
        <v>87.08</v>
      </c>
      <c r="H28" s="41">
        <v>35.380000000000003</v>
      </c>
      <c r="I28" s="41">
        <v>12.34</v>
      </c>
      <c r="J28" s="41">
        <v>0.22</v>
      </c>
      <c r="K28" s="41">
        <v>171.47</v>
      </c>
      <c r="L28" s="41">
        <v>22.88</v>
      </c>
      <c r="M28" s="41">
        <v>56.66</v>
      </c>
      <c r="N28" s="41">
        <v>2.1</v>
      </c>
      <c r="O28" s="41">
        <v>0</v>
      </c>
      <c r="P28" s="41">
        <v>0.64</v>
      </c>
      <c r="Q28" s="41">
        <v>9.32</v>
      </c>
      <c r="R28" s="38"/>
      <c r="S28" s="38"/>
      <c r="T28" s="38"/>
      <c r="U28" s="38"/>
    </row>
    <row r="29" spans="1:21" customFormat="1">
      <c r="A29" s="40" t="s">
        <v>729</v>
      </c>
      <c r="B29" s="41">
        <v>7.19</v>
      </c>
      <c r="C29" s="41">
        <v>17.62</v>
      </c>
      <c r="D29" s="41">
        <v>14.92</v>
      </c>
      <c r="E29" s="41">
        <v>6.79</v>
      </c>
      <c r="F29" s="41">
        <v>0.31</v>
      </c>
      <c r="G29" s="41">
        <v>90.86</v>
      </c>
      <c r="H29" s="41">
        <v>42.08</v>
      </c>
      <c r="I29" s="41">
        <v>13.39</v>
      </c>
      <c r="J29" s="41">
        <v>0.27</v>
      </c>
      <c r="K29" s="41">
        <v>175.98</v>
      </c>
      <c r="L29" s="41">
        <v>22.39</v>
      </c>
      <c r="M29" s="41">
        <v>67.37</v>
      </c>
      <c r="N29" s="41">
        <v>1.9</v>
      </c>
      <c r="O29" s="41">
        <v>0</v>
      </c>
      <c r="P29" s="41">
        <v>0.69</v>
      </c>
      <c r="Q29" s="41">
        <v>9.32</v>
      </c>
      <c r="R29" s="38"/>
      <c r="S29" s="38"/>
      <c r="T29" s="38"/>
      <c r="U29" s="38"/>
    </row>
    <row r="30" spans="1:21" customFormat="1">
      <c r="A30" s="40" t="s">
        <v>730</v>
      </c>
      <c r="B30" s="41">
        <v>6.58</v>
      </c>
      <c r="C30" s="41">
        <v>16.88</v>
      </c>
      <c r="D30" s="41">
        <v>14.1</v>
      </c>
      <c r="E30" s="41">
        <v>6.66</v>
      </c>
      <c r="F30" s="41">
        <v>0.41</v>
      </c>
      <c r="G30" s="41">
        <v>91.5</v>
      </c>
      <c r="H30" s="41">
        <v>43.03</v>
      </c>
      <c r="I30" s="41">
        <v>13.51</v>
      </c>
      <c r="J30" s="41">
        <v>0.24</v>
      </c>
      <c r="K30" s="41">
        <v>228.3</v>
      </c>
      <c r="L30" s="41">
        <v>20.92</v>
      </c>
      <c r="M30" s="41">
        <v>74.02</v>
      </c>
      <c r="N30" s="41">
        <v>1.7</v>
      </c>
      <c r="O30" s="41">
        <v>0</v>
      </c>
      <c r="P30" s="41">
        <v>0.71</v>
      </c>
      <c r="Q30" s="41">
        <v>9.32</v>
      </c>
      <c r="R30" s="38"/>
      <c r="S30" s="38"/>
      <c r="T30" s="38"/>
      <c r="U30" s="38"/>
    </row>
    <row r="31" spans="1:21" customFormat="1">
      <c r="A31" s="40" t="s">
        <v>731</v>
      </c>
      <c r="B31" s="41">
        <v>8.92</v>
      </c>
      <c r="C31" s="41">
        <v>17.059999999999999</v>
      </c>
      <c r="D31" s="41">
        <v>16.07</v>
      </c>
      <c r="E31" s="41">
        <v>6.6</v>
      </c>
      <c r="F31" s="41">
        <v>0.15</v>
      </c>
      <c r="G31" s="41">
        <v>91.5</v>
      </c>
      <c r="H31" s="41">
        <v>43.03</v>
      </c>
      <c r="I31" s="41">
        <v>13.38</v>
      </c>
      <c r="J31" s="41">
        <v>0.19</v>
      </c>
      <c r="K31" s="41">
        <v>337.29</v>
      </c>
      <c r="L31" s="41">
        <v>20.53</v>
      </c>
      <c r="M31" s="41">
        <v>72.75</v>
      </c>
      <c r="N31" s="41">
        <v>1.7</v>
      </c>
      <c r="O31" s="41">
        <v>0</v>
      </c>
      <c r="P31" s="41">
        <v>0.73</v>
      </c>
      <c r="Q31" s="41">
        <v>9.32</v>
      </c>
      <c r="R31" s="38"/>
      <c r="S31" s="38"/>
      <c r="T31" s="38"/>
      <c r="U31" s="38"/>
    </row>
    <row r="32" spans="1:21" customFormat="1">
      <c r="A32" s="40" t="s">
        <v>732</v>
      </c>
      <c r="B32" s="41">
        <v>12.13</v>
      </c>
      <c r="C32" s="41">
        <v>17.78</v>
      </c>
      <c r="D32" s="41">
        <v>18.989999999999998</v>
      </c>
      <c r="E32" s="41">
        <v>6.67</v>
      </c>
      <c r="F32" s="41">
        <v>0.08</v>
      </c>
      <c r="G32" s="41">
        <v>92.19</v>
      </c>
      <c r="H32" s="41">
        <v>43.33</v>
      </c>
      <c r="I32" s="41">
        <v>13.3</v>
      </c>
      <c r="J32" s="41">
        <v>0.24</v>
      </c>
      <c r="K32" s="41">
        <v>180.58</v>
      </c>
      <c r="L32" s="41">
        <v>19.809999999999999</v>
      </c>
      <c r="M32" s="41">
        <v>82.39</v>
      </c>
      <c r="N32" s="41">
        <v>1.7</v>
      </c>
      <c r="O32" s="41">
        <v>0</v>
      </c>
      <c r="P32" s="41">
        <v>0.75</v>
      </c>
      <c r="Q32" s="41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3.15</v>
      </c>
      <c r="C34" s="18">
        <f t="shared" si="0"/>
        <v>13.9</v>
      </c>
      <c r="D34" s="18">
        <f t="shared" si="0"/>
        <v>9.92</v>
      </c>
      <c r="E34" s="18">
        <f t="shared" si="0"/>
        <v>4.97</v>
      </c>
      <c r="F34" s="18">
        <f t="shared" si="0"/>
        <v>0.08</v>
      </c>
      <c r="G34" s="18">
        <f t="shared" si="0"/>
        <v>55.97</v>
      </c>
      <c r="H34" s="18">
        <f t="shared" si="0"/>
        <v>29.76</v>
      </c>
      <c r="I34" s="18">
        <f t="shared" si="0"/>
        <v>9.9499999999999993</v>
      </c>
      <c r="J34" s="18">
        <f t="shared" si="0"/>
        <v>0.17</v>
      </c>
      <c r="K34" s="18">
        <f t="shared" si="0"/>
        <v>39.97</v>
      </c>
      <c r="L34" s="18">
        <f t="shared" si="0"/>
        <v>16.96</v>
      </c>
      <c r="M34" s="18">
        <f t="shared" si="0"/>
        <v>29.7</v>
      </c>
      <c r="N34" s="18">
        <f t="shared" si="0"/>
        <v>1.4</v>
      </c>
      <c r="O34" s="18">
        <f t="shared" si="0"/>
        <v>0</v>
      </c>
      <c r="P34" s="18">
        <f t="shared" si="0"/>
        <v>0.53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16.52</v>
      </c>
      <c r="C35" s="3">
        <f t="shared" si="1"/>
        <v>18.86</v>
      </c>
      <c r="D35" s="3">
        <f t="shared" si="1"/>
        <v>22.59</v>
      </c>
      <c r="E35" s="3">
        <f t="shared" si="1"/>
        <v>6.93</v>
      </c>
      <c r="F35" s="3">
        <f t="shared" si="1"/>
        <v>7.72</v>
      </c>
      <c r="G35" s="3">
        <f t="shared" si="1"/>
        <v>95.2</v>
      </c>
      <c r="H35" s="3">
        <f t="shared" si="1"/>
        <v>43.33</v>
      </c>
      <c r="I35" s="3">
        <f t="shared" si="1"/>
        <v>22.87</v>
      </c>
      <c r="J35" s="3">
        <f t="shared" si="1"/>
        <v>1.04</v>
      </c>
      <c r="K35" s="3">
        <f t="shared" si="1"/>
        <v>337.29</v>
      </c>
      <c r="L35" s="3">
        <f t="shared" si="1"/>
        <v>29.34</v>
      </c>
      <c r="M35" s="3">
        <f t="shared" si="1"/>
        <v>82.39</v>
      </c>
      <c r="N35" s="3">
        <f t="shared" si="1"/>
        <v>611.70000000000005</v>
      </c>
      <c r="O35" s="3">
        <f t="shared" si="1"/>
        <v>0</v>
      </c>
      <c r="P35" s="3">
        <f t="shared" si="1"/>
        <v>0.76</v>
      </c>
      <c r="Q35" s="3">
        <f t="shared" si="1"/>
        <v>9.7799999999999994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8.8850000000000033</v>
      </c>
      <c r="C36" s="18">
        <f t="shared" si="2"/>
        <v>16.677499999999998</v>
      </c>
      <c r="D36" s="18">
        <f t="shared" si="2"/>
        <v>15.79166666666667</v>
      </c>
      <c r="E36" s="18">
        <f t="shared" si="2"/>
        <v>5.9195833333333328</v>
      </c>
      <c r="F36" s="18">
        <f t="shared" si="2"/>
        <v>1.5016666666666667</v>
      </c>
      <c r="G36" s="18">
        <f t="shared" si="2"/>
        <v>82.381666666666675</v>
      </c>
      <c r="H36" s="18">
        <f t="shared" si="2"/>
        <v>38.029166666666661</v>
      </c>
      <c r="I36" s="18">
        <f t="shared" si="2"/>
        <v>13.507499999999999</v>
      </c>
      <c r="J36" s="18">
        <f t="shared" si="2"/>
        <v>0.54958333333333331</v>
      </c>
      <c r="K36" s="18">
        <f t="shared" si="2"/>
        <v>122.98833333333333</v>
      </c>
      <c r="L36" s="18">
        <f t="shared" si="2"/>
        <v>22.884166666666662</v>
      </c>
      <c r="M36" s="18">
        <f t="shared" si="2"/>
        <v>56.949999999999996</v>
      </c>
      <c r="N36" s="18">
        <f t="shared" si="2"/>
        <v>139.94999999999999</v>
      </c>
      <c r="O36" s="18">
        <f t="shared" si="2"/>
        <v>0</v>
      </c>
      <c r="P36" s="18">
        <f t="shared" si="2"/>
        <v>0.65416666666666679</v>
      </c>
      <c r="Q36" s="18">
        <f t="shared" si="2"/>
        <v>9.3437499999999964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4.2077154805449144</v>
      </c>
      <c r="C37" s="18">
        <f t="shared" ref="C37:Q37" si="3">STDEV(C9:C32)</f>
        <v>1.3532866594364608</v>
      </c>
      <c r="D37" s="18">
        <f t="shared" si="3"/>
        <v>3.8046718040104097</v>
      </c>
      <c r="E37" s="18">
        <f t="shared" si="3"/>
        <v>0.72374917085882862</v>
      </c>
      <c r="F37" s="18">
        <f t="shared" si="3"/>
        <v>2.159888617632796</v>
      </c>
      <c r="G37" s="18">
        <f t="shared" si="3"/>
        <v>12.188568652516171</v>
      </c>
      <c r="H37" s="18">
        <f t="shared" si="3"/>
        <v>3.501233219591493</v>
      </c>
      <c r="I37" s="18">
        <f t="shared" si="3"/>
        <v>3.0448648859864313</v>
      </c>
      <c r="J37" s="18">
        <f t="shared" si="3"/>
        <v>0.30945223929678906</v>
      </c>
      <c r="K37" s="18">
        <f t="shared" si="3"/>
        <v>76.911388746014609</v>
      </c>
      <c r="L37" s="18">
        <f t="shared" si="3"/>
        <v>4.4737552717917159</v>
      </c>
      <c r="M37" s="18">
        <f t="shared" si="3"/>
        <v>17.874711064858481</v>
      </c>
      <c r="N37" s="18">
        <f t="shared" si="3"/>
        <v>218.46557583767509</v>
      </c>
      <c r="O37" s="18">
        <f t="shared" si="3"/>
        <v>0</v>
      </c>
      <c r="P37" s="18">
        <f t="shared" si="3"/>
        <v>7.6210045364718662E-2</v>
      </c>
      <c r="Q37" s="18">
        <f t="shared" si="3"/>
        <v>9.4215871459019968E-2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45"/>
  <sheetViews>
    <sheetView topLeftCell="A19" zoomScale="91" zoomScaleNormal="91" workbookViewId="0">
      <selection activeCell="E13" sqref="E13"/>
    </sheetView>
  </sheetViews>
  <sheetFormatPr defaultColWidth="9" defaultRowHeight="15"/>
  <cols>
    <col min="1" max="1" width="12.85546875" customWidth="1"/>
    <col min="2" max="2" width="14.42578125" customWidth="1"/>
  </cols>
  <sheetData>
    <row r="1" spans="1:21" ht="27.75" customHeight="1">
      <c r="A1" s="3" t="s">
        <v>0</v>
      </c>
      <c r="B1" s="3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29/11/2025 01:00</v>
      </c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O2" s="1"/>
      <c r="P2" s="23" t="s">
        <v>7</v>
      </c>
      <c r="Q2" s="3"/>
      <c r="R2" s="27" t="s">
        <v>8</v>
      </c>
    </row>
    <row r="3" spans="1:21">
      <c r="A3" s="3" t="s">
        <v>9</v>
      </c>
      <c r="B3" s="3" t="s">
        <v>10</v>
      </c>
      <c r="D3" s="7" t="s">
        <v>11</v>
      </c>
      <c r="E3" s="7"/>
      <c r="F3" s="7"/>
      <c r="G3" s="10" t="s">
        <v>12</v>
      </c>
      <c r="H3" s="9"/>
      <c r="I3" s="9"/>
      <c r="J3" s="9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</row>
    <row r="4" spans="1:21">
      <c r="A4" s="3" t="s">
        <v>16</v>
      </c>
      <c r="B4" s="3" t="s">
        <v>17</v>
      </c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>
      <c r="A9" s="40" t="s">
        <v>733</v>
      </c>
      <c r="B9" s="41">
        <v>13.7</v>
      </c>
      <c r="C9" s="41">
        <v>17.36</v>
      </c>
      <c r="D9" s="41">
        <v>19.86</v>
      </c>
      <c r="E9" s="41">
        <v>6.74</v>
      </c>
      <c r="F9" s="41">
        <v>0.12</v>
      </c>
      <c r="G9" s="41">
        <v>92.19</v>
      </c>
      <c r="H9" s="41">
        <v>43.33</v>
      </c>
      <c r="I9" s="41">
        <v>13.31</v>
      </c>
      <c r="J9" s="41">
        <v>0.31</v>
      </c>
      <c r="K9" s="41">
        <v>201.01</v>
      </c>
      <c r="L9" s="41">
        <v>19.059999999999999</v>
      </c>
      <c r="M9" s="41">
        <v>85.51</v>
      </c>
      <c r="N9" s="41">
        <v>1.9</v>
      </c>
      <c r="O9" s="41">
        <v>0</v>
      </c>
      <c r="P9" s="41">
        <v>0.77</v>
      </c>
      <c r="Q9" s="41">
        <v>9.32</v>
      </c>
      <c r="R9" s="38"/>
      <c r="S9" s="38"/>
      <c r="T9" s="38"/>
      <c r="U9" s="38"/>
    </row>
    <row r="10" spans="1:21">
      <c r="A10" s="40" t="s">
        <v>734</v>
      </c>
      <c r="B10" s="41">
        <v>13.58</v>
      </c>
      <c r="C10" s="41">
        <v>16.57</v>
      </c>
      <c r="D10" s="41">
        <v>19.54</v>
      </c>
      <c r="E10" s="41">
        <v>6.57</v>
      </c>
      <c r="F10" s="41">
        <v>7.0000000000000007E-2</v>
      </c>
      <c r="G10" s="41">
        <v>85.43</v>
      </c>
      <c r="H10" s="41">
        <v>42.5</v>
      </c>
      <c r="I10" s="41">
        <v>13.14</v>
      </c>
      <c r="J10" s="41">
        <v>0.13</v>
      </c>
      <c r="K10" s="41">
        <v>230.58</v>
      </c>
      <c r="L10" s="41">
        <v>17.73</v>
      </c>
      <c r="M10" s="41">
        <v>86.47</v>
      </c>
      <c r="N10" s="41">
        <v>1.7</v>
      </c>
      <c r="O10" s="41">
        <v>0</v>
      </c>
      <c r="P10" s="41">
        <v>0.76</v>
      </c>
      <c r="Q10" s="41">
        <v>9.32</v>
      </c>
      <c r="R10" s="38"/>
      <c r="S10" s="38"/>
      <c r="T10" s="38"/>
      <c r="U10" s="38"/>
    </row>
    <row r="11" spans="1:21">
      <c r="A11" s="40" t="s">
        <v>735</v>
      </c>
      <c r="B11" s="41">
        <v>12.74</v>
      </c>
      <c r="C11" s="41">
        <v>15.11</v>
      </c>
      <c r="D11" s="41">
        <v>18.11</v>
      </c>
      <c r="E11" s="41">
        <v>6.27</v>
      </c>
      <c r="F11" s="41">
        <v>0.18</v>
      </c>
      <c r="G11" s="41">
        <v>81.08</v>
      </c>
      <c r="H11" s="41">
        <v>42.5</v>
      </c>
      <c r="I11" s="41">
        <v>12.77</v>
      </c>
      <c r="J11" s="41">
        <v>0.13</v>
      </c>
      <c r="K11" s="41">
        <v>300.77</v>
      </c>
      <c r="L11" s="41">
        <v>17.48</v>
      </c>
      <c r="M11" s="41">
        <v>83.56</v>
      </c>
      <c r="N11" s="41">
        <v>1.7</v>
      </c>
      <c r="O11" s="41">
        <v>0</v>
      </c>
      <c r="P11" s="41">
        <v>0.72</v>
      </c>
      <c r="Q11" s="41">
        <v>9.32</v>
      </c>
      <c r="R11" s="38"/>
      <c r="S11" s="38"/>
      <c r="T11" s="38"/>
      <c r="U11" s="38"/>
    </row>
    <row r="12" spans="1:21">
      <c r="A12" s="40" t="s">
        <v>736</v>
      </c>
      <c r="B12" s="41">
        <v>14.83</v>
      </c>
      <c r="C12" s="41">
        <v>15.83</v>
      </c>
      <c r="D12" s="41">
        <v>20.16</v>
      </c>
      <c r="E12" s="41">
        <v>6.08</v>
      </c>
      <c r="F12" s="41">
        <v>0.06</v>
      </c>
      <c r="G12" s="41">
        <v>69.72</v>
      </c>
      <c r="H12" s="41">
        <v>37.21</v>
      </c>
      <c r="I12" s="41">
        <v>12.94</v>
      </c>
      <c r="J12" s="41">
        <v>0.51</v>
      </c>
      <c r="K12" s="41">
        <v>205.14</v>
      </c>
      <c r="L12" s="41">
        <v>17.8</v>
      </c>
      <c r="M12" s="41">
        <v>83.24</v>
      </c>
      <c r="N12" s="41">
        <v>1.5</v>
      </c>
      <c r="O12" s="41">
        <v>0</v>
      </c>
      <c r="P12" s="41">
        <v>0.69</v>
      </c>
      <c r="Q12" s="41">
        <v>9.32</v>
      </c>
      <c r="R12" s="38"/>
      <c r="S12" s="38"/>
      <c r="T12" s="38"/>
      <c r="U12" s="38"/>
    </row>
    <row r="13" spans="1:21">
      <c r="A13" s="40" t="s">
        <v>737</v>
      </c>
      <c r="B13" s="41">
        <v>15.58</v>
      </c>
      <c r="C13" s="41">
        <v>15.85</v>
      </c>
      <c r="D13" s="41">
        <v>20.77</v>
      </c>
      <c r="E13" s="41">
        <v>6.24</v>
      </c>
      <c r="F13" s="41">
        <v>7.0000000000000007E-2</v>
      </c>
      <c r="G13" s="41">
        <v>76.33</v>
      </c>
      <c r="H13" s="41">
        <v>38.21</v>
      </c>
      <c r="I13" s="41">
        <v>12.78</v>
      </c>
      <c r="J13" s="41">
        <v>0.64</v>
      </c>
      <c r="K13" s="41">
        <v>115.88</v>
      </c>
      <c r="L13" s="41">
        <v>17.850000000000001</v>
      </c>
      <c r="M13" s="41">
        <v>81.93</v>
      </c>
      <c r="N13" s="41">
        <v>1.9</v>
      </c>
      <c r="O13" s="41">
        <v>0</v>
      </c>
      <c r="P13" s="41">
        <v>0.71</v>
      </c>
      <c r="Q13" s="41">
        <v>9.32</v>
      </c>
      <c r="R13" s="38"/>
      <c r="S13" s="38"/>
      <c r="T13" s="38"/>
      <c r="U13" s="38"/>
    </row>
    <row r="14" spans="1:21">
      <c r="A14" s="40" t="s">
        <v>738</v>
      </c>
      <c r="B14" s="41">
        <v>18.239999999999998</v>
      </c>
      <c r="C14" s="41">
        <v>16.12</v>
      </c>
      <c r="D14" s="41">
        <v>23.05</v>
      </c>
      <c r="E14" s="41">
        <v>5.93</v>
      </c>
      <c r="F14" s="41">
        <v>0.1</v>
      </c>
      <c r="G14" s="41">
        <v>83.78</v>
      </c>
      <c r="H14" s="41">
        <v>40.520000000000003</v>
      </c>
      <c r="I14" s="41">
        <v>12.87</v>
      </c>
      <c r="J14" s="41">
        <v>0.21</v>
      </c>
      <c r="K14" s="41">
        <v>95.5</v>
      </c>
      <c r="L14" s="41">
        <v>17.420000000000002</v>
      </c>
      <c r="M14" s="41">
        <v>82.25</v>
      </c>
      <c r="N14" s="41">
        <v>1.6</v>
      </c>
      <c r="O14" s="41">
        <v>0</v>
      </c>
      <c r="P14" s="41">
        <v>0.72</v>
      </c>
      <c r="Q14" s="41">
        <v>9.32</v>
      </c>
      <c r="R14" s="38"/>
      <c r="S14" s="38"/>
      <c r="T14" s="38"/>
      <c r="U14" s="38"/>
    </row>
    <row r="15" spans="1:21">
      <c r="A15" s="40" t="s">
        <v>739</v>
      </c>
      <c r="B15" s="41">
        <v>20.8</v>
      </c>
      <c r="C15" s="41">
        <v>16.399999999999999</v>
      </c>
      <c r="D15" s="41">
        <v>25.2</v>
      </c>
      <c r="E15" s="41">
        <v>5.91</v>
      </c>
      <c r="F15" s="41">
        <v>0.14000000000000001</v>
      </c>
      <c r="G15" s="41">
        <v>98.64</v>
      </c>
      <c r="H15" s="41">
        <v>45</v>
      </c>
      <c r="I15" s="41">
        <v>13.53</v>
      </c>
      <c r="J15" s="41">
        <v>0.16</v>
      </c>
      <c r="K15" s="41">
        <v>200.36</v>
      </c>
      <c r="L15" s="41">
        <v>17.25</v>
      </c>
      <c r="M15" s="41">
        <v>85.28</v>
      </c>
      <c r="N15" s="41">
        <v>23.2</v>
      </c>
      <c r="O15" s="41">
        <v>0</v>
      </c>
      <c r="P15" s="41">
        <v>0.79</v>
      </c>
      <c r="Q15" s="41">
        <v>9.32</v>
      </c>
      <c r="R15" s="38"/>
      <c r="S15" s="38"/>
      <c r="T15" s="38"/>
      <c r="U15" s="38"/>
    </row>
    <row r="16" spans="1:21">
      <c r="A16" s="40" t="s">
        <v>740</v>
      </c>
      <c r="B16" s="41">
        <v>21.11</v>
      </c>
      <c r="C16" s="41">
        <v>16.989999999999998</v>
      </c>
      <c r="D16" s="41">
        <v>25.64</v>
      </c>
      <c r="E16" s="41">
        <v>6.16</v>
      </c>
      <c r="F16" s="41">
        <v>0.08</v>
      </c>
      <c r="G16" s="41">
        <v>115.23</v>
      </c>
      <c r="H16" s="41">
        <v>48.66</v>
      </c>
      <c r="I16" s="41">
        <v>14.35</v>
      </c>
      <c r="J16" s="41">
        <v>0.5</v>
      </c>
      <c r="K16" s="41">
        <v>157.63</v>
      </c>
      <c r="L16" s="41">
        <v>19.11</v>
      </c>
      <c r="M16" s="41">
        <v>84.54</v>
      </c>
      <c r="N16" s="41">
        <v>101.7</v>
      </c>
      <c r="O16" s="41">
        <v>0</v>
      </c>
      <c r="P16" s="41">
        <v>0.84</v>
      </c>
      <c r="Q16" s="41">
        <v>9.32</v>
      </c>
      <c r="R16" s="38"/>
      <c r="S16" s="38"/>
      <c r="T16" s="38"/>
      <c r="U16" s="38"/>
    </row>
    <row r="17" spans="1:21">
      <c r="A17" s="40" t="s">
        <v>741</v>
      </c>
      <c r="B17" s="41">
        <v>20.63</v>
      </c>
      <c r="C17" s="41">
        <v>18.170000000000002</v>
      </c>
      <c r="D17" s="41">
        <v>25.82</v>
      </c>
      <c r="E17" s="41">
        <v>6.02</v>
      </c>
      <c r="F17" s="41">
        <v>0.27</v>
      </c>
      <c r="G17" s="41">
        <v>125.6</v>
      </c>
      <c r="H17" s="41">
        <v>56.46</v>
      </c>
      <c r="I17" s="41">
        <v>14.93</v>
      </c>
      <c r="J17" s="41">
        <v>1.08</v>
      </c>
      <c r="K17" s="41">
        <v>50.46</v>
      </c>
      <c r="L17" s="41">
        <v>22.05</v>
      </c>
      <c r="M17" s="41">
        <v>70.73</v>
      </c>
      <c r="N17" s="41">
        <v>292.2</v>
      </c>
      <c r="O17" s="41">
        <v>0</v>
      </c>
      <c r="P17" s="41">
        <v>0.87</v>
      </c>
      <c r="Q17" s="41">
        <v>9.32</v>
      </c>
      <c r="R17" s="38"/>
      <c r="S17" s="38"/>
      <c r="T17" s="38"/>
      <c r="U17" s="38"/>
    </row>
    <row r="18" spans="1:21">
      <c r="A18" s="40" t="s">
        <v>742</v>
      </c>
      <c r="B18" s="41">
        <v>18.149999999999999</v>
      </c>
      <c r="C18" s="41">
        <v>18.87</v>
      </c>
      <c r="D18" s="41">
        <v>24.13</v>
      </c>
      <c r="E18" s="41">
        <v>6.37</v>
      </c>
      <c r="F18" s="41">
        <v>0.32</v>
      </c>
      <c r="G18" s="41">
        <v>125.6</v>
      </c>
      <c r="H18" s="41">
        <v>56.46</v>
      </c>
      <c r="I18" s="41">
        <v>14.98</v>
      </c>
      <c r="J18" s="41">
        <v>0.98</v>
      </c>
      <c r="K18" s="41">
        <v>115.38</v>
      </c>
      <c r="L18" s="41">
        <v>25.53</v>
      </c>
      <c r="M18" s="41">
        <v>57.65</v>
      </c>
      <c r="N18" s="41">
        <v>362</v>
      </c>
      <c r="O18" s="41">
        <v>0</v>
      </c>
      <c r="P18" s="41">
        <v>0.86</v>
      </c>
      <c r="Q18" s="41">
        <v>9.32</v>
      </c>
      <c r="R18" s="38"/>
      <c r="S18" s="38"/>
      <c r="T18" s="38"/>
      <c r="U18" s="38"/>
    </row>
    <row r="19" spans="1:21">
      <c r="A19" s="40" t="s">
        <v>743</v>
      </c>
      <c r="B19" s="41">
        <v>13.86</v>
      </c>
      <c r="C19" s="41">
        <v>19.170000000000002</v>
      </c>
      <c r="D19" s="41">
        <v>21.03</v>
      </c>
      <c r="E19" s="41">
        <v>5.97</v>
      </c>
      <c r="F19" s="41">
        <v>1.85</v>
      </c>
      <c r="G19" s="41">
        <v>113.4</v>
      </c>
      <c r="H19" s="41">
        <v>48.86</v>
      </c>
      <c r="I19" s="41">
        <v>14.65</v>
      </c>
      <c r="J19" s="41">
        <v>0.83</v>
      </c>
      <c r="K19" s="41">
        <v>69.56</v>
      </c>
      <c r="L19" s="41">
        <v>27.61</v>
      </c>
      <c r="M19" s="41">
        <v>47.97</v>
      </c>
      <c r="N19" s="41">
        <v>516.9</v>
      </c>
      <c r="O19" s="41">
        <v>0</v>
      </c>
      <c r="P19" s="41">
        <v>0.83</v>
      </c>
      <c r="Q19" s="41">
        <v>9.32</v>
      </c>
      <c r="R19" s="38"/>
      <c r="S19" s="38"/>
      <c r="T19" s="38"/>
      <c r="U19" s="38"/>
    </row>
    <row r="20" spans="1:21">
      <c r="A20" s="40" t="s">
        <v>744</v>
      </c>
      <c r="B20" s="41">
        <v>10.43</v>
      </c>
      <c r="C20" s="41">
        <v>18.489999999999998</v>
      </c>
      <c r="D20" s="41">
        <v>18.02</v>
      </c>
      <c r="E20" s="41">
        <v>6.12</v>
      </c>
      <c r="F20" s="41">
        <v>1.88</v>
      </c>
      <c r="G20" s="41">
        <v>103.72</v>
      </c>
      <c r="H20" s="41">
        <v>44.89</v>
      </c>
      <c r="I20" s="41">
        <v>13.76</v>
      </c>
      <c r="J20" s="41">
        <v>0.66</v>
      </c>
      <c r="K20" s="41">
        <v>135.03</v>
      </c>
      <c r="L20" s="41">
        <v>29.59</v>
      </c>
      <c r="M20" s="41">
        <v>39.770000000000003</v>
      </c>
      <c r="N20" s="41">
        <v>607.9</v>
      </c>
      <c r="O20" s="41">
        <v>0</v>
      </c>
      <c r="P20" s="41">
        <v>0.8</v>
      </c>
      <c r="Q20" s="41">
        <v>9.32</v>
      </c>
      <c r="R20" s="38"/>
      <c r="S20" s="38"/>
      <c r="T20" s="38"/>
      <c r="U20" s="38"/>
    </row>
    <row r="21" spans="1:21">
      <c r="A21" s="40" t="s">
        <v>745</v>
      </c>
      <c r="B21" s="41">
        <v>7.08</v>
      </c>
      <c r="C21" s="41">
        <v>17.010000000000002</v>
      </c>
      <c r="D21" s="41">
        <v>14.57</v>
      </c>
      <c r="E21" s="41">
        <v>6.19</v>
      </c>
      <c r="F21" s="41">
        <v>2.4900000000000002</v>
      </c>
      <c r="G21" s="41">
        <v>91.51</v>
      </c>
      <c r="H21" s="41">
        <v>40.81</v>
      </c>
      <c r="I21" s="41">
        <v>13.1</v>
      </c>
      <c r="J21" s="41">
        <v>0.51</v>
      </c>
      <c r="K21" s="41">
        <v>335.72</v>
      </c>
      <c r="L21" s="41">
        <v>29.78</v>
      </c>
      <c r="M21" s="41">
        <v>34.01</v>
      </c>
      <c r="N21" s="41">
        <v>586.9</v>
      </c>
      <c r="O21" s="41">
        <v>0</v>
      </c>
      <c r="P21" s="41">
        <v>0.74</v>
      </c>
      <c r="Q21" s="41">
        <v>9.32</v>
      </c>
      <c r="R21" s="38"/>
      <c r="S21" s="38"/>
      <c r="T21" s="38"/>
      <c r="U21" s="38"/>
    </row>
    <row r="22" spans="1:21">
      <c r="A22" s="40" t="s">
        <v>746</v>
      </c>
      <c r="B22" s="41">
        <v>4.75</v>
      </c>
      <c r="C22" s="41">
        <v>15.49</v>
      </c>
      <c r="D22" s="41">
        <v>11.9</v>
      </c>
      <c r="E22" s="41">
        <v>6</v>
      </c>
      <c r="F22" s="41">
        <v>2.2400000000000002</v>
      </c>
      <c r="G22" s="41">
        <v>60.75</v>
      </c>
      <c r="H22" s="41">
        <v>32.869999999999997</v>
      </c>
      <c r="I22" s="41">
        <v>12.35</v>
      </c>
      <c r="J22" s="41">
        <v>0.69</v>
      </c>
      <c r="K22" s="41">
        <v>238</v>
      </c>
      <c r="L22" s="41">
        <v>29.92</v>
      </c>
      <c r="M22" s="41">
        <v>31.96</v>
      </c>
      <c r="N22" s="41">
        <v>554.4</v>
      </c>
      <c r="O22" s="41">
        <v>0</v>
      </c>
      <c r="P22" s="41">
        <v>0.69</v>
      </c>
      <c r="Q22" s="41">
        <v>9.32</v>
      </c>
      <c r="R22" s="38"/>
      <c r="S22" s="38"/>
      <c r="T22" s="38"/>
      <c r="U22" s="38"/>
    </row>
    <row r="23" spans="1:21">
      <c r="A23" s="40" t="s">
        <v>747</v>
      </c>
      <c r="B23" s="41">
        <v>3.97</v>
      </c>
      <c r="C23" s="41">
        <v>14.19</v>
      </c>
      <c r="D23" s="41">
        <v>10.59</v>
      </c>
      <c r="E23" s="41">
        <v>6.4</v>
      </c>
      <c r="F23" s="41">
        <v>4.38</v>
      </c>
      <c r="G23" s="41">
        <v>46.59</v>
      </c>
      <c r="H23" s="41">
        <v>31.55</v>
      </c>
      <c r="I23" s="41">
        <v>11.65</v>
      </c>
      <c r="J23" s="41">
        <v>0.38</v>
      </c>
      <c r="K23" s="41">
        <v>95.43</v>
      </c>
      <c r="L23" s="41">
        <v>29.36</v>
      </c>
      <c r="M23" s="41">
        <v>33.21</v>
      </c>
      <c r="N23" s="41">
        <v>137.30000000000001</v>
      </c>
      <c r="O23" s="41">
        <v>0</v>
      </c>
      <c r="P23" s="41">
        <v>0.6</v>
      </c>
      <c r="Q23" s="41">
        <v>9.32</v>
      </c>
      <c r="R23" s="38"/>
      <c r="S23" s="38"/>
      <c r="T23" s="38"/>
      <c r="U23" s="38"/>
    </row>
    <row r="24" spans="1:21">
      <c r="A24" s="40" t="s">
        <v>748</v>
      </c>
      <c r="B24" s="41">
        <v>3.67</v>
      </c>
      <c r="C24" s="41">
        <v>13.35</v>
      </c>
      <c r="D24" s="41">
        <v>9.82</v>
      </c>
      <c r="E24" s="41">
        <v>5.85</v>
      </c>
      <c r="F24" s="41">
        <v>4.07</v>
      </c>
      <c r="G24" s="41">
        <v>51.49</v>
      </c>
      <c r="H24" s="41">
        <v>26.69</v>
      </c>
      <c r="I24" s="41">
        <v>11.01</v>
      </c>
      <c r="J24" s="41">
        <v>0.54</v>
      </c>
      <c r="K24" s="41">
        <v>96.74</v>
      </c>
      <c r="L24" s="41">
        <v>29.5</v>
      </c>
      <c r="M24" s="41">
        <v>31.64</v>
      </c>
      <c r="N24" s="41">
        <v>105.6</v>
      </c>
      <c r="O24" s="41">
        <v>0</v>
      </c>
      <c r="P24" s="41">
        <v>0.56999999999999995</v>
      </c>
      <c r="Q24" s="41">
        <v>9.32</v>
      </c>
      <c r="R24" s="38"/>
      <c r="S24" s="38"/>
      <c r="T24" s="38"/>
      <c r="U24" s="38"/>
    </row>
    <row r="25" spans="1:21">
      <c r="A25" s="40" t="s">
        <v>749</v>
      </c>
      <c r="B25" s="41">
        <v>3.46</v>
      </c>
      <c r="C25" s="41">
        <v>14.11</v>
      </c>
      <c r="D25" s="41">
        <v>10.14</v>
      </c>
      <c r="E25" s="41">
        <v>5.71</v>
      </c>
      <c r="F25" s="41">
        <v>2.77</v>
      </c>
      <c r="G25" s="41">
        <v>51.49</v>
      </c>
      <c r="H25" s="41">
        <v>27.38</v>
      </c>
      <c r="I25" s="41">
        <v>10.44</v>
      </c>
      <c r="J25" s="41">
        <v>0.35</v>
      </c>
      <c r="K25" s="41">
        <v>151.38999999999999</v>
      </c>
      <c r="L25" s="41">
        <v>29.13</v>
      </c>
      <c r="M25" s="41">
        <v>42.85</v>
      </c>
      <c r="N25" s="41">
        <v>44.4</v>
      </c>
      <c r="O25" s="41">
        <v>0</v>
      </c>
      <c r="P25" s="41">
        <v>0.52</v>
      </c>
      <c r="Q25" s="41">
        <v>9.32</v>
      </c>
      <c r="R25" s="38"/>
      <c r="S25" s="38"/>
      <c r="T25" s="38"/>
      <c r="U25" s="38"/>
    </row>
    <row r="26" spans="1:21">
      <c r="A26" s="40" t="s">
        <v>750</v>
      </c>
      <c r="B26" s="41">
        <v>4.18</v>
      </c>
      <c r="C26" s="41">
        <v>15.72</v>
      </c>
      <c r="D26" s="41">
        <v>11.57</v>
      </c>
      <c r="E26" s="41">
        <v>5.75</v>
      </c>
      <c r="F26" s="41">
        <v>1.24</v>
      </c>
      <c r="G26" s="41">
        <v>64.849999999999994</v>
      </c>
      <c r="H26" s="41">
        <v>28.35</v>
      </c>
      <c r="I26" s="41">
        <v>10.119999999999999</v>
      </c>
      <c r="J26" s="41">
        <v>0.31</v>
      </c>
      <c r="K26" s="41">
        <v>164.38</v>
      </c>
      <c r="L26" s="41">
        <v>25.95</v>
      </c>
      <c r="M26" s="41">
        <v>52.62</v>
      </c>
      <c r="N26" s="41">
        <v>6.8</v>
      </c>
      <c r="O26" s="41">
        <v>0</v>
      </c>
      <c r="P26" s="41">
        <v>0.55000000000000004</v>
      </c>
      <c r="Q26" s="41">
        <v>9.32</v>
      </c>
      <c r="R26" s="38"/>
      <c r="S26" s="38"/>
      <c r="T26" s="38"/>
      <c r="U26" s="38"/>
    </row>
    <row r="27" spans="1:21">
      <c r="A27" s="40" t="s">
        <v>751</v>
      </c>
      <c r="B27" s="41">
        <v>5.38</v>
      </c>
      <c r="C27" s="41">
        <v>17.03</v>
      </c>
      <c r="D27" s="41">
        <v>13.21</v>
      </c>
      <c r="E27" s="41">
        <v>5.62</v>
      </c>
      <c r="F27" s="41">
        <v>0.22</v>
      </c>
      <c r="G27" s="41">
        <v>86.94</v>
      </c>
      <c r="H27" s="41">
        <v>31.2</v>
      </c>
      <c r="I27" s="41">
        <v>10.62</v>
      </c>
      <c r="J27" s="41">
        <v>0.3</v>
      </c>
      <c r="K27" s="41">
        <v>170.94</v>
      </c>
      <c r="L27" s="41">
        <v>24.32</v>
      </c>
      <c r="M27" s="41">
        <v>65.709999999999994</v>
      </c>
      <c r="N27" s="41">
        <v>2.1</v>
      </c>
      <c r="O27" s="41">
        <v>0</v>
      </c>
      <c r="P27" s="41">
        <v>0.62</v>
      </c>
      <c r="Q27" s="41">
        <v>9.32</v>
      </c>
      <c r="R27" s="38"/>
      <c r="S27" s="38"/>
      <c r="T27" s="38"/>
      <c r="U27" s="38"/>
    </row>
    <row r="28" spans="1:21">
      <c r="A28" s="40" t="s">
        <v>752</v>
      </c>
      <c r="B28" s="41">
        <v>8.5399999999999991</v>
      </c>
      <c r="C28" s="41">
        <v>18.079999999999998</v>
      </c>
      <c r="D28" s="41">
        <v>16.29</v>
      </c>
      <c r="E28" s="41">
        <v>5.54</v>
      </c>
      <c r="F28" s="41">
        <v>0.14000000000000001</v>
      </c>
      <c r="G28" s="41">
        <v>113.44</v>
      </c>
      <c r="H28" s="41">
        <v>36.54</v>
      </c>
      <c r="I28" s="41">
        <v>12.38</v>
      </c>
      <c r="J28" s="41">
        <v>0.26</v>
      </c>
      <c r="K28" s="41">
        <v>167.09</v>
      </c>
      <c r="L28" s="41">
        <v>22.76</v>
      </c>
      <c r="M28" s="41">
        <v>62.83</v>
      </c>
      <c r="N28" s="41">
        <v>1.8</v>
      </c>
      <c r="O28" s="41">
        <v>0</v>
      </c>
      <c r="P28" s="41">
        <v>0.74</v>
      </c>
      <c r="Q28" s="41">
        <v>9.32</v>
      </c>
      <c r="R28" s="38"/>
      <c r="S28" s="38"/>
      <c r="T28" s="38"/>
      <c r="U28" s="38"/>
    </row>
    <row r="29" spans="1:21">
      <c r="A29" s="40" t="s">
        <v>753</v>
      </c>
      <c r="B29" s="41">
        <v>11.9</v>
      </c>
      <c r="C29" s="41">
        <v>19.27</v>
      </c>
      <c r="D29" s="41">
        <v>19.3</v>
      </c>
      <c r="E29" s="41">
        <v>5.59</v>
      </c>
      <c r="F29" s="41">
        <v>0.15</v>
      </c>
      <c r="G29" s="41">
        <v>123.62</v>
      </c>
      <c r="H29" s="41">
        <v>39.630000000000003</v>
      </c>
      <c r="I29" s="41">
        <v>14</v>
      </c>
      <c r="J29" s="41">
        <v>0.21</v>
      </c>
      <c r="K29" s="41">
        <v>188.84</v>
      </c>
      <c r="L29" s="41">
        <v>22.37</v>
      </c>
      <c r="M29" s="41">
        <v>69.38</v>
      </c>
      <c r="N29" s="41">
        <v>2</v>
      </c>
      <c r="O29" s="41">
        <v>0</v>
      </c>
      <c r="P29" s="41">
        <v>0.83</v>
      </c>
      <c r="Q29" s="41">
        <v>9.32</v>
      </c>
      <c r="R29" s="38"/>
      <c r="S29" s="38"/>
      <c r="T29" s="38"/>
      <c r="U29" s="38"/>
    </row>
    <row r="30" spans="1:21">
      <c r="A30" s="40" t="s">
        <v>754</v>
      </c>
      <c r="B30" s="41">
        <v>16.36</v>
      </c>
      <c r="C30" s="41">
        <v>19.059999999999999</v>
      </c>
      <c r="D30" s="41">
        <v>23.08</v>
      </c>
      <c r="E30" s="41">
        <v>5.73</v>
      </c>
      <c r="F30" s="41">
        <v>0.16</v>
      </c>
      <c r="G30" s="41">
        <v>123.62</v>
      </c>
      <c r="H30" s="41">
        <v>45.14</v>
      </c>
      <c r="I30" s="41">
        <v>14.83</v>
      </c>
      <c r="J30" s="41">
        <v>0.25</v>
      </c>
      <c r="K30" s="41">
        <v>196.09</v>
      </c>
      <c r="L30" s="41">
        <v>21.57</v>
      </c>
      <c r="M30" s="41">
        <v>69.94</v>
      </c>
      <c r="N30" s="41">
        <v>1.8</v>
      </c>
      <c r="O30" s="41">
        <v>0</v>
      </c>
      <c r="P30" s="41">
        <v>0.87</v>
      </c>
      <c r="Q30" s="41">
        <v>9.32</v>
      </c>
      <c r="R30" s="38"/>
      <c r="S30" s="38"/>
      <c r="T30" s="38"/>
      <c r="U30" s="38"/>
    </row>
    <row r="31" spans="1:21">
      <c r="A31" s="40" t="s">
        <v>755</v>
      </c>
      <c r="B31" s="41">
        <v>16.39</v>
      </c>
      <c r="C31" s="41">
        <v>19.010000000000002</v>
      </c>
      <c r="D31" s="41">
        <v>23.08</v>
      </c>
      <c r="E31" s="41">
        <v>5.61</v>
      </c>
      <c r="F31" s="41">
        <v>0.21</v>
      </c>
      <c r="G31" s="41">
        <v>123.4</v>
      </c>
      <c r="H31" s="41">
        <v>46.32</v>
      </c>
      <c r="I31" s="41">
        <v>15.21</v>
      </c>
      <c r="J31" s="41">
        <v>0.22</v>
      </c>
      <c r="K31" s="41">
        <v>206.92</v>
      </c>
      <c r="L31" s="41">
        <v>20.55</v>
      </c>
      <c r="M31" s="41">
        <v>81.17</v>
      </c>
      <c r="N31" s="41">
        <v>2.1</v>
      </c>
      <c r="O31" s="41">
        <v>0</v>
      </c>
      <c r="P31" s="41">
        <v>0.9</v>
      </c>
      <c r="Q31" s="41">
        <v>9.32</v>
      </c>
      <c r="R31" s="38"/>
      <c r="S31" s="38"/>
      <c r="T31" s="38"/>
      <c r="U31" s="38"/>
    </row>
    <row r="32" spans="1:21">
      <c r="A32" s="40" t="s">
        <v>756</v>
      </c>
      <c r="B32" s="41">
        <v>18.57</v>
      </c>
      <c r="C32" s="41">
        <v>17.84</v>
      </c>
      <c r="D32" s="41">
        <v>24.19</v>
      </c>
      <c r="E32" s="41">
        <v>5.53</v>
      </c>
      <c r="F32" s="41">
        <v>0.15</v>
      </c>
      <c r="G32" s="41">
        <v>119.37</v>
      </c>
      <c r="H32" s="41">
        <v>46.32</v>
      </c>
      <c r="I32" s="41">
        <v>15.38</v>
      </c>
      <c r="J32" s="41">
        <v>0.18</v>
      </c>
      <c r="K32" s="41">
        <v>208.66</v>
      </c>
      <c r="L32" s="41">
        <v>20.34</v>
      </c>
      <c r="M32" s="41">
        <v>81.05</v>
      </c>
      <c r="N32" s="41">
        <v>2</v>
      </c>
      <c r="O32" s="41">
        <v>0</v>
      </c>
      <c r="P32" s="41">
        <v>0.91</v>
      </c>
      <c r="Q32" s="41">
        <v>9.32</v>
      </c>
      <c r="R32" s="38"/>
      <c r="S32" s="38"/>
      <c r="T32" s="38"/>
      <c r="U32" s="38"/>
    </row>
    <row r="33" spans="1: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>
      <c r="A34" s="3" t="s">
        <v>48</v>
      </c>
      <c r="B34" s="18">
        <f t="shared" ref="B34:Q34" si="0">MIN(B9:B32)</f>
        <v>3.46</v>
      </c>
      <c r="C34" s="18">
        <f t="shared" si="0"/>
        <v>13.35</v>
      </c>
      <c r="D34" s="18">
        <f t="shared" si="0"/>
        <v>9.82</v>
      </c>
      <c r="E34" s="18">
        <f t="shared" si="0"/>
        <v>5.53</v>
      </c>
      <c r="F34" s="18">
        <f t="shared" si="0"/>
        <v>0.06</v>
      </c>
      <c r="G34" s="18">
        <f t="shared" si="0"/>
        <v>46.59</v>
      </c>
      <c r="H34" s="18">
        <f t="shared" si="0"/>
        <v>26.69</v>
      </c>
      <c r="I34" s="18">
        <f t="shared" si="0"/>
        <v>10.119999999999999</v>
      </c>
      <c r="J34" s="18">
        <f t="shared" si="0"/>
        <v>0.13</v>
      </c>
      <c r="K34" s="18">
        <f t="shared" si="0"/>
        <v>50.46</v>
      </c>
      <c r="L34" s="18">
        <f t="shared" si="0"/>
        <v>17.25</v>
      </c>
      <c r="M34" s="18">
        <f t="shared" si="0"/>
        <v>31.64</v>
      </c>
      <c r="N34" s="18">
        <f t="shared" si="0"/>
        <v>1.5</v>
      </c>
      <c r="O34" s="18">
        <f t="shared" si="0"/>
        <v>0</v>
      </c>
      <c r="P34" s="18">
        <f t="shared" si="0"/>
        <v>0.52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21.11</v>
      </c>
      <c r="C35" s="3">
        <f t="shared" si="1"/>
        <v>19.27</v>
      </c>
      <c r="D35" s="3">
        <f t="shared" si="1"/>
        <v>25.82</v>
      </c>
      <c r="E35" s="3">
        <f t="shared" si="1"/>
        <v>6.74</v>
      </c>
      <c r="F35" s="3">
        <f t="shared" si="1"/>
        <v>4.38</v>
      </c>
      <c r="G35" s="3">
        <f t="shared" si="1"/>
        <v>125.6</v>
      </c>
      <c r="H35" s="3">
        <f t="shared" si="1"/>
        <v>56.46</v>
      </c>
      <c r="I35" s="3">
        <f t="shared" si="1"/>
        <v>15.38</v>
      </c>
      <c r="J35" s="3">
        <f t="shared" si="1"/>
        <v>1.08</v>
      </c>
      <c r="K35" s="3">
        <f t="shared" si="1"/>
        <v>335.72</v>
      </c>
      <c r="L35" s="3">
        <f t="shared" si="1"/>
        <v>29.92</v>
      </c>
      <c r="M35" s="3">
        <f t="shared" si="1"/>
        <v>86.47</v>
      </c>
      <c r="N35" s="3">
        <f t="shared" si="1"/>
        <v>607.9</v>
      </c>
      <c r="O35" s="3">
        <f t="shared" si="1"/>
        <v>0</v>
      </c>
      <c r="P35" s="3">
        <f t="shared" si="1"/>
        <v>0.91</v>
      </c>
      <c r="Q35" s="3">
        <f t="shared" si="1"/>
        <v>9.32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12.4125</v>
      </c>
      <c r="C36" s="18">
        <f t="shared" si="2"/>
        <v>16.878750000000004</v>
      </c>
      <c r="D36" s="18">
        <f t="shared" si="2"/>
        <v>18.711249999999996</v>
      </c>
      <c r="E36" s="18">
        <f t="shared" si="2"/>
        <v>5.9958333333333336</v>
      </c>
      <c r="F36" s="18">
        <f t="shared" si="2"/>
        <v>0.97333333333333316</v>
      </c>
      <c r="G36" s="18">
        <f t="shared" si="2"/>
        <v>92.824583333333337</v>
      </c>
      <c r="H36" s="18">
        <f t="shared" si="2"/>
        <v>40.725000000000001</v>
      </c>
      <c r="I36" s="18">
        <f t="shared" si="2"/>
        <v>13.129166666666663</v>
      </c>
      <c r="J36" s="18">
        <f t="shared" si="2"/>
        <v>0.4308333333333334</v>
      </c>
      <c r="K36" s="18">
        <f t="shared" si="2"/>
        <v>170.72916666666671</v>
      </c>
      <c r="L36" s="18">
        <f t="shared" si="2"/>
        <v>23.084583333333331</v>
      </c>
      <c r="M36" s="18">
        <f t="shared" si="2"/>
        <v>64.38624999999999</v>
      </c>
      <c r="N36" s="18">
        <f t="shared" si="2"/>
        <v>140.05833333333337</v>
      </c>
      <c r="O36" s="18">
        <f t="shared" si="2"/>
        <v>0</v>
      </c>
      <c r="P36" s="18">
        <f t="shared" si="2"/>
        <v>0.74583333333333324</v>
      </c>
      <c r="Q36" s="18">
        <f t="shared" si="2"/>
        <v>9.319999999999995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5.9791101926333647</v>
      </c>
      <c r="C37" s="18">
        <f t="shared" ref="C37:Q37" si="3">STDEV(C9:C32)</f>
        <v>1.7188629014301997</v>
      </c>
      <c r="D37" s="18">
        <f t="shared" si="3"/>
        <v>5.2794534569733615</v>
      </c>
      <c r="E37" s="18">
        <f t="shared" si="3"/>
        <v>0.33201514720116992</v>
      </c>
      <c r="F37" s="18">
        <f t="shared" si="3"/>
        <v>1.3327241361918849</v>
      </c>
      <c r="G37" s="18">
        <f t="shared" si="3"/>
        <v>26.102408514419199</v>
      </c>
      <c r="H37" s="18">
        <f t="shared" si="3"/>
        <v>8.2287787672290467</v>
      </c>
      <c r="I37" s="18">
        <f t="shared" si="3"/>
        <v>1.5449100625762471</v>
      </c>
      <c r="J37" s="18">
        <f t="shared" si="3"/>
        <v>0.26797009350763873</v>
      </c>
      <c r="K37" s="18">
        <f t="shared" si="3"/>
        <v>68.647823608850615</v>
      </c>
      <c r="L37" s="18">
        <f t="shared" si="3"/>
        <v>4.7485741376311834</v>
      </c>
      <c r="M37" s="18">
        <f t="shared" si="3"/>
        <v>20.138361578470558</v>
      </c>
      <c r="N37" s="18">
        <f t="shared" si="3"/>
        <v>216.40483784005318</v>
      </c>
      <c r="O37" s="18">
        <f t="shared" si="3"/>
        <v>0</v>
      </c>
      <c r="P37" s="18">
        <f t="shared" si="3"/>
        <v>0.11220775245117863</v>
      </c>
      <c r="Q37" s="18">
        <f t="shared" si="3"/>
        <v>5.4436872977907584E-15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7"/>
      <c r="O41" s="37"/>
      <c r="P41" s="37"/>
      <c r="Q41" s="37"/>
      <c r="R41" s="37"/>
      <c r="S41" s="37"/>
      <c r="T41" s="37"/>
      <c r="U41" s="37"/>
    </row>
    <row r="42" spans="1: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3" t="s">
        <v>55</v>
      </c>
      <c r="B43" s="19" t="s">
        <v>56</v>
      </c>
      <c r="C43" s="3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1"/>
      <c r="B44" s="1"/>
      <c r="C44" s="1"/>
      <c r="D44" s="20"/>
      <c r="E44" s="20"/>
      <c r="F44" s="20"/>
      <c r="G44" s="20"/>
      <c r="H44" s="20"/>
      <c r="I44" s="2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U96"/>
  <sheetViews>
    <sheetView topLeftCell="A16" zoomScale="85" zoomScaleNormal="85" workbookViewId="0">
      <selection activeCell="H15" sqref="H15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30/11/2025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757</v>
      </c>
      <c r="B9" s="41">
        <v>18.940000000000001</v>
      </c>
      <c r="C9" s="41">
        <v>17.7</v>
      </c>
      <c r="D9" s="41">
        <v>24.43</v>
      </c>
      <c r="E9" s="41">
        <v>5.37</v>
      </c>
      <c r="F9" s="41">
        <v>0.06</v>
      </c>
      <c r="G9" s="41">
        <v>110.28</v>
      </c>
      <c r="H9" s="41">
        <v>45.68</v>
      </c>
      <c r="I9" s="41">
        <v>15.41</v>
      </c>
      <c r="J9" s="41">
        <v>0.21</v>
      </c>
      <c r="K9" s="41">
        <v>214.56</v>
      </c>
      <c r="L9" s="41">
        <v>19.5</v>
      </c>
      <c r="M9" s="41">
        <v>84.69</v>
      </c>
      <c r="N9" s="41">
        <v>2</v>
      </c>
      <c r="O9" s="41">
        <v>0</v>
      </c>
      <c r="P9" s="41">
        <v>0.91</v>
      </c>
      <c r="Q9" s="41">
        <v>9.32</v>
      </c>
      <c r="R9" s="38"/>
      <c r="S9" s="38"/>
      <c r="T9" s="38"/>
      <c r="U9" s="38"/>
    </row>
    <row r="10" spans="1:21" customFormat="1">
      <c r="A10" s="40" t="s">
        <v>758</v>
      </c>
      <c r="B10" s="41">
        <v>23.39</v>
      </c>
      <c r="C10" s="41">
        <v>18.39</v>
      </c>
      <c r="D10" s="41">
        <v>28.37</v>
      </c>
      <c r="E10" s="41">
        <v>5.44</v>
      </c>
      <c r="F10" s="41">
        <v>0.22</v>
      </c>
      <c r="G10" s="41">
        <v>102.8</v>
      </c>
      <c r="H10" s="41">
        <v>44.55</v>
      </c>
      <c r="I10" s="41">
        <v>15.54</v>
      </c>
      <c r="J10" s="41">
        <v>0.23</v>
      </c>
      <c r="K10" s="41">
        <v>235.02</v>
      </c>
      <c r="L10" s="41">
        <v>19.260000000000002</v>
      </c>
      <c r="M10" s="41">
        <v>80.41</v>
      </c>
      <c r="N10" s="41">
        <v>1.7</v>
      </c>
      <c r="O10" s="41">
        <v>0</v>
      </c>
      <c r="P10" s="41">
        <v>0.89</v>
      </c>
      <c r="Q10" s="41">
        <v>9.32</v>
      </c>
      <c r="R10" s="38"/>
      <c r="S10" s="38"/>
      <c r="T10" s="38"/>
      <c r="U10" s="38"/>
    </row>
    <row r="11" spans="1:21" customFormat="1">
      <c r="A11" s="40" t="s">
        <v>759</v>
      </c>
      <c r="B11" s="41">
        <v>26.02</v>
      </c>
      <c r="C11" s="41">
        <v>18.79</v>
      </c>
      <c r="D11" s="41">
        <v>30.69</v>
      </c>
      <c r="E11" s="41">
        <v>6.34</v>
      </c>
      <c r="F11" s="41">
        <v>0.18</v>
      </c>
      <c r="G11" s="41">
        <v>97.86</v>
      </c>
      <c r="H11" s="41">
        <v>45.44</v>
      </c>
      <c r="I11" s="41">
        <v>16.059999999999999</v>
      </c>
      <c r="J11" s="41">
        <v>0.21</v>
      </c>
      <c r="K11" s="41">
        <v>167.36</v>
      </c>
      <c r="L11" s="41">
        <v>19.57</v>
      </c>
      <c r="M11" s="41">
        <v>77.13</v>
      </c>
      <c r="N11" s="41">
        <v>1.7</v>
      </c>
      <c r="O11" s="41">
        <v>0</v>
      </c>
      <c r="P11" s="41">
        <v>0.9</v>
      </c>
      <c r="Q11" s="41">
        <v>9.32</v>
      </c>
      <c r="R11" s="38"/>
      <c r="S11" s="38"/>
      <c r="T11" s="38"/>
      <c r="U11" s="38"/>
    </row>
    <row r="12" spans="1:21" customFormat="1">
      <c r="A12" s="40" t="s">
        <v>760</v>
      </c>
      <c r="B12" s="41">
        <v>24.65</v>
      </c>
      <c r="C12" s="41">
        <v>18.16</v>
      </c>
      <c r="D12" s="41">
        <v>29.25</v>
      </c>
      <c r="E12" s="41">
        <v>6.32</v>
      </c>
      <c r="F12" s="41">
        <v>0.1</v>
      </c>
      <c r="G12" s="41">
        <v>102.77</v>
      </c>
      <c r="H12" s="41">
        <v>46.22</v>
      </c>
      <c r="I12" s="41">
        <v>15.99</v>
      </c>
      <c r="J12" s="41">
        <v>0.24</v>
      </c>
      <c r="K12" s="41">
        <v>192.47</v>
      </c>
      <c r="L12" s="41">
        <v>19.350000000000001</v>
      </c>
      <c r="M12" s="41">
        <v>84.41</v>
      </c>
      <c r="N12" s="41">
        <v>2.1</v>
      </c>
      <c r="O12" s="41">
        <v>0</v>
      </c>
      <c r="P12" s="41">
        <v>0.89</v>
      </c>
      <c r="Q12" s="41">
        <v>9.32</v>
      </c>
      <c r="R12" s="38"/>
      <c r="S12" s="38"/>
      <c r="T12" s="38"/>
      <c r="U12" s="38"/>
    </row>
    <row r="13" spans="1:21" customFormat="1">
      <c r="A13" s="40" t="s">
        <v>761</v>
      </c>
      <c r="B13" s="41">
        <v>24.48</v>
      </c>
      <c r="C13" s="41">
        <v>17.52</v>
      </c>
      <c r="D13" s="41">
        <v>28.78</v>
      </c>
      <c r="E13" s="41">
        <v>6.35</v>
      </c>
      <c r="F13" s="41">
        <v>0.04</v>
      </c>
      <c r="G13" s="41">
        <v>102.77</v>
      </c>
      <c r="H13" s="41">
        <v>46.22</v>
      </c>
      <c r="I13" s="41">
        <v>15.66</v>
      </c>
      <c r="J13" s="41">
        <v>0.1</v>
      </c>
      <c r="K13" s="41">
        <v>192.46</v>
      </c>
      <c r="L13" s="41">
        <v>18.149999999999999</v>
      </c>
      <c r="M13" s="41">
        <v>82.77</v>
      </c>
      <c r="N13" s="41">
        <v>1.7</v>
      </c>
      <c r="O13" s="41">
        <v>0</v>
      </c>
      <c r="P13" s="41">
        <v>0.87</v>
      </c>
      <c r="Q13" s="41">
        <v>9.32</v>
      </c>
      <c r="R13" s="38"/>
      <c r="S13" s="38"/>
      <c r="T13" s="38"/>
      <c r="U13" s="38"/>
    </row>
    <row r="14" spans="1:21" customFormat="1">
      <c r="A14" s="40" t="s">
        <v>762</v>
      </c>
      <c r="B14" s="41">
        <v>24.56</v>
      </c>
      <c r="C14" s="41">
        <v>17.510000000000002</v>
      </c>
      <c r="D14" s="41">
        <v>28.79</v>
      </c>
      <c r="E14" s="41">
        <v>6.44</v>
      </c>
      <c r="F14" s="41">
        <v>0.13</v>
      </c>
      <c r="G14" s="41">
        <v>101.83</v>
      </c>
      <c r="H14" s="41">
        <v>47.8</v>
      </c>
      <c r="I14" s="41">
        <v>15.38</v>
      </c>
      <c r="J14" s="41">
        <v>0.38</v>
      </c>
      <c r="K14" s="41">
        <v>83.41</v>
      </c>
      <c r="L14" s="41">
        <v>18.23</v>
      </c>
      <c r="M14" s="41">
        <v>79.709999999999994</v>
      </c>
      <c r="N14" s="41">
        <v>1.7</v>
      </c>
      <c r="O14" s="41">
        <v>0</v>
      </c>
      <c r="P14" s="41">
        <v>0.86</v>
      </c>
      <c r="Q14" s="41">
        <v>9.32</v>
      </c>
      <c r="R14" s="38"/>
      <c r="S14" s="38"/>
      <c r="T14" s="38"/>
      <c r="U14" s="38"/>
    </row>
    <row r="15" spans="1:21" customFormat="1">
      <c r="A15" s="40" t="s">
        <v>763</v>
      </c>
      <c r="B15" s="41">
        <v>26.37</v>
      </c>
      <c r="C15" s="41">
        <v>17.57</v>
      </c>
      <c r="D15" s="41">
        <v>30.32</v>
      </c>
      <c r="E15" s="41">
        <v>6.37</v>
      </c>
      <c r="F15" s="41">
        <v>0.11</v>
      </c>
      <c r="G15" s="41">
        <v>101.83</v>
      </c>
      <c r="H15" s="41">
        <v>47.8</v>
      </c>
      <c r="I15" s="41">
        <v>15.02</v>
      </c>
      <c r="J15" s="41">
        <v>0.38</v>
      </c>
      <c r="K15" s="41">
        <v>174.4</v>
      </c>
      <c r="L15" s="41">
        <v>18.14</v>
      </c>
      <c r="M15" s="41">
        <v>80.87</v>
      </c>
      <c r="N15" s="41">
        <v>21.9</v>
      </c>
      <c r="O15" s="41">
        <v>0</v>
      </c>
      <c r="P15" s="41">
        <v>0.84</v>
      </c>
      <c r="Q15" s="41">
        <v>9.32</v>
      </c>
      <c r="R15" s="38"/>
      <c r="S15" s="38"/>
      <c r="T15" s="38"/>
      <c r="U15" s="38"/>
    </row>
    <row r="16" spans="1:21" customFormat="1">
      <c r="A16" s="40" t="s">
        <v>764</v>
      </c>
      <c r="B16" s="41">
        <v>26.4</v>
      </c>
      <c r="C16" s="41">
        <v>17.920000000000002</v>
      </c>
      <c r="D16" s="41">
        <v>30.53</v>
      </c>
      <c r="E16" s="41">
        <v>6.06</v>
      </c>
      <c r="F16" s="41">
        <v>0.05</v>
      </c>
      <c r="G16" s="41">
        <v>101.32</v>
      </c>
      <c r="H16" s="41">
        <v>47.34</v>
      </c>
      <c r="I16" s="41">
        <v>15.19</v>
      </c>
      <c r="J16" s="41">
        <v>0.78</v>
      </c>
      <c r="K16" s="41">
        <v>48.39</v>
      </c>
      <c r="L16" s="41">
        <v>19.34</v>
      </c>
      <c r="M16" s="41">
        <v>80.22</v>
      </c>
      <c r="N16" s="41">
        <v>81.400000000000006</v>
      </c>
      <c r="O16" s="41">
        <v>0</v>
      </c>
      <c r="P16" s="41">
        <v>0.84</v>
      </c>
      <c r="Q16" s="41">
        <v>9.32</v>
      </c>
      <c r="R16" s="38"/>
      <c r="S16" s="38"/>
      <c r="T16" s="38"/>
      <c r="U16" s="38"/>
    </row>
    <row r="17" spans="1:21" customFormat="1">
      <c r="A17" s="40" t="s">
        <v>765</v>
      </c>
      <c r="B17" s="41">
        <v>26.15</v>
      </c>
      <c r="C17" s="41">
        <v>18.54</v>
      </c>
      <c r="D17" s="41">
        <v>30.57</v>
      </c>
      <c r="E17" s="41">
        <v>6.09</v>
      </c>
      <c r="F17" s="41">
        <v>0.13</v>
      </c>
      <c r="G17" s="41">
        <v>105.53</v>
      </c>
      <c r="H17" s="41">
        <v>50.25</v>
      </c>
      <c r="I17" s="41">
        <v>15.31</v>
      </c>
      <c r="J17" s="41">
        <v>1.04</v>
      </c>
      <c r="K17" s="41">
        <v>51.07</v>
      </c>
      <c r="L17" s="41">
        <v>22.51</v>
      </c>
      <c r="M17" s="41">
        <v>73.290000000000006</v>
      </c>
      <c r="N17" s="41">
        <v>281.5</v>
      </c>
      <c r="O17" s="41">
        <v>0</v>
      </c>
      <c r="P17" s="41">
        <v>0.84</v>
      </c>
      <c r="Q17" s="41">
        <v>10.220000000000001</v>
      </c>
      <c r="R17" s="38"/>
      <c r="S17" s="38"/>
      <c r="T17" s="38"/>
      <c r="U17" s="38"/>
    </row>
    <row r="18" spans="1:21" customFormat="1">
      <c r="A18" s="40" t="s">
        <v>766</v>
      </c>
      <c r="B18" s="41">
        <v>23.22</v>
      </c>
      <c r="C18" s="41">
        <v>18.25</v>
      </c>
      <c r="D18" s="41">
        <v>28.15</v>
      </c>
      <c r="E18" s="41">
        <v>6.36</v>
      </c>
      <c r="F18" s="41">
        <v>0.2</v>
      </c>
      <c r="G18" s="41">
        <v>105.53</v>
      </c>
      <c r="H18" s="41">
        <v>50.25</v>
      </c>
      <c r="I18" s="41">
        <v>15.25</v>
      </c>
      <c r="J18" s="41">
        <v>1.0900000000000001</v>
      </c>
      <c r="K18" s="41">
        <v>50.66</v>
      </c>
      <c r="L18" s="41">
        <v>25.31</v>
      </c>
      <c r="M18" s="41">
        <v>59.47</v>
      </c>
      <c r="N18" s="41">
        <v>313.89999999999998</v>
      </c>
      <c r="O18" s="41">
        <v>0</v>
      </c>
      <c r="P18" s="41">
        <v>0.81</v>
      </c>
      <c r="Q18" s="41">
        <v>9.32</v>
      </c>
      <c r="R18" s="38"/>
      <c r="S18" s="38"/>
      <c r="T18" s="38"/>
      <c r="U18" s="38"/>
    </row>
    <row r="19" spans="1:21" customFormat="1">
      <c r="A19" s="40" t="s">
        <v>767</v>
      </c>
      <c r="B19" s="41">
        <v>19.82</v>
      </c>
      <c r="C19" s="41">
        <v>17.64</v>
      </c>
      <c r="D19" s="41">
        <v>25.11</v>
      </c>
      <c r="E19" s="41">
        <v>5.87</v>
      </c>
      <c r="F19" s="41">
        <v>0.55000000000000004</v>
      </c>
      <c r="G19" s="41">
        <v>96.76</v>
      </c>
      <c r="H19" s="41">
        <v>43.72</v>
      </c>
      <c r="I19" s="41">
        <v>14.8</v>
      </c>
      <c r="J19" s="41">
        <v>0.84</v>
      </c>
      <c r="K19" s="41">
        <v>66.900000000000006</v>
      </c>
      <c r="L19" s="41">
        <v>27.84</v>
      </c>
      <c r="M19" s="41">
        <v>50.16</v>
      </c>
      <c r="N19" s="41">
        <v>468.3</v>
      </c>
      <c r="O19" s="41">
        <v>0</v>
      </c>
      <c r="P19" s="41">
        <v>0.78</v>
      </c>
      <c r="Q19" s="41">
        <v>9.32</v>
      </c>
      <c r="R19" s="38"/>
      <c r="S19" s="38"/>
      <c r="T19" s="38"/>
      <c r="U19" s="38"/>
    </row>
    <row r="20" spans="1:21" customFormat="1">
      <c r="A20" s="40" t="s">
        <v>768</v>
      </c>
      <c r="B20" s="41">
        <v>15.73</v>
      </c>
      <c r="C20" s="41">
        <v>18.95</v>
      </c>
      <c r="D20" s="41">
        <v>21.89</v>
      </c>
      <c r="E20" s="41">
        <v>6.17</v>
      </c>
      <c r="F20" s="41">
        <v>0.87</v>
      </c>
      <c r="G20" s="41">
        <v>87.1</v>
      </c>
      <c r="H20" s="41">
        <v>39.33</v>
      </c>
      <c r="I20" s="41">
        <v>13.7</v>
      </c>
      <c r="J20" s="41">
        <v>0.78</v>
      </c>
      <c r="K20" s="41">
        <v>72.06</v>
      </c>
      <c r="L20" s="41">
        <v>29.33</v>
      </c>
      <c r="M20" s="41">
        <v>38.090000000000003</v>
      </c>
      <c r="N20" s="41">
        <v>627.5</v>
      </c>
      <c r="O20" s="41">
        <v>0</v>
      </c>
      <c r="P20" s="41">
        <v>0.71</v>
      </c>
      <c r="Q20" s="41">
        <v>9.32</v>
      </c>
      <c r="R20" s="38"/>
      <c r="S20" s="38"/>
      <c r="T20" s="38"/>
      <c r="U20" s="38"/>
    </row>
    <row r="21" spans="1:21" customFormat="1">
      <c r="A21" s="40" t="s">
        <v>769</v>
      </c>
      <c r="B21" s="41">
        <v>9.42</v>
      </c>
      <c r="C21" s="41">
        <v>19.350000000000001</v>
      </c>
      <c r="D21" s="41">
        <v>17.600000000000001</v>
      </c>
      <c r="E21" s="41">
        <v>6.21</v>
      </c>
      <c r="F21" s="41">
        <v>1.7</v>
      </c>
      <c r="G21" s="41">
        <v>74.709999999999994</v>
      </c>
      <c r="H21" s="41">
        <v>31.61</v>
      </c>
      <c r="I21" s="41">
        <v>12.61</v>
      </c>
      <c r="J21" s="41">
        <v>0.96</v>
      </c>
      <c r="K21" s="41">
        <v>53.56</v>
      </c>
      <c r="L21" s="41">
        <v>29.49</v>
      </c>
      <c r="M21" s="41">
        <v>32.14</v>
      </c>
      <c r="N21" s="41">
        <v>591.9</v>
      </c>
      <c r="O21" s="41">
        <v>0</v>
      </c>
      <c r="P21" s="41">
        <v>0.65</v>
      </c>
      <c r="Q21" s="41">
        <v>9.32</v>
      </c>
      <c r="R21" s="38"/>
      <c r="S21" s="38"/>
      <c r="T21" s="38"/>
      <c r="U21" s="38"/>
    </row>
    <row r="22" spans="1:21" customFormat="1">
      <c r="A22" s="40" t="s">
        <v>770</v>
      </c>
      <c r="B22" s="41">
        <v>4.8499999999999996</v>
      </c>
      <c r="C22" s="41">
        <v>18.649999999999999</v>
      </c>
      <c r="D22" s="41">
        <v>13.63</v>
      </c>
      <c r="E22" s="41">
        <v>6.18</v>
      </c>
      <c r="F22" s="41">
        <v>2.52</v>
      </c>
      <c r="G22" s="41">
        <v>71.27</v>
      </c>
      <c r="H22" s="41">
        <v>30.75</v>
      </c>
      <c r="I22" s="41">
        <v>11.52</v>
      </c>
      <c r="J22" s="41">
        <v>0.71</v>
      </c>
      <c r="K22" s="41">
        <v>163.18</v>
      </c>
      <c r="L22" s="41">
        <v>29.69</v>
      </c>
      <c r="M22" s="41">
        <v>35.07</v>
      </c>
      <c r="N22" s="41">
        <v>353.8</v>
      </c>
      <c r="O22" s="41">
        <v>0</v>
      </c>
      <c r="P22" s="41">
        <v>0.59</v>
      </c>
      <c r="Q22" s="41">
        <v>9.32</v>
      </c>
      <c r="R22" s="38"/>
      <c r="S22" s="38"/>
      <c r="T22" s="38"/>
      <c r="U22" s="38"/>
    </row>
    <row r="23" spans="1:21" customFormat="1">
      <c r="A23" s="40" t="s">
        <v>771</v>
      </c>
      <c r="B23" s="41">
        <v>3.46</v>
      </c>
      <c r="C23" s="41">
        <v>16.350000000000001</v>
      </c>
      <c r="D23" s="41">
        <v>11.32</v>
      </c>
      <c r="E23" s="41">
        <v>6.11</v>
      </c>
      <c r="F23" s="41">
        <v>3.44</v>
      </c>
      <c r="G23" s="41">
        <v>61.41</v>
      </c>
      <c r="H23" s="41">
        <v>30.05</v>
      </c>
      <c r="I23" s="41">
        <v>10.83</v>
      </c>
      <c r="J23" s="41">
        <v>0.56999999999999995</v>
      </c>
      <c r="K23" s="41">
        <v>158.82</v>
      </c>
      <c r="L23" s="41">
        <v>29.64</v>
      </c>
      <c r="M23" s="41">
        <v>33.53</v>
      </c>
      <c r="N23" s="41">
        <v>188.8</v>
      </c>
      <c r="O23" s="41">
        <v>0</v>
      </c>
      <c r="P23" s="41">
        <v>0.53</v>
      </c>
      <c r="Q23" s="41">
        <v>9.32</v>
      </c>
      <c r="R23" s="38"/>
      <c r="S23" s="38"/>
      <c r="T23" s="38"/>
      <c r="U23" s="38"/>
    </row>
    <row r="24" spans="1:21" customFormat="1">
      <c r="A24" s="40" t="s">
        <v>772</v>
      </c>
      <c r="B24" s="41">
        <v>3.51</v>
      </c>
      <c r="C24" s="41">
        <v>15.67</v>
      </c>
      <c r="D24" s="41">
        <v>11</v>
      </c>
      <c r="E24" s="41">
        <v>6.7</v>
      </c>
      <c r="F24" s="41">
        <v>2.7</v>
      </c>
      <c r="G24" s="41">
        <v>59.26</v>
      </c>
      <c r="H24" s="41">
        <v>30.05</v>
      </c>
      <c r="I24" s="41">
        <v>9.99</v>
      </c>
      <c r="J24" s="41">
        <v>0.49</v>
      </c>
      <c r="K24" s="41">
        <v>133.34</v>
      </c>
      <c r="L24" s="41">
        <v>29.19</v>
      </c>
      <c r="M24" s="41">
        <v>35.409999999999997</v>
      </c>
      <c r="N24" s="41">
        <v>114.6</v>
      </c>
      <c r="O24" s="41">
        <v>0</v>
      </c>
      <c r="P24" s="41">
        <v>0.51</v>
      </c>
      <c r="Q24" s="41">
        <v>9.32</v>
      </c>
      <c r="R24" s="38"/>
      <c r="S24" s="38"/>
      <c r="T24" s="38"/>
      <c r="U24" s="38"/>
    </row>
    <row r="25" spans="1:21" customFormat="1">
      <c r="A25" s="40" t="s">
        <v>773</v>
      </c>
      <c r="B25" s="41">
        <v>4.05</v>
      </c>
      <c r="C25" s="41">
        <v>15.69</v>
      </c>
      <c r="D25" s="41">
        <v>11.1</v>
      </c>
      <c r="E25" s="41">
        <v>6.89</v>
      </c>
      <c r="F25" s="41">
        <v>2.89</v>
      </c>
      <c r="G25" s="41">
        <v>61.22</v>
      </c>
      <c r="H25" s="41">
        <v>30.09</v>
      </c>
      <c r="I25" s="41">
        <v>9.5</v>
      </c>
      <c r="J25" s="41">
        <v>0.27</v>
      </c>
      <c r="K25" s="41">
        <v>159.41999999999999</v>
      </c>
      <c r="L25" s="41">
        <v>28.07</v>
      </c>
      <c r="M25" s="41">
        <v>43.13</v>
      </c>
      <c r="N25" s="41">
        <v>56.2</v>
      </c>
      <c r="O25" s="41">
        <v>0</v>
      </c>
      <c r="P25" s="41">
        <v>0.52</v>
      </c>
      <c r="Q25" s="41">
        <v>9.32</v>
      </c>
      <c r="R25" s="38"/>
      <c r="S25" s="38"/>
      <c r="T25" s="38"/>
      <c r="U25" s="38"/>
    </row>
    <row r="26" spans="1:21" customFormat="1">
      <c r="A26" s="40" t="s">
        <v>774</v>
      </c>
      <c r="B26" s="41">
        <v>4.45</v>
      </c>
      <c r="C26" s="41">
        <v>14.57</v>
      </c>
      <c r="D26" s="41">
        <v>11.18</v>
      </c>
      <c r="E26" s="41">
        <v>6.74</v>
      </c>
      <c r="F26" s="41">
        <v>2.17</v>
      </c>
      <c r="G26" s="41">
        <v>64.569999999999993</v>
      </c>
      <c r="H26" s="41">
        <v>30.09</v>
      </c>
      <c r="I26" s="41">
        <v>9.27</v>
      </c>
      <c r="J26" s="41">
        <v>0.23</v>
      </c>
      <c r="K26" s="41">
        <v>151.43</v>
      </c>
      <c r="L26" s="41">
        <v>26.56</v>
      </c>
      <c r="M26" s="41">
        <v>46.04</v>
      </c>
      <c r="N26" s="41">
        <v>7.6</v>
      </c>
      <c r="O26" s="41">
        <v>0</v>
      </c>
      <c r="P26" s="41">
        <v>0.53</v>
      </c>
      <c r="Q26" s="41">
        <v>9.32</v>
      </c>
      <c r="R26" s="38"/>
      <c r="S26" s="38"/>
      <c r="T26" s="38"/>
      <c r="U26" s="38"/>
    </row>
    <row r="27" spans="1:21" customFormat="1">
      <c r="A27" s="40" t="s">
        <v>775</v>
      </c>
      <c r="B27" s="41">
        <v>5.71</v>
      </c>
      <c r="C27" s="41">
        <v>15.81</v>
      </c>
      <c r="D27" s="41">
        <v>12.84</v>
      </c>
      <c r="E27" s="41">
        <v>6.53</v>
      </c>
      <c r="F27" s="41">
        <v>0.71</v>
      </c>
      <c r="G27" s="41">
        <v>71.17</v>
      </c>
      <c r="H27" s="41">
        <v>31.01</v>
      </c>
      <c r="I27" s="41">
        <v>9.5399999999999991</v>
      </c>
      <c r="J27" s="41">
        <v>0.19</v>
      </c>
      <c r="K27" s="41">
        <v>215.24</v>
      </c>
      <c r="L27" s="41">
        <v>25.11</v>
      </c>
      <c r="M27" s="41">
        <v>60.87</v>
      </c>
      <c r="N27" s="41">
        <v>2.5</v>
      </c>
      <c r="O27" s="41">
        <v>0</v>
      </c>
      <c r="P27" s="41">
        <v>0.56000000000000005</v>
      </c>
      <c r="Q27" s="41">
        <v>9.32</v>
      </c>
      <c r="R27" s="38"/>
      <c r="S27" s="38"/>
      <c r="T27" s="38"/>
      <c r="U27" s="38"/>
    </row>
    <row r="28" spans="1:21" customFormat="1">
      <c r="A28" s="40" t="s">
        <v>776</v>
      </c>
      <c r="B28" s="41">
        <v>8.76</v>
      </c>
      <c r="C28" s="41">
        <v>16.88</v>
      </c>
      <c r="D28" s="41">
        <v>15.84</v>
      </c>
      <c r="E28" s="41">
        <v>6.29</v>
      </c>
      <c r="F28" s="41">
        <v>0.26</v>
      </c>
      <c r="G28" s="41">
        <v>90.3</v>
      </c>
      <c r="H28" s="41">
        <v>37.28</v>
      </c>
      <c r="I28" s="41">
        <v>10.28</v>
      </c>
      <c r="J28" s="41">
        <v>0.2</v>
      </c>
      <c r="K28" s="41">
        <v>189.48</v>
      </c>
      <c r="L28" s="41">
        <v>23.41</v>
      </c>
      <c r="M28" s="41">
        <v>66.34</v>
      </c>
      <c r="N28" s="41">
        <v>2.1</v>
      </c>
      <c r="O28" s="41">
        <v>0</v>
      </c>
      <c r="P28" s="41">
        <v>0.64</v>
      </c>
      <c r="Q28" s="41">
        <v>9.32</v>
      </c>
      <c r="R28" s="38"/>
      <c r="S28" s="38"/>
      <c r="T28" s="38"/>
      <c r="U28" s="38"/>
    </row>
    <row r="29" spans="1:21" customFormat="1">
      <c r="A29" s="40" t="s">
        <v>777</v>
      </c>
      <c r="B29" s="41">
        <v>9.07</v>
      </c>
      <c r="C29" s="41">
        <v>16.920000000000002</v>
      </c>
      <c r="D29" s="41">
        <v>16</v>
      </c>
      <c r="E29" s="41">
        <v>6.46</v>
      </c>
      <c r="F29" s="41">
        <v>7.0000000000000007E-2</v>
      </c>
      <c r="G29" s="41">
        <v>103.94</v>
      </c>
      <c r="H29" s="41">
        <v>43.46</v>
      </c>
      <c r="I29" s="41">
        <v>11.03</v>
      </c>
      <c r="J29" s="41">
        <v>0.25</v>
      </c>
      <c r="K29" s="41">
        <v>236.69</v>
      </c>
      <c r="L29" s="41">
        <v>22.29</v>
      </c>
      <c r="M29" s="41">
        <v>78.040000000000006</v>
      </c>
      <c r="N29" s="41">
        <v>2.1</v>
      </c>
      <c r="O29" s="41">
        <v>0</v>
      </c>
      <c r="P29" s="41">
        <v>0.68</v>
      </c>
      <c r="Q29" s="41">
        <v>9.32</v>
      </c>
      <c r="R29" s="38"/>
      <c r="S29" s="38"/>
      <c r="T29" s="38"/>
      <c r="U29" s="38"/>
    </row>
    <row r="30" spans="1:21" customFormat="1">
      <c r="A30" s="40" t="s">
        <v>778</v>
      </c>
      <c r="B30" s="41">
        <v>9.17</v>
      </c>
      <c r="C30" s="41">
        <v>16</v>
      </c>
      <c r="D30" s="41">
        <v>15.72</v>
      </c>
      <c r="E30" s="41">
        <v>6.31</v>
      </c>
      <c r="F30" s="41">
        <v>0.2</v>
      </c>
      <c r="G30" s="41">
        <v>103.94</v>
      </c>
      <c r="H30" s="41">
        <v>43.47</v>
      </c>
      <c r="I30" s="41">
        <v>11.32</v>
      </c>
      <c r="J30" s="41">
        <v>0.3</v>
      </c>
      <c r="K30" s="41">
        <v>200.38</v>
      </c>
      <c r="L30" s="41">
        <v>21.79</v>
      </c>
      <c r="M30" s="41">
        <v>76.87</v>
      </c>
      <c r="N30" s="41">
        <v>2.1</v>
      </c>
      <c r="O30" s="41">
        <v>0</v>
      </c>
      <c r="P30" s="41">
        <v>0.68</v>
      </c>
      <c r="Q30" s="41">
        <v>9.32</v>
      </c>
      <c r="R30" s="38"/>
      <c r="S30" s="38"/>
      <c r="T30" s="38"/>
      <c r="U30" s="38"/>
    </row>
    <row r="31" spans="1:21" customFormat="1">
      <c r="A31" s="40" t="s">
        <v>779</v>
      </c>
      <c r="B31" s="41">
        <v>10.53</v>
      </c>
      <c r="C31" s="41">
        <v>15.97</v>
      </c>
      <c r="D31" s="41">
        <v>16.79</v>
      </c>
      <c r="E31" s="41">
        <v>6.29</v>
      </c>
      <c r="F31" s="41">
        <v>0.27</v>
      </c>
      <c r="G31" s="41">
        <v>91.91</v>
      </c>
      <c r="H31" s="41">
        <v>43.37</v>
      </c>
      <c r="I31" s="41">
        <v>11.98</v>
      </c>
      <c r="J31" s="41">
        <v>0.32</v>
      </c>
      <c r="K31" s="41">
        <v>233.3</v>
      </c>
      <c r="L31" s="41">
        <v>22.55</v>
      </c>
      <c r="M31" s="41">
        <v>74.38</v>
      </c>
      <c r="N31" s="41">
        <v>2.1</v>
      </c>
      <c r="O31" s="41">
        <v>0</v>
      </c>
      <c r="P31" s="41">
        <v>0.71</v>
      </c>
      <c r="Q31" s="41">
        <v>9.32</v>
      </c>
      <c r="R31" s="38"/>
      <c r="S31" s="38"/>
      <c r="T31" s="38"/>
      <c r="U31" s="38"/>
    </row>
    <row r="32" spans="1:21" customFormat="1">
      <c r="A32" s="40" t="s">
        <v>780</v>
      </c>
      <c r="B32" s="41">
        <v>11.67</v>
      </c>
      <c r="C32" s="41">
        <v>17.010000000000002</v>
      </c>
      <c r="D32" s="41">
        <v>18.25</v>
      </c>
      <c r="E32" s="41">
        <v>6.2</v>
      </c>
      <c r="F32" s="41">
        <v>0.17</v>
      </c>
      <c r="G32" s="41">
        <v>96.64</v>
      </c>
      <c r="H32" s="41">
        <v>43.93</v>
      </c>
      <c r="I32" s="41">
        <v>12.25</v>
      </c>
      <c r="J32" s="41">
        <v>0.28000000000000003</v>
      </c>
      <c r="K32" s="41">
        <v>171.06</v>
      </c>
      <c r="L32" s="41">
        <v>22.57</v>
      </c>
      <c r="M32" s="41">
        <v>65.59</v>
      </c>
      <c r="N32" s="41">
        <v>2.2999999999999998</v>
      </c>
      <c r="O32" s="41">
        <v>0</v>
      </c>
      <c r="P32" s="41">
        <v>0.74</v>
      </c>
      <c r="Q32" s="41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3.46</v>
      </c>
      <c r="C34" s="18">
        <f t="shared" si="0"/>
        <v>14.57</v>
      </c>
      <c r="D34" s="18">
        <f t="shared" si="0"/>
        <v>11</v>
      </c>
      <c r="E34" s="18">
        <f t="shared" si="0"/>
        <v>5.37</v>
      </c>
      <c r="F34" s="18">
        <f t="shared" si="0"/>
        <v>0.04</v>
      </c>
      <c r="G34" s="18">
        <f t="shared" si="0"/>
        <v>59.26</v>
      </c>
      <c r="H34" s="18">
        <f t="shared" si="0"/>
        <v>30.05</v>
      </c>
      <c r="I34" s="18">
        <f t="shared" si="0"/>
        <v>9.27</v>
      </c>
      <c r="J34" s="18">
        <f t="shared" si="0"/>
        <v>0.1</v>
      </c>
      <c r="K34" s="18">
        <f t="shared" si="0"/>
        <v>48.39</v>
      </c>
      <c r="L34" s="18">
        <f t="shared" si="0"/>
        <v>18.14</v>
      </c>
      <c r="M34" s="18">
        <f t="shared" si="0"/>
        <v>32.14</v>
      </c>
      <c r="N34" s="18">
        <f t="shared" si="0"/>
        <v>1.7</v>
      </c>
      <c r="O34" s="18">
        <f t="shared" si="0"/>
        <v>0</v>
      </c>
      <c r="P34" s="18">
        <f t="shared" si="0"/>
        <v>0.51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26.4</v>
      </c>
      <c r="C35" s="3">
        <f t="shared" si="1"/>
        <v>19.350000000000001</v>
      </c>
      <c r="D35" s="3">
        <f t="shared" si="1"/>
        <v>30.69</v>
      </c>
      <c r="E35" s="3">
        <f t="shared" si="1"/>
        <v>6.89</v>
      </c>
      <c r="F35" s="3">
        <f t="shared" si="1"/>
        <v>3.44</v>
      </c>
      <c r="G35" s="3">
        <f t="shared" si="1"/>
        <v>110.28</v>
      </c>
      <c r="H35" s="3">
        <f t="shared" si="1"/>
        <v>50.25</v>
      </c>
      <c r="I35" s="3">
        <f t="shared" si="1"/>
        <v>16.059999999999999</v>
      </c>
      <c r="J35" s="3">
        <f t="shared" si="1"/>
        <v>1.0900000000000001</v>
      </c>
      <c r="K35" s="3">
        <f t="shared" si="1"/>
        <v>236.69</v>
      </c>
      <c r="L35" s="3">
        <f t="shared" si="1"/>
        <v>29.69</v>
      </c>
      <c r="M35" s="3">
        <f t="shared" si="1"/>
        <v>84.69</v>
      </c>
      <c r="N35" s="3">
        <f t="shared" si="1"/>
        <v>627.5</v>
      </c>
      <c r="O35" s="3">
        <f t="shared" si="1"/>
        <v>0</v>
      </c>
      <c r="P35" s="3">
        <f t="shared" si="1"/>
        <v>0.91</v>
      </c>
      <c r="Q35" s="3">
        <f t="shared" si="1"/>
        <v>10.220000000000001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15.182499999999999</v>
      </c>
      <c r="C36" s="18">
        <f t="shared" si="2"/>
        <v>17.325416666666669</v>
      </c>
      <c r="D36" s="18">
        <f t="shared" si="2"/>
        <v>21.172916666666666</v>
      </c>
      <c r="E36" s="18">
        <f t="shared" si="2"/>
        <v>6.2537499999999993</v>
      </c>
      <c r="F36" s="18">
        <f t="shared" si="2"/>
        <v>0.82250000000000023</v>
      </c>
      <c r="G36" s="18">
        <f t="shared" si="2"/>
        <v>90.279999999999987</v>
      </c>
      <c r="H36" s="18">
        <f t="shared" si="2"/>
        <v>40.823333333333331</v>
      </c>
      <c r="I36" s="18">
        <f t="shared" si="2"/>
        <v>13.059583333333331</v>
      </c>
      <c r="J36" s="18">
        <f t="shared" si="2"/>
        <v>0.46041666666666664</v>
      </c>
      <c r="K36" s="18">
        <f t="shared" si="2"/>
        <v>150.61083333333335</v>
      </c>
      <c r="L36" s="18">
        <f t="shared" si="2"/>
        <v>23.620416666666671</v>
      </c>
      <c r="M36" s="18">
        <f t="shared" si="2"/>
        <v>63.276249999999997</v>
      </c>
      <c r="N36" s="18">
        <f t="shared" si="2"/>
        <v>130.47916666666666</v>
      </c>
      <c r="O36" s="18">
        <f t="shared" si="2"/>
        <v>0</v>
      </c>
      <c r="P36" s="18">
        <f t="shared" si="2"/>
        <v>0.72833333333333339</v>
      </c>
      <c r="Q36" s="18">
        <f t="shared" si="2"/>
        <v>9.3574999999999964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8.8756071439599555</v>
      </c>
      <c r="C37" s="18">
        <f t="shared" ref="C37:Q37" si="3">STDEV(C9:C32)</f>
        <v>1.2481916629813836</v>
      </c>
      <c r="D37" s="18">
        <f t="shared" si="3"/>
        <v>7.552736606927529</v>
      </c>
      <c r="E37" s="18">
        <f t="shared" si="3"/>
        <v>0.34504961836007697</v>
      </c>
      <c r="F37" s="18">
        <f t="shared" si="3"/>
        <v>1.0864991646488311</v>
      </c>
      <c r="G37" s="18">
        <f t="shared" si="3"/>
        <v>16.835032831413841</v>
      </c>
      <c r="H37" s="18">
        <f t="shared" si="3"/>
        <v>7.3219228091525368</v>
      </c>
      <c r="I37" s="18">
        <f t="shared" si="3"/>
        <v>2.4332291644369821</v>
      </c>
      <c r="J37" s="18">
        <f t="shared" si="3"/>
        <v>0.30416641850297615</v>
      </c>
      <c r="K37" s="18">
        <f t="shared" si="3"/>
        <v>64.759264230094402</v>
      </c>
      <c r="L37" s="18">
        <f t="shared" si="3"/>
        <v>4.2173786203678665</v>
      </c>
      <c r="M37" s="18">
        <f t="shared" si="3"/>
        <v>18.921455687290216</v>
      </c>
      <c r="N37" s="18">
        <f t="shared" si="3"/>
        <v>199.66391975379341</v>
      </c>
      <c r="O37" s="18">
        <f t="shared" si="3"/>
        <v>0</v>
      </c>
      <c r="P37" s="18">
        <f t="shared" si="3"/>
        <v>0.13760898184369302</v>
      </c>
      <c r="Q37" s="18">
        <f t="shared" si="3"/>
        <v>0.18371173070873845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54"/>
  <sheetViews>
    <sheetView tabSelected="1"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F46" sqref="F46"/>
    </sheetView>
  </sheetViews>
  <sheetFormatPr defaultColWidth="8.85546875" defaultRowHeight="15"/>
  <cols>
    <col min="1" max="1" width="17.42578125" customWidth="1"/>
    <col min="2" max="2" width="14.42578125" customWidth="1"/>
    <col min="3" max="3" width="11.7109375" customWidth="1"/>
    <col min="4" max="4" width="14.42578125" customWidth="1"/>
    <col min="5" max="5" width="10.7109375" customWidth="1"/>
    <col min="7" max="7" width="11.28515625" customWidth="1"/>
    <col min="8" max="8" width="12.42578125" customWidth="1"/>
    <col min="9" max="9" width="13" customWidth="1"/>
    <col min="11" max="11" width="9.7109375" customWidth="1"/>
    <col min="12" max="12" width="11" customWidth="1"/>
    <col min="13" max="13" width="10" customWidth="1"/>
    <col min="17" max="17" width="9.7109375" customWidth="1"/>
    <col min="19" max="19" width="12.140625" customWidth="1"/>
    <col min="20" max="20" width="12.7109375" customWidth="1"/>
  </cols>
  <sheetData>
    <row r="1" spans="1:21" s="1" customFormat="1" ht="27.75" customHeight="1">
      <c r="A1" s="3" t="s">
        <v>0</v>
      </c>
      <c r="B1" s="4" t="s">
        <v>58</v>
      </c>
      <c r="C1" s="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s="1" customFormat="1">
      <c r="A2" s="3" t="s">
        <v>2</v>
      </c>
      <c r="B2" s="6" t="str">
        <f>$A$9</f>
        <v>01/11/2025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 s="1" customFormat="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 s="1" customFormat="1">
      <c r="A4" s="3" t="s">
        <v>16</v>
      </c>
      <c r="B4" s="3" t="s">
        <v>59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 s="1" customForma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s="1" customForma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 s="1" customFormat="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 s="1" customFormat="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>
      <c r="A9" s="14" t="str">
        <f>'01'!$B$2</f>
        <v>01/11/2025 01:00</v>
      </c>
      <c r="B9" s="15">
        <f>'01'!B36</f>
        <v>7.8137499999999998</v>
      </c>
      <c r="C9" s="15">
        <f>'01'!C36</f>
        <v>9.4708333333333332</v>
      </c>
      <c r="D9" s="15">
        <f>'01'!D36</f>
        <v>11.154166666666667</v>
      </c>
      <c r="E9" s="15">
        <f>'01'!E36</f>
        <v>6.47</v>
      </c>
      <c r="F9" s="15">
        <f>'01'!F36</f>
        <v>5.097083333333333</v>
      </c>
      <c r="G9" s="15">
        <f>'01'!G36</f>
        <v>45.446249999999999</v>
      </c>
      <c r="H9" s="15">
        <f>'01'!H36</f>
        <v>16.919999999999998</v>
      </c>
      <c r="I9" s="15">
        <f>'01'!I36</f>
        <v>5.496666666666667</v>
      </c>
      <c r="J9" s="15">
        <f>'01'!J36</f>
        <v>0.31625000000000009</v>
      </c>
      <c r="K9" s="15">
        <f>'01'!K36</f>
        <v>215.04499999999999</v>
      </c>
      <c r="L9" s="15">
        <f>'01'!L36</f>
        <v>20.112500000000001</v>
      </c>
      <c r="M9" s="15">
        <f>'01'!M36</f>
        <v>30.895833333333332</v>
      </c>
      <c r="N9" s="15">
        <f>'01'!N36</f>
        <v>75.82083333333334</v>
      </c>
      <c r="O9" s="15">
        <f>'01'!O36</f>
        <v>8.3333333333333332E-3</v>
      </c>
      <c r="P9" s="15">
        <f>'01'!P36</f>
        <v>0.40875</v>
      </c>
      <c r="Q9" s="15">
        <f>'01'!Q36</f>
        <v>9.3224999999999962</v>
      </c>
      <c r="R9" s="29"/>
      <c r="S9" s="29"/>
      <c r="T9" s="29"/>
      <c r="U9" s="29"/>
    </row>
    <row r="10" spans="1:21" s="2" customFormat="1">
      <c r="A10" s="14" t="str">
        <f>'02'!$B$2</f>
        <v>02/11/2025 01:00</v>
      </c>
      <c r="B10" s="15">
        <f>'02'!B36</f>
        <v>13.198333333333329</v>
      </c>
      <c r="C10" s="15">
        <f>'02'!C36</f>
        <v>8.9379166666666663</v>
      </c>
      <c r="D10" s="15">
        <f>'02'!D36</f>
        <v>15.085416666666665</v>
      </c>
      <c r="E10" s="15">
        <f>'02'!E36</f>
        <v>7.784583333333333</v>
      </c>
      <c r="F10" s="15">
        <f>'02'!F36</f>
        <v>2.4229166666666666</v>
      </c>
      <c r="G10" s="15">
        <f>'02'!G36</f>
        <v>77.092500000000015</v>
      </c>
      <c r="H10" s="15">
        <f>'02'!H36</f>
        <v>32.320833333333326</v>
      </c>
      <c r="I10" s="15">
        <f>'02'!I36</f>
        <v>7.3187500000000005</v>
      </c>
      <c r="J10" s="15">
        <f>'02'!J36</f>
        <v>0.25125000000000003</v>
      </c>
      <c r="K10" s="15">
        <f>'02'!K36</f>
        <v>182.16916666666665</v>
      </c>
      <c r="L10" s="15">
        <f>'02'!L36</f>
        <v>18.290416666666669</v>
      </c>
      <c r="M10" s="15">
        <f>'02'!M36</f>
        <v>26.180416666666662</v>
      </c>
      <c r="N10" s="15">
        <f>'02'!N36</f>
        <v>105.87500000000001</v>
      </c>
      <c r="O10" s="15">
        <f>'02'!O36</f>
        <v>0</v>
      </c>
      <c r="P10" s="15">
        <f>'02'!P36</f>
        <v>0.59833333333333349</v>
      </c>
      <c r="Q10" s="15">
        <f>'02'!Q36</f>
        <v>9.319999999999995</v>
      </c>
      <c r="R10" s="30"/>
      <c r="S10" s="30"/>
      <c r="T10" s="30"/>
      <c r="U10" s="30"/>
    </row>
    <row r="11" spans="1:21" s="2" customFormat="1">
      <c r="A11" s="14" t="str">
        <f>'03'!$B$2</f>
        <v>03/11/2025 01:00</v>
      </c>
      <c r="B11" s="15">
        <f>'03'!B36</f>
        <v>10.240416666666667</v>
      </c>
      <c r="C11" s="15">
        <f>'03'!C36</f>
        <v>9.06</v>
      </c>
      <c r="D11" s="15">
        <f>'03'!D36</f>
        <v>12.857083333333335</v>
      </c>
      <c r="E11" s="15">
        <f>'03'!E36</f>
        <v>7.8133333333333335</v>
      </c>
      <c r="F11" s="15">
        <f>'03'!F36</f>
        <v>2.9716666666666662</v>
      </c>
      <c r="G11" s="15">
        <f>'03'!G36</f>
        <v>68.202916666666667</v>
      </c>
      <c r="H11" s="15">
        <f>'03'!H36</f>
        <v>25.905000000000001</v>
      </c>
      <c r="I11" s="15">
        <f>'03'!I36</f>
        <v>7.7120833333333323</v>
      </c>
      <c r="J11" s="15">
        <f>'03'!J36</f>
        <v>0.30208333333333331</v>
      </c>
      <c r="K11" s="15">
        <f>'03'!K36</f>
        <v>191.05333333333337</v>
      </c>
      <c r="L11" s="15">
        <f>'03'!L36</f>
        <v>18.65666666666667</v>
      </c>
      <c r="M11" s="15">
        <f>'03'!M36</f>
        <v>26.420416666666664</v>
      </c>
      <c r="N11" s="15">
        <f>'03'!N36</f>
        <v>137.42499999999998</v>
      </c>
      <c r="O11" s="15">
        <f>'03'!O36</f>
        <v>0</v>
      </c>
      <c r="P11" s="15">
        <f>'03'!P36</f>
        <v>0.64541666666666664</v>
      </c>
      <c r="Q11" s="15">
        <f>'03'!Q36</f>
        <v>9.7504166666666627</v>
      </c>
      <c r="R11" s="30"/>
      <c r="S11" s="30"/>
      <c r="T11" s="30"/>
      <c r="U11" s="30"/>
    </row>
    <row r="12" spans="1:21" s="2" customFormat="1">
      <c r="A12" s="14" t="str">
        <f>'04'!$B$2</f>
        <v>04/11/2025 01:00</v>
      </c>
      <c r="B12" s="15">
        <f>'04'!B36</f>
        <v>9.625</v>
      </c>
      <c r="C12" s="15">
        <f>'04'!C36</f>
        <v>9.5504166666666652</v>
      </c>
      <c r="D12" s="15">
        <f>'04'!D36</f>
        <v>12.613333333333335</v>
      </c>
      <c r="E12" s="15">
        <f>'04'!E36</f>
        <v>8.3383333333333329</v>
      </c>
      <c r="F12" s="15">
        <f>'04'!F36</f>
        <v>2.1625000000000001</v>
      </c>
      <c r="G12" s="15">
        <f>'04'!G36</f>
        <v>87.964166666666642</v>
      </c>
      <c r="H12" s="15">
        <f>'04'!H36</f>
        <v>29.637500000000003</v>
      </c>
      <c r="I12" s="15">
        <f>'04'!I36</f>
        <v>8.1850000000000005</v>
      </c>
      <c r="J12" s="15">
        <f>'04'!J36</f>
        <v>0.35374999999999995</v>
      </c>
      <c r="K12" s="15">
        <f>'04'!K36</f>
        <v>132.96333333333334</v>
      </c>
      <c r="L12" s="15">
        <f>'04'!L36</f>
        <v>16.129166666666666</v>
      </c>
      <c r="M12" s="15">
        <f>'04'!M36</f>
        <v>19.484166666666667</v>
      </c>
      <c r="N12" s="15">
        <f>'04'!N36</f>
        <v>153.90416666666667</v>
      </c>
      <c r="O12" s="15">
        <f>'04'!O36</f>
        <v>0</v>
      </c>
      <c r="P12" s="15">
        <f>'04'!P36</f>
        <v>0.65666666666666662</v>
      </c>
      <c r="Q12" s="15">
        <f>'04'!Q36</f>
        <v>10.374999999999998</v>
      </c>
      <c r="R12" s="30"/>
      <c r="S12" s="30"/>
      <c r="T12" s="30"/>
      <c r="U12" s="30"/>
    </row>
    <row r="13" spans="1:21" s="2" customFormat="1">
      <c r="A13" s="14" t="str">
        <f>'05'!$B$2</f>
        <v>05/11/2025 01:00</v>
      </c>
      <c r="B13" s="15">
        <f>'05'!B36</f>
        <v>10.132083333333334</v>
      </c>
      <c r="C13" s="15">
        <f>'05'!C36</f>
        <v>10.958333333333334</v>
      </c>
      <c r="D13" s="15">
        <f>'05'!D36</f>
        <v>13.721249999999998</v>
      </c>
      <c r="E13" s="15">
        <f>'05'!E36</f>
        <v>7.675416666666667</v>
      </c>
      <c r="F13" s="15">
        <f>'05'!F36</f>
        <v>13.582083333333339</v>
      </c>
      <c r="G13" s="15">
        <f>'05'!G36</f>
        <v>76.952727272727273</v>
      </c>
      <c r="H13" s="15">
        <f>'05'!H36</f>
        <v>32.473636363636359</v>
      </c>
      <c r="I13" s="15">
        <f>'05'!I36</f>
        <v>8.7983333333333356</v>
      </c>
      <c r="J13" s="15">
        <f>'05'!J36</f>
        <v>0.28875000000000001</v>
      </c>
      <c r="K13" s="15">
        <f>'05'!K36</f>
        <v>242.19750000000002</v>
      </c>
      <c r="L13" s="15">
        <f>'05'!L36</f>
        <v>21.99</v>
      </c>
      <c r="M13" s="15">
        <f>'05'!M36</f>
        <v>34.082500000000003</v>
      </c>
      <c r="N13" s="15">
        <f>'05'!N36</f>
        <v>145.7416666666667</v>
      </c>
      <c r="O13" s="15">
        <f>'05'!O36</f>
        <v>0</v>
      </c>
      <c r="P13" s="15">
        <f>'05'!P36</f>
        <v>0.72958333333333358</v>
      </c>
      <c r="Q13" s="15">
        <f>'05'!Q36</f>
        <v>9.8316666666666617</v>
      </c>
      <c r="R13" s="30"/>
      <c r="S13" s="30"/>
      <c r="T13" s="30"/>
      <c r="U13" s="30"/>
    </row>
    <row r="14" spans="1:21" s="2" customFormat="1">
      <c r="A14" s="14" t="str">
        <f>'06'!$B$2</f>
        <v>06/11/2025 01:00</v>
      </c>
      <c r="B14" s="16">
        <f>'06'!B36</f>
        <v>8.6354166666666643</v>
      </c>
      <c r="C14" s="16">
        <f>'06'!C36</f>
        <v>9.7266666666666648</v>
      </c>
      <c r="D14" s="16">
        <f>'06'!D36</f>
        <v>11.926250000000001</v>
      </c>
      <c r="E14" s="16">
        <f>'06'!E36</f>
        <v>7.0612500000000002</v>
      </c>
      <c r="F14" s="27" t="s">
        <v>8</v>
      </c>
      <c r="G14" s="16">
        <f>'06'!G36</f>
        <v>81.491249999999994</v>
      </c>
      <c r="H14" s="16">
        <f>'06'!H36</f>
        <v>29.603750000000005</v>
      </c>
      <c r="I14" s="16">
        <f>'06'!I36</f>
        <v>8.2412499999999991</v>
      </c>
      <c r="J14" s="16">
        <f>'06'!J36</f>
        <v>0.45708333333333329</v>
      </c>
      <c r="K14" s="16">
        <f>'06'!K36</f>
        <v>150.92666666666665</v>
      </c>
      <c r="L14" s="16">
        <f>'06'!L36</f>
        <v>16.714583333333334</v>
      </c>
      <c r="M14" s="16">
        <f>'06'!M36</f>
        <v>21.276666666666667</v>
      </c>
      <c r="N14" s="16">
        <f>'06'!N36</f>
        <v>129.9916666666667</v>
      </c>
      <c r="O14" s="16">
        <f>'06'!O36</f>
        <v>0</v>
      </c>
      <c r="P14" s="16">
        <f>'06'!P36</f>
        <v>0.69374999999999998</v>
      </c>
      <c r="Q14" s="16">
        <f>'06'!Q36</f>
        <v>9.432916666666662</v>
      </c>
      <c r="R14" s="30"/>
      <c r="S14" s="30"/>
      <c r="T14" s="30"/>
      <c r="U14" s="30"/>
    </row>
    <row r="15" spans="1:21" s="2" customFormat="1">
      <c r="A15" s="14" t="str">
        <f>'07'!$B$2</f>
        <v>07/11/2025 01:00</v>
      </c>
      <c r="B15" s="16">
        <f>'07'!B36</f>
        <v>10.620416666666667</v>
      </c>
      <c r="C15" s="16">
        <f>'07'!C36</f>
        <v>12.03458333333333</v>
      </c>
      <c r="D15" s="16">
        <f>'07'!D36</f>
        <v>14.630416666666667</v>
      </c>
      <c r="E15" s="16">
        <f>'07'!E36</f>
        <v>7.8362499999999997</v>
      </c>
      <c r="F15" s="16">
        <f>'07'!F36</f>
        <v>40.651999999999994</v>
      </c>
      <c r="G15" s="16">
        <f>'07'!G36</f>
        <v>93.080416666666679</v>
      </c>
      <c r="H15" s="16">
        <f>'07'!H36</f>
        <v>31.788333333333338</v>
      </c>
      <c r="I15" s="16">
        <f>'07'!I36</f>
        <v>8.3925000000000001</v>
      </c>
      <c r="J15" s="16">
        <f>'07'!J36</f>
        <v>0.37166666666666659</v>
      </c>
      <c r="K15" s="16">
        <f>'07'!K36</f>
        <v>145.5866666666667</v>
      </c>
      <c r="L15" s="16">
        <f>'07'!L36</f>
        <v>16.945833333333336</v>
      </c>
      <c r="M15" s="16">
        <f>'07'!M36</f>
        <v>21.655833333333334</v>
      </c>
      <c r="N15" s="16">
        <f>'07'!N36</f>
        <v>147.68333333333331</v>
      </c>
      <c r="O15" s="16">
        <f>'07'!O36</f>
        <v>0</v>
      </c>
      <c r="P15" s="16">
        <f>'07'!P36</f>
        <v>0.67083333333333339</v>
      </c>
      <c r="Q15" s="16">
        <f>'07'!Q36</f>
        <v>9.5637499999999953</v>
      </c>
      <c r="R15" s="30"/>
      <c r="S15" s="30"/>
      <c r="T15" s="30"/>
      <c r="U15" s="30"/>
    </row>
    <row r="16" spans="1:21" s="2" customFormat="1">
      <c r="A16" s="14" t="str">
        <f>'08'!$B$2</f>
        <v>08/11/2025 01:00</v>
      </c>
      <c r="B16" s="16">
        <f>'08'!B36</f>
        <v>8.8341666666666665</v>
      </c>
      <c r="C16" s="16">
        <f>'08'!C36</f>
        <v>13.009583333333333</v>
      </c>
      <c r="D16" s="16">
        <f>'08'!D36</f>
        <v>13.681666666666667</v>
      </c>
      <c r="E16" s="16">
        <f>'08'!E36</f>
        <v>6.9570833333333324</v>
      </c>
      <c r="F16" s="16">
        <f>'08'!F36</f>
        <v>7.5945833333333335</v>
      </c>
      <c r="G16" s="16">
        <f>'08'!G36</f>
        <v>86.285416666666663</v>
      </c>
      <c r="H16" s="16">
        <f>'08'!H36</f>
        <v>34.2425</v>
      </c>
      <c r="I16" s="16">
        <f>'08'!I36</f>
        <v>7.8316666666666679</v>
      </c>
      <c r="J16" s="16">
        <f>'08'!J36</f>
        <v>0.50458333333333349</v>
      </c>
      <c r="K16" s="16">
        <f>'08'!K36</f>
        <v>163.18833333333333</v>
      </c>
      <c r="L16" s="16">
        <f>'08'!L36</f>
        <v>16.533749999999998</v>
      </c>
      <c r="M16" s="16">
        <f>'08'!M36</f>
        <v>20.425416666666671</v>
      </c>
      <c r="N16" s="16">
        <f>'08'!N36</f>
        <v>153.20000000000005</v>
      </c>
      <c r="O16" s="16">
        <f>'08'!O36</f>
        <v>0</v>
      </c>
      <c r="P16" s="16">
        <f>'08'!P36</f>
        <v>0.63124999999999998</v>
      </c>
      <c r="Q16" s="16">
        <f>'08'!Q36</f>
        <v>9.693333333333328</v>
      </c>
      <c r="R16" s="30"/>
      <c r="S16" s="30"/>
      <c r="T16" s="30"/>
      <c r="U16" s="30"/>
    </row>
    <row r="17" spans="1:24" s="2" customFormat="1">
      <c r="A17" s="14" t="str">
        <f>'09'!$B$2</f>
        <v>09/11/2025 01:00</v>
      </c>
      <c r="B17" s="16">
        <f>'09'!B36</f>
        <v>9.1762499999999978</v>
      </c>
      <c r="C17" s="16">
        <f>'09'!C36</f>
        <v>12.383749999999997</v>
      </c>
      <c r="D17" s="16">
        <f>'09'!D36</f>
        <v>13.767083333333337</v>
      </c>
      <c r="E17" s="16">
        <f>'09'!E36</f>
        <v>6.8654166666666674</v>
      </c>
      <c r="F17" s="16">
        <f>'09'!F36</f>
        <v>2.5099999999999998</v>
      </c>
      <c r="G17" s="16">
        <f>'09'!G36</f>
        <v>127.67208333333336</v>
      </c>
      <c r="H17" s="16">
        <f>'09'!H36</f>
        <v>57.727916666666665</v>
      </c>
      <c r="I17" s="16">
        <f>'09'!I36</f>
        <v>11.157499999999999</v>
      </c>
      <c r="J17" s="16">
        <f>'09'!J36</f>
        <v>0.31875000000000003</v>
      </c>
      <c r="K17" s="16">
        <f>'09'!K36</f>
        <v>142.91333333333333</v>
      </c>
      <c r="L17" s="16">
        <f>'09'!L36</f>
        <v>17.248333333333331</v>
      </c>
      <c r="M17" s="16">
        <f>'09'!M36</f>
        <v>22.048333333333332</v>
      </c>
      <c r="N17" s="16">
        <f>'09'!N36</f>
        <v>140.89583333333329</v>
      </c>
      <c r="O17" s="16">
        <f>'09'!O36</f>
        <v>0</v>
      </c>
      <c r="P17" s="16">
        <f>'09'!P36</f>
        <v>0.87916666666666643</v>
      </c>
      <c r="Q17" s="16">
        <f>'09'!Q36</f>
        <v>9.319999999999995</v>
      </c>
      <c r="R17" s="30"/>
      <c r="S17" s="30"/>
      <c r="T17" s="30"/>
      <c r="U17" s="30"/>
      <c r="V17" s="31"/>
      <c r="W17" s="31"/>
      <c r="X17" s="31"/>
    </row>
    <row r="18" spans="1:24" s="2" customFormat="1">
      <c r="A18" s="14" t="str">
        <f>'10'!$B$2</f>
        <v>10/11/2025 01:00</v>
      </c>
      <c r="B18" s="16">
        <f>'10'!B36</f>
        <v>10.397083333333335</v>
      </c>
      <c r="C18" s="16">
        <f>'10'!C36</f>
        <v>15.716666666666667</v>
      </c>
      <c r="D18" s="16">
        <f>'10'!D36</f>
        <v>16.383749999999999</v>
      </c>
      <c r="E18" s="16">
        <f>'10'!E36</f>
        <v>8.3587499999999988</v>
      </c>
      <c r="F18" s="16">
        <f>'10'!F36</f>
        <v>4.9812500000000002</v>
      </c>
      <c r="G18" s="16">
        <f>'10'!G36</f>
        <v>90.044166666666683</v>
      </c>
      <c r="H18" s="16">
        <f>'10'!H36</f>
        <v>48.092083333333342</v>
      </c>
      <c r="I18" s="16">
        <f>'10'!I36</f>
        <v>11.122083333333331</v>
      </c>
      <c r="J18" s="16">
        <f>'10'!J36</f>
        <v>0.3066666666666667</v>
      </c>
      <c r="K18" s="16">
        <f>'10'!K36</f>
        <v>150.13958333333332</v>
      </c>
      <c r="L18" s="16">
        <f>'10'!L36</f>
        <v>17.318750000000001</v>
      </c>
      <c r="M18" s="16">
        <f>'10'!M36</f>
        <v>22.416250000000002</v>
      </c>
      <c r="N18" s="16">
        <f>'10'!N36</f>
        <v>139.20833333333334</v>
      </c>
      <c r="O18" s="16">
        <f>'10'!O36</f>
        <v>0</v>
      </c>
      <c r="P18" s="16">
        <f>'10'!P36</f>
        <v>0.85000000000000009</v>
      </c>
      <c r="Q18" s="16">
        <f>'10'!Q36</f>
        <v>9.319999999999995</v>
      </c>
      <c r="R18" s="30"/>
      <c r="S18" s="30"/>
      <c r="T18" s="30"/>
      <c r="U18" s="30"/>
    </row>
    <row r="19" spans="1:24" s="2" customFormat="1">
      <c r="A19" s="14" t="str">
        <f>'11'!$B$2</f>
        <v>11/11/2025 01:00</v>
      </c>
      <c r="B19" s="16">
        <f>'11'!B36</f>
        <v>13.574999999999996</v>
      </c>
      <c r="C19" s="16">
        <f>'11'!C36</f>
        <v>14.510833333333332</v>
      </c>
      <c r="D19" s="16">
        <f>'11'!D36</f>
        <v>18.390000000000008</v>
      </c>
      <c r="E19" s="16">
        <f>'11'!E36</f>
        <v>6.831666666666667</v>
      </c>
      <c r="F19" s="16">
        <f>'11'!F36</f>
        <v>2.5633333333333335</v>
      </c>
      <c r="G19" s="16">
        <f>'11'!G36</f>
        <v>91.218750000000014</v>
      </c>
      <c r="H19" s="16">
        <f>'11'!H36</f>
        <v>46.511249999999997</v>
      </c>
      <c r="I19" s="16">
        <f>'11'!I36</f>
        <v>12.182083333333336</v>
      </c>
      <c r="J19" s="16">
        <f>'11'!J36</f>
        <v>0.32250000000000006</v>
      </c>
      <c r="K19" s="16">
        <f>'11'!K36</f>
        <v>201.05541666666667</v>
      </c>
      <c r="L19" s="16">
        <f>'11'!L36</f>
        <v>19.199166666666667</v>
      </c>
      <c r="M19" s="16">
        <f>'11'!M36</f>
        <v>27.315416666666668</v>
      </c>
      <c r="N19" s="16">
        <f>'11'!N36</f>
        <v>142.72499999999999</v>
      </c>
      <c r="O19" s="16">
        <f>'11'!O36</f>
        <v>0</v>
      </c>
      <c r="P19" s="16">
        <f>'11'!P36</f>
        <v>0.85250000000000004</v>
      </c>
      <c r="Q19" s="16">
        <f>'11'!Q36</f>
        <v>9.319999999999995</v>
      </c>
      <c r="R19" s="30"/>
      <c r="S19" s="30"/>
      <c r="T19" s="30"/>
      <c r="U19" s="30"/>
    </row>
    <row r="20" spans="1:24" s="2" customFormat="1">
      <c r="A20" s="14" t="str">
        <f>'12'!$B$2</f>
        <v>12/11/2025 01:00</v>
      </c>
      <c r="B20" s="16">
        <f>'12'!B36</f>
        <v>10.315833333333332</v>
      </c>
      <c r="C20" s="16">
        <f>'12'!C36</f>
        <v>17.752083333333331</v>
      </c>
      <c r="D20" s="16">
        <f>'12'!D36</f>
        <v>17.258333333333336</v>
      </c>
      <c r="E20" s="16">
        <f>'12'!E36</f>
        <v>6.867916666666666</v>
      </c>
      <c r="F20" s="16">
        <f>'12'!F36</f>
        <v>8.1958333333333346</v>
      </c>
      <c r="G20" s="16">
        <f>'12'!G36</f>
        <v>93.790499999999994</v>
      </c>
      <c r="H20" s="16">
        <f>'12'!H36</f>
        <v>43.929000000000002</v>
      </c>
      <c r="I20" s="16">
        <f>'12'!I36</f>
        <v>12.722083333333332</v>
      </c>
      <c r="J20" s="16">
        <f>'12'!J36</f>
        <v>0.31333333333333341</v>
      </c>
      <c r="K20" s="16">
        <f>'12'!K36</f>
        <v>181.8741666666667</v>
      </c>
      <c r="L20" s="16">
        <f>'12'!L36</f>
        <v>19.240416666666668</v>
      </c>
      <c r="M20" s="16">
        <f>'12'!M36</f>
        <v>27.09375</v>
      </c>
      <c r="N20" s="16">
        <f>'12'!N36</f>
        <v>147.83333333333331</v>
      </c>
      <c r="O20" s="16">
        <f>'12'!O36</f>
        <v>0</v>
      </c>
      <c r="P20" s="16">
        <f>'12'!P36</f>
        <v>0.75958333333333317</v>
      </c>
      <c r="Q20" s="16">
        <f>'12'!Q36</f>
        <v>10.407083333333329</v>
      </c>
      <c r="R20" s="30"/>
      <c r="S20" s="30"/>
      <c r="T20" s="30"/>
      <c r="U20" s="30"/>
    </row>
    <row r="21" spans="1:24" s="2" customFormat="1">
      <c r="A21" s="14" t="str">
        <f>'13'!$B$2</f>
        <v>13/11/2025 01:00</v>
      </c>
      <c r="B21" s="16">
        <f>'13'!B36</f>
        <v>16.058333333333334</v>
      </c>
      <c r="C21" s="16">
        <f>'13'!C36</f>
        <v>16.634583333333335</v>
      </c>
      <c r="D21" s="16">
        <f>'13'!D36</f>
        <v>21.445833333333336</v>
      </c>
      <c r="E21" s="16">
        <f>'13'!E36</f>
        <v>6.7399999999999993</v>
      </c>
      <c r="F21" s="16">
        <f>'13'!F36</f>
        <v>2.0554166666666664</v>
      </c>
      <c r="G21" s="16">
        <f>'13'!G36</f>
        <v>104.72333333333331</v>
      </c>
      <c r="H21" s="16">
        <f>'13'!H36</f>
        <v>52.042083333333345</v>
      </c>
      <c r="I21" s="16">
        <f>'13'!I36</f>
        <v>14.610833333333332</v>
      </c>
      <c r="J21" s="16">
        <f>'13'!J36</f>
        <v>0.46666666666666673</v>
      </c>
      <c r="K21" s="16">
        <f>'13'!K36</f>
        <v>156.0025</v>
      </c>
      <c r="L21" s="16">
        <f>'13'!L36</f>
        <v>17.693333333333335</v>
      </c>
      <c r="M21" s="16">
        <f>'13'!M36</f>
        <v>23.486250000000002</v>
      </c>
      <c r="N21" s="16">
        <f>'13'!N36</f>
        <v>148.1</v>
      </c>
      <c r="O21" s="16">
        <f>'13'!O36</f>
        <v>0</v>
      </c>
      <c r="P21" s="16">
        <f>'13'!P36</f>
        <v>0.8091666666666667</v>
      </c>
      <c r="Q21" s="16">
        <f>'13'!Q36</f>
        <v>9.319999999999995</v>
      </c>
      <c r="R21" s="30"/>
      <c r="S21" s="30"/>
      <c r="T21" s="30"/>
      <c r="U21" s="30"/>
    </row>
    <row r="22" spans="1:24" s="2" customFormat="1">
      <c r="A22" s="14" t="str">
        <f>'14'!$B$2</f>
        <v>14/11/2025 01:00</v>
      </c>
      <c r="B22" s="16">
        <f>'14'!B36</f>
        <v>14.88</v>
      </c>
      <c r="C22" s="16">
        <f>'14'!C36</f>
        <v>20.734166666666667</v>
      </c>
      <c r="D22" s="16">
        <f>'14'!D36</f>
        <v>22.481666666666669</v>
      </c>
      <c r="E22" s="16">
        <f>'14'!E36</f>
        <v>7.7574999999999994</v>
      </c>
      <c r="F22" s="16">
        <f>'14'!F36</f>
        <v>7.1962500000000018</v>
      </c>
      <c r="G22" s="16">
        <f>'14'!G36</f>
        <v>78.695217391304354</v>
      </c>
      <c r="H22" s="16">
        <f>'14'!H36</f>
        <v>33.496956521739136</v>
      </c>
      <c r="I22" s="16">
        <f>'14'!I36</f>
        <v>12.959583333333336</v>
      </c>
      <c r="J22" s="16">
        <f>'14'!J36</f>
        <v>0.4941666666666667</v>
      </c>
      <c r="K22" s="16">
        <f>'14'!K36</f>
        <v>149.60708333333335</v>
      </c>
      <c r="L22" s="16">
        <f>'14'!L36</f>
        <v>17.314583333333335</v>
      </c>
      <c r="M22" s="16">
        <f>'14'!M36</f>
        <v>22.383333333333336</v>
      </c>
      <c r="N22" s="16">
        <f>'14'!N36</f>
        <v>146.66666666666666</v>
      </c>
      <c r="O22" s="16">
        <f>'14'!O36</f>
        <v>0</v>
      </c>
      <c r="P22" s="16">
        <f>'14'!P36</f>
        <v>0.6629166666666666</v>
      </c>
      <c r="Q22" s="16">
        <f>'14'!Q36</f>
        <v>9.319999999999995</v>
      </c>
      <c r="R22" s="32"/>
      <c r="S22" s="32"/>
      <c r="T22" s="32"/>
      <c r="U22" s="32"/>
    </row>
    <row r="23" spans="1:24" s="2" customFormat="1">
      <c r="A23" s="14" t="str">
        <f>'15'!$B$2</f>
        <v>15/11/2025 01:00</v>
      </c>
      <c r="B23" s="17">
        <f>'15'!B36</f>
        <v>10.815833333333332</v>
      </c>
      <c r="C23" s="17">
        <f>'15'!C36</f>
        <v>17.524999999999995</v>
      </c>
      <c r="D23" s="17">
        <f>'15'!D36</f>
        <v>17.730000000000004</v>
      </c>
      <c r="E23" s="17">
        <f>'15'!E36</f>
        <v>6.9475000000000007</v>
      </c>
      <c r="F23" s="27" t="s">
        <v>8</v>
      </c>
      <c r="G23" s="17">
        <f>'15'!G36</f>
        <v>50.201666666666661</v>
      </c>
      <c r="H23" s="17">
        <f>'15'!H36</f>
        <v>15.052916666666667</v>
      </c>
      <c r="I23" s="17">
        <f>'15'!I36</f>
        <v>12.655000000000001</v>
      </c>
      <c r="J23" s="17">
        <f>'15'!J36</f>
        <v>0.46666666666666662</v>
      </c>
      <c r="K23" s="17">
        <f>'15'!K36</f>
        <v>148.82500000000002</v>
      </c>
      <c r="L23" s="17">
        <f>'15'!L36</f>
        <v>16.974583333333332</v>
      </c>
      <c r="M23" s="17">
        <f>'15'!M36</f>
        <v>21.844999999999999</v>
      </c>
      <c r="N23" s="17">
        <f>'15'!N36</f>
        <v>143.56249999999997</v>
      </c>
      <c r="O23" s="17">
        <f>'15'!O36</f>
        <v>0</v>
      </c>
      <c r="P23" s="17">
        <f>'15'!P36</f>
        <v>0.63083333333333336</v>
      </c>
      <c r="Q23" s="17">
        <f>'15'!Q36</f>
        <v>9.5904166666666626</v>
      </c>
      <c r="R23" s="32"/>
      <c r="S23" s="32"/>
      <c r="T23" s="32"/>
      <c r="U23" s="30"/>
    </row>
    <row r="24" spans="1:24" s="2" customFormat="1">
      <c r="A24" s="14" t="str">
        <f>'16'!$B$2</f>
        <v>16/11/2025 01:00</v>
      </c>
      <c r="B24" s="16">
        <f>'16'!B36</f>
        <v>13.191249999999995</v>
      </c>
      <c r="C24" s="16">
        <f>'16'!C36</f>
        <v>18.065000000000001</v>
      </c>
      <c r="D24" s="16">
        <f>'16'!D36</f>
        <v>19.967916666666664</v>
      </c>
      <c r="E24" s="16">
        <f>'16'!E36</f>
        <v>6.576249999999999</v>
      </c>
      <c r="F24" s="27" t="s">
        <v>8</v>
      </c>
      <c r="G24" s="16">
        <f>'16'!G36</f>
        <v>48.857916666666661</v>
      </c>
      <c r="H24" s="16">
        <f>'16'!H36</f>
        <v>14.734166666666665</v>
      </c>
      <c r="I24" s="16">
        <f>'16'!I36</f>
        <v>12.378333333333332</v>
      </c>
      <c r="J24" s="16">
        <f>'16'!J36</f>
        <v>0.50208333333333333</v>
      </c>
      <c r="K24" s="16">
        <f>'16'!K36</f>
        <v>148.29541666666665</v>
      </c>
      <c r="L24" s="16">
        <f>'16'!L36</f>
        <v>16.893333333333331</v>
      </c>
      <c r="M24" s="16">
        <f>'16'!M36</f>
        <v>21.636666666666667</v>
      </c>
      <c r="N24" s="16">
        <f>'16'!N36</f>
        <v>139.09999999999997</v>
      </c>
      <c r="O24" s="16">
        <f>'16'!O36</f>
        <v>0</v>
      </c>
      <c r="P24" s="16">
        <f>'16'!P36</f>
        <v>0.67625000000000002</v>
      </c>
      <c r="Q24" s="16">
        <f>'16'!Q36</f>
        <v>9.5049999999999972</v>
      </c>
      <c r="R24" s="32"/>
      <c r="S24" s="32"/>
      <c r="T24" s="32"/>
      <c r="U24" s="30"/>
    </row>
    <row r="25" spans="1:24" s="2" customFormat="1">
      <c r="A25" s="14" t="str">
        <f>'17'!$B$2</f>
        <v>17/11/2025 01:00</v>
      </c>
      <c r="B25" s="16">
        <f>'17'!B36</f>
        <v>8.6495833333333323</v>
      </c>
      <c r="C25" s="16">
        <f>'17'!C36</f>
        <v>18.501666666666665</v>
      </c>
      <c r="D25" s="16">
        <f>'17'!D36</f>
        <v>16.544166666666666</v>
      </c>
      <c r="E25" s="16">
        <f>'17'!E36</f>
        <v>6.3850000000000007</v>
      </c>
      <c r="F25" s="27" t="s">
        <v>8</v>
      </c>
      <c r="G25" s="16">
        <f>'17'!G36</f>
        <v>47.90625</v>
      </c>
      <c r="H25" s="16">
        <f>'17'!H36</f>
        <v>14.79291666666667</v>
      </c>
      <c r="I25" s="16">
        <f>'17'!I36</f>
        <v>10.894583333333335</v>
      </c>
      <c r="J25" s="16">
        <f>'17'!J36</f>
        <v>0.41833333333333328</v>
      </c>
      <c r="K25" s="16">
        <f>'17'!K36</f>
        <v>152.41541666666666</v>
      </c>
      <c r="L25" s="16">
        <f>'17'!L36</f>
        <v>17.077083333333334</v>
      </c>
      <c r="M25" s="16">
        <f>'17'!M36</f>
        <v>22.229166666666668</v>
      </c>
      <c r="N25" s="16">
        <f>'17'!N36</f>
        <v>139.07500000000002</v>
      </c>
      <c r="O25" s="16">
        <f>'17'!O36</f>
        <v>0</v>
      </c>
      <c r="P25" s="16">
        <f>'17'!P36</f>
        <v>0.64875000000000005</v>
      </c>
      <c r="Q25" s="16">
        <f>'17'!Q36</f>
        <v>9.4283333333333292</v>
      </c>
      <c r="R25" s="32"/>
      <c r="S25" s="32"/>
      <c r="T25" s="32"/>
      <c r="U25" s="30"/>
    </row>
    <row r="26" spans="1:24" s="2" customFormat="1">
      <c r="A26" s="14" t="str">
        <f>'18'!$B$2</f>
        <v>18/11/2025 01:00</v>
      </c>
      <c r="B26" s="16">
        <f>'18'!B36</f>
        <v>11.385416666666664</v>
      </c>
      <c r="C26" s="16">
        <f>'18'!C36</f>
        <v>20.684583333333332</v>
      </c>
      <c r="D26" s="16">
        <f>'18'!D36</f>
        <v>20.05</v>
      </c>
      <c r="E26" s="16">
        <f>'18'!E36</f>
        <v>5.4320833333333338</v>
      </c>
      <c r="F26" s="16">
        <f>'18'!F36</f>
        <v>9.3166666666666682</v>
      </c>
      <c r="G26" s="16">
        <f>'18'!G36</f>
        <v>50.141250000000007</v>
      </c>
      <c r="H26" s="16">
        <f>'18'!H36</f>
        <v>16.257499999999997</v>
      </c>
      <c r="I26" s="16">
        <f>'18'!I36</f>
        <v>12.003333333333336</v>
      </c>
      <c r="J26" s="16">
        <f>'18'!J36</f>
        <v>0.34333333333333327</v>
      </c>
      <c r="K26" s="16">
        <f>'18'!K36</f>
        <v>176.55250000000001</v>
      </c>
      <c r="L26" s="16">
        <f>'18'!L36</f>
        <v>17.453749999999996</v>
      </c>
      <c r="M26" s="16">
        <f>'18'!M36</f>
        <v>23.051666666666673</v>
      </c>
      <c r="N26" s="16">
        <f>'18'!N36</f>
        <v>134.27083333333334</v>
      </c>
      <c r="O26" s="16">
        <f>'18'!O36</f>
        <v>0</v>
      </c>
      <c r="P26" s="16">
        <f>'18'!P36</f>
        <v>0.7466666666666667</v>
      </c>
      <c r="Q26" s="16">
        <f>'18'!Q36</f>
        <v>9.3574999999999964</v>
      </c>
      <c r="R26" s="32"/>
      <c r="S26" s="32"/>
      <c r="T26" s="32"/>
      <c r="U26" s="30"/>
    </row>
    <row r="27" spans="1:24" s="2" customFormat="1">
      <c r="A27" s="14" t="str">
        <f>'19'!$B$2</f>
        <v>19/11/2025 01:00</v>
      </c>
      <c r="B27" s="16">
        <f>'19'!B36</f>
        <v>10.176249999999998</v>
      </c>
      <c r="C27" s="16">
        <f>'19'!C36</f>
        <v>15.183750000000003</v>
      </c>
      <c r="D27" s="16">
        <f>'19'!D36</f>
        <v>16.024166666666666</v>
      </c>
      <c r="E27" s="16">
        <f>'19'!E36</f>
        <v>5.9495833333333321</v>
      </c>
      <c r="F27" s="16">
        <f>'19'!F36</f>
        <v>4.2166666666666659</v>
      </c>
      <c r="G27" s="16">
        <f>'19'!G36</f>
        <v>44.325833333333328</v>
      </c>
      <c r="H27" s="16">
        <f>'19'!H36</f>
        <v>14.998749999999999</v>
      </c>
      <c r="I27" s="16">
        <f>'19'!I36</f>
        <v>12.016250000000005</v>
      </c>
      <c r="J27" s="16">
        <f>'19'!J36</f>
        <v>0.31208333333333343</v>
      </c>
      <c r="K27" s="16">
        <f>'19'!K36</f>
        <v>174.33083333333335</v>
      </c>
      <c r="L27" s="16">
        <f>'19'!L36</f>
        <v>18.182916666666667</v>
      </c>
      <c r="M27" s="16">
        <f>'19'!M36</f>
        <v>24.703333333333333</v>
      </c>
      <c r="N27" s="16">
        <f>'19'!N36</f>
        <v>132.44583333333333</v>
      </c>
      <c r="O27" s="16">
        <f>'19'!O36</f>
        <v>0</v>
      </c>
      <c r="P27" s="16">
        <f>'19'!P36</f>
        <v>0.65166666666666684</v>
      </c>
      <c r="Q27" s="16">
        <f>'19'!Q36</f>
        <v>9.5162499999999977</v>
      </c>
      <c r="R27" s="32"/>
      <c r="S27" s="32"/>
      <c r="T27" s="32"/>
      <c r="U27" s="30"/>
    </row>
    <row r="28" spans="1:24" s="2" customFormat="1">
      <c r="A28" s="14" t="str">
        <f>'20'!$B$2</f>
        <v>20/11/2025 01:00</v>
      </c>
      <c r="B28" s="16">
        <f>'20'!B36</f>
        <v>10.508333333333333</v>
      </c>
      <c r="C28" s="16">
        <f>'20'!C36</f>
        <v>14.447916666666666</v>
      </c>
      <c r="D28" s="16">
        <f>'20'!D36</f>
        <v>15.898750000000001</v>
      </c>
      <c r="E28" s="16">
        <f>'20'!E36</f>
        <v>6.1174999999999988</v>
      </c>
      <c r="F28" s="27" t="s">
        <v>8</v>
      </c>
      <c r="G28" s="16">
        <f>'20'!G36</f>
        <v>48.27</v>
      </c>
      <c r="H28" s="16">
        <f>'20'!H36</f>
        <v>14.41375</v>
      </c>
      <c r="I28" s="16">
        <f>'20'!I36</f>
        <v>11.467083333333333</v>
      </c>
      <c r="J28" s="16">
        <f>'20'!J36</f>
        <v>0.33041666666666664</v>
      </c>
      <c r="K28" s="16">
        <f>'20'!K36</f>
        <v>178.53166666666667</v>
      </c>
      <c r="L28" s="16">
        <f>'20'!L36</f>
        <v>18.25333333333333</v>
      </c>
      <c r="M28" s="16">
        <f>'20'!M36</f>
        <v>25.084999999999994</v>
      </c>
      <c r="N28" s="16">
        <f>'20'!N36</f>
        <v>130.05000000000004</v>
      </c>
      <c r="O28" s="16">
        <f>'20'!O36</f>
        <v>0</v>
      </c>
      <c r="P28" s="16">
        <f>'20'!P36</f>
        <v>0.62416666666666687</v>
      </c>
      <c r="Q28" s="16">
        <f>'20'!Q36</f>
        <v>9.3795833333333309</v>
      </c>
      <c r="R28" s="32"/>
      <c r="S28" s="32"/>
      <c r="T28" s="32"/>
      <c r="U28" s="30"/>
    </row>
    <row r="29" spans="1:24" s="2" customFormat="1">
      <c r="A29" s="14" t="str">
        <f>'21'!$B$2</f>
        <v>21/11/2025 01:00</v>
      </c>
      <c r="B29" s="16">
        <f>'21'!B36</f>
        <v>16.257916666666667</v>
      </c>
      <c r="C29" s="16">
        <f>'21'!C36</f>
        <v>17.158333333333331</v>
      </c>
      <c r="D29" s="16">
        <f>'21'!D36</f>
        <v>21.831249999999997</v>
      </c>
      <c r="E29" s="16">
        <f>'21'!E36</f>
        <v>6.7741666666666669</v>
      </c>
      <c r="F29" s="16">
        <f>'21'!F36</f>
        <v>30.102083333333312</v>
      </c>
      <c r="G29" s="16">
        <f>'21'!G36</f>
        <v>47.387083333333344</v>
      </c>
      <c r="H29" s="16">
        <f>'21'!H36</f>
        <v>14.608750000000001</v>
      </c>
      <c r="I29" s="16">
        <f>'21'!I36</f>
        <v>12.573333333333332</v>
      </c>
      <c r="J29" s="16">
        <f>'21'!J36</f>
        <v>0.36749999999999999</v>
      </c>
      <c r="K29" s="16">
        <f>'21'!K36</f>
        <v>198.47875000000002</v>
      </c>
      <c r="L29" s="16">
        <f>'21'!L36</f>
        <v>18.629583333333333</v>
      </c>
      <c r="M29" s="16">
        <f>'21'!M36</f>
        <v>25.87458333333333</v>
      </c>
      <c r="N29" s="16">
        <f>'21'!N36</f>
        <v>134.44166666666666</v>
      </c>
      <c r="O29" s="16">
        <f>'21'!O36</f>
        <v>0</v>
      </c>
      <c r="P29" s="16">
        <f>'21'!P36</f>
        <v>0.71875</v>
      </c>
      <c r="Q29" s="16">
        <f>'21'!Q36</f>
        <v>9.4399999999999959</v>
      </c>
      <c r="R29" s="32"/>
      <c r="S29" s="32"/>
      <c r="T29" s="32"/>
      <c r="U29" s="30"/>
    </row>
    <row r="30" spans="1:24" s="2" customFormat="1">
      <c r="A30" s="14" t="str">
        <f>'22'!$B$2</f>
        <v>22/11/2025 01:00</v>
      </c>
      <c r="B30" s="16">
        <f>'22'!B36</f>
        <v>13.587916666666665</v>
      </c>
      <c r="C30" s="16">
        <f>'22'!C36</f>
        <v>14.847083333333336</v>
      </c>
      <c r="D30" s="16">
        <f>'22'!D36</f>
        <v>18.569166666666664</v>
      </c>
      <c r="E30" s="16">
        <f>'22'!E36</f>
        <v>6.6466666666666656</v>
      </c>
      <c r="F30" s="27" t="s">
        <v>8</v>
      </c>
      <c r="G30" s="16">
        <f>'22'!G36</f>
        <v>46.647083333333335</v>
      </c>
      <c r="H30" s="16">
        <f>'22'!H36</f>
        <v>14.875833333333338</v>
      </c>
      <c r="I30" s="16">
        <f>'22'!I36</f>
        <v>13.522083333333329</v>
      </c>
      <c r="J30" s="16">
        <f>'22'!J36</f>
        <v>0.34916666666666668</v>
      </c>
      <c r="K30" s="16">
        <f>'22'!K36</f>
        <v>193.24041666666668</v>
      </c>
      <c r="L30" s="16">
        <f>'22'!L36</f>
        <v>18.5425</v>
      </c>
      <c r="M30" s="16">
        <f>'22'!M36</f>
        <v>26.283749999999998</v>
      </c>
      <c r="N30" s="16">
        <f>'22'!N36</f>
        <v>126.37499999999999</v>
      </c>
      <c r="O30" s="16">
        <f>'22'!O36</f>
        <v>0</v>
      </c>
      <c r="P30" s="16">
        <f>'22'!P36</f>
        <v>0.76916666666666644</v>
      </c>
      <c r="Q30" s="16">
        <f>'22'!Q36</f>
        <v>9.3208333333333311</v>
      </c>
      <c r="R30" s="32"/>
      <c r="S30" s="30"/>
      <c r="T30" s="30"/>
      <c r="U30" s="30"/>
    </row>
    <row r="31" spans="1:24" s="2" customFormat="1">
      <c r="A31" s="14" t="str">
        <f>'23'!$B$2</f>
        <v>23/11/2025 01:00</v>
      </c>
      <c r="B31" s="16">
        <f>'23'!B36</f>
        <v>12.242499999999998</v>
      </c>
      <c r="C31" s="16">
        <f>'23'!C36</f>
        <v>14.581666666666669</v>
      </c>
      <c r="D31" s="16">
        <f>'23'!D36</f>
        <v>17.38666666666667</v>
      </c>
      <c r="E31" s="16">
        <f>'23'!E36</f>
        <v>6.3041666666666671</v>
      </c>
      <c r="F31" s="27" t="s">
        <v>8</v>
      </c>
      <c r="G31" s="16">
        <f>'23'!G36</f>
        <v>51.001250000000006</v>
      </c>
      <c r="H31" s="16">
        <f>'23'!H36</f>
        <v>15.057499999999999</v>
      </c>
      <c r="I31" s="16">
        <f>'23'!I36</f>
        <v>14.559999999999997</v>
      </c>
      <c r="J31" s="16">
        <f>'23'!J36</f>
        <v>0.32749999999999996</v>
      </c>
      <c r="K31" s="16">
        <f>'23'!K36</f>
        <v>174.75750000000002</v>
      </c>
      <c r="L31" s="16">
        <f>'23'!L36</f>
        <v>17.292916666666667</v>
      </c>
      <c r="M31" s="16">
        <f>'23'!M36</f>
        <v>23.302499999999995</v>
      </c>
      <c r="N31" s="16">
        <f>'23'!N36</f>
        <v>120.78333333333335</v>
      </c>
      <c r="O31" s="16">
        <f>'23'!O36</f>
        <v>0</v>
      </c>
      <c r="P31" s="16">
        <f>'23'!P36</f>
        <v>0.77458333333333351</v>
      </c>
      <c r="Q31" s="16">
        <f>'23'!Q36</f>
        <v>9.319999999999995</v>
      </c>
      <c r="R31" s="30"/>
      <c r="S31" s="30"/>
      <c r="T31" s="30"/>
      <c r="U31" s="30"/>
    </row>
    <row r="32" spans="1:24" s="2" customFormat="1">
      <c r="A32" s="14" t="str">
        <f>'24'!$B$2</f>
        <v>24/11/2025 01:00</v>
      </c>
      <c r="B32" s="16">
        <f>'24'!B36</f>
        <v>12.862083333333333</v>
      </c>
      <c r="C32" s="16">
        <f>'24'!C36</f>
        <v>17.323333333333327</v>
      </c>
      <c r="D32" s="16">
        <f>'24'!D36</f>
        <v>19.219583333333333</v>
      </c>
      <c r="E32" s="16">
        <f>'24'!E36</f>
        <v>6.6316666666666677</v>
      </c>
      <c r="F32" s="27" t="s">
        <v>8</v>
      </c>
      <c r="G32" s="16">
        <f>'24'!G36</f>
        <v>75.149473684210534</v>
      </c>
      <c r="H32" s="16">
        <f>'24'!H36</f>
        <v>24.761578947368424</v>
      </c>
      <c r="I32" s="16">
        <f>'24'!I36</f>
        <v>14.094583333333334</v>
      </c>
      <c r="J32" s="16">
        <f>'24'!J36</f>
        <v>0.52166666666666661</v>
      </c>
      <c r="K32" s="16">
        <f>'24'!K36</f>
        <v>116.36333333333334</v>
      </c>
      <c r="L32" s="16">
        <f>'24'!L36</f>
        <v>14.480833333333338</v>
      </c>
      <c r="M32" s="16">
        <f>'24'!M36</f>
        <v>16.127916666666668</v>
      </c>
      <c r="N32" s="16">
        <f>'24'!N36</f>
        <v>115.88333333333334</v>
      </c>
      <c r="O32" s="16">
        <f>'24'!O36</f>
        <v>0</v>
      </c>
      <c r="P32" s="16">
        <f>'24'!P36</f>
        <v>0.58041666666666669</v>
      </c>
      <c r="Q32" s="16">
        <f>'24'!Q36</f>
        <v>9.3424999999999958</v>
      </c>
      <c r="R32" s="30"/>
      <c r="S32" s="30"/>
      <c r="T32" s="30"/>
      <c r="U32" s="30"/>
    </row>
    <row r="33" spans="1:21" s="2" customFormat="1">
      <c r="A33" s="14" t="str">
        <f>'25'!$B$2</f>
        <v>25/11/2025 01:00</v>
      </c>
      <c r="B33" s="16">
        <f>'25'!B36</f>
        <v>9.4045833333333331</v>
      </c>
      <c r="C33" s="16">
        <f>'25'!C36</f>
        <v>14.355000000000002</v>
      </c>
      <c r="D33" s="16">
        <f>'25'!D36</f>
        <v>14.964166666666669</v>
      </c>
      <c r="E33" s="16">
        <f>'25'!E36</f>
        <v>6.015416666666666</v>
      </c>
      <c r="F33" s="28" t="s">
        <v>15</v>
      </c>
      <c r="G33" s="16">
        <f>'25'!G36</f>
        <v>122.15333333333332</v>
      </c>
      <c r="H33" s="16">
        <f>'25'!H36</f>
        <v>50.84458333333334</v>
      </c>
      <c r="I33" s="16">
        <f>'25'!I36</f>
        <v>11.744583333333336</v>
      </c>
      <c r="J33" s="16">
        <f>'25'!J36</f>
        <v>0.42249999999999993</v>
      </c>
      <c r="K33" s="16">
        <f>'25'!K36</f>
        <v>138.88708333333335</v>
      </c>
      <c r="L33" s="16">
        <f>'25'!L36</f>
        <v>15.725</v>
      </c>
      <c r="M33" s="16">
        <f>'25'!M36</f>
        <v>19.174166666666668</v>
      </c>
      <c r="N33" s="16">
        <f>'25'!N36</f>
        <v>108.62916666666665</v>
      </c>
      <c r="O33" s="16">
        <f>'25'!O36</f>
        <v>0</v>
      </c>
      <c r="P33" s="16">
        <f>'25'!P36</f>
        <v>0.56666666666666654</v>
      </c>
      <c r="Q33" s="16">
        <f>'25'!Q36</f>
        <v>9.4016666666666655</v>
      </c>
      <c r="R33" s="30"/>
      <c r="S33" s="30"/>
      <c r="T33" s="30"/>
      <c r="U33" s="30"/>
    </row>
    <row r="34" spans="1:21" s="2" customFormat="1">
      <c r="A34" s="14" t="str">
        <f>'26'!$B$2</f>
        <v>26/11/2025 01:00</v>
      </c>
      <c r="B34" s="16">
        <f>'26'!B36</f>
        <v>9.4408333333333321</v>
      </c>
      <c r="C34" s="16">
        <f>'26'!C36</f>
        <v>16.383749999999999</v>
      </c>
      <c r="D34" s="16">
        <f>'26'!D36</f>
        <v>16.039583333333336</v>
      </c>
      <c r="E34" s="16">
        <f>'26'!E36</f>
        <v>6.8745833333333328</v>
      </c>
      <c r="F34" s="28" t="s">
        <v>15</v>
      </c>
      <c r="G34" s="16">
        <f>'26'!G36</f>
        <v>117.07958333333335</v>
      </c>
      <c r="H34" s="16">
        <f>'26'!H36</f>
        <v>41.551250000000003</v>
      </c>
      <c r="I34" s="16">
        <f>'26'!I36</f>
        <v>10.210833333333333</v>
      </c>
      <c r="J34" s="16">
        <f>'26'!J36</f>
        <v>0.52874999999999994</v>
      </c>
      <c r="K34" s="16">
        <f>'26'!K36</f>
        <v>126.39</v>
      </c>
      <c r="L34" s="16">
        <f>'26'!L36</f>
        <v>14.488750000000005</v>
      </c>
      <c r="M34" s="16">
        <f>'26'!M36</f>
        <v>16.440000000000001</v>
      </c>
      <c r="N34" s="16">
        <f>'26'!N36</f>
        <v>104.88333333333333</v>
      </c>
      <c r="O34" s="16">
        <f>'26'!O36</f>
        <v>0</v>
      </c>
      <c r="P34" s="16">
        <f>'26'!P36</f>
        <v>0.58416666666666661</v>
      </c>
      <c r="Q34" s="16">
        <f>'26'!Q36</f>
        <v>9.5458333333333325</v>
      </c>
      <c r="R34" s="30"/>
      <c r="S34" s="30"/>
      <c r="T34" s="30"/>
      <c r="U34" s="30"/>
    </row>
    <row r="35" spans="1:21" s="2" customFormat="1">
      <c r="A35" s="14" t="str">
        <f>'27'!$B$2</f>
        <v>27/11/2025 01:00</v>
      </c>
      <c r="B35" s="16">
        <f>'27'!B36</f>
        <v>6.6108333333333347</v>
      </c>
      <c r="C35" s="16">
        <f>'27'!C36</f>
        <v>18.144166666666667</v>
      </c>
      <c r="D35" s="16">
        <f>'27'!D36</f>
        <v>14.666666666666666</v>
      </c>
      <c r="E35" s="16">
        <f>'27'!E36</f>
        <v>6.6975000000000007</v>
      </c>
      <c r="F35" s="16">
        <f>'27'!F36</f>
        <v>5.4859999999999998</v>
      </c>
      <c r="G35" s="16">
        <f>'27'!G36</f>
        <v>90.111250000000027</v>
      </c>
      <c r="H35" s="16">
        <f>'27'!H36</f>
        <v>33.484583333333326</v>
      </c>
      <c r="I35" s="16">
        <f>'27'!I36</f>
        <v>9.9262499999999996</v>
      </c>
      <c r="J35" s="16">
        <f>'27'!J36</f>
        <v>0.67500000000000016</v>
      </c>
      <c r="K35" s="16">
        <f>'27'!K36</f>
        <v>90.406249999999986</v>
      </c>
      <c r="L35" s="16">
        <f>'27'!L36</f>
        <v>16.949583333333333</v>
      </c>
      <c r="M35" s="16">
        <f>'27'!M36</f>
        <v>20.858750000000001</v>
      </c>
      <c r="N35" s="16">
        <f>'27'!N36</f>
        <v>118.22499999999997</v>
      </c>
      <c r="O35" s="16">
        <f>'27'!O36</f>
        <v>0</v>
      </c>
      <c r="P35" s="16">
        <f>'27'!P36</f>
        <v>0.57916666666666672</v>
      </c>
      <c r="Q35" s="16">
        <f>'27'!Q36</f>
        <v>9.3579166666666627</v>
      </c>
      <c r="R35" s="30"/>
      <c r="S35" s="30"/>
      <c r="T35" s="30"/>
      <c r="U35" s="30"/>
    </row>
    <row r="36" spans="1:21" s="2" customFormat="1">
      <c r="A36" s="14" t="str">
        <f>'28'!$B$2</f>
        <v>28/11/2025 01:00</v>
      </c>
      <c r="B36" s="16">
        <f>'28'!B36</f>
        <v>8.8850000000000033</v>
      </c>
      <c r="C36" s="16">
        <f>'28'!C36</f>
        <v>16.677499999999998</v>
      </c>
      <c r="D36" s="16">
        <f>'28'!D36</f>
        <v>15.79166666666667</v>
      </c>
      <c r="E36" s="16">
        <f>'28'!E36</f>
        <v>5.9195833333333328</v>
      </c>
      <c r="F36" s="16">
        <f>'28'!F36</f>
        <v>1.5016666666666667</v>
      </c>
      <c r="G36" s="16">
        <f>'28'!G36</f>
        <v>82.381666666666675</v>
      </c>
      <c r="H36" s="16">
        <f>'28'!H36</f>
        <v>38.029166666666661</v>
      </c>
      <c r="I36" s="16">
        <f>'28'!I36</f>
        <v>13.507499999999999</v>
      </c>
      <c r="J36" s="16">
        <f>'28'!J36</f>
        <v>0.54958333333333331</v>
      </c>
      <c r="K36" s="16">
        <f>'28'!K36</f>
        <v>122.98833333333333</v>
      </c>
      <c r="L36" s="16">
        <f>'28'!L36</f>
        <v>22.884166666666662</v>
      </c>
      <c r="M36" s="16">
        <f>'28'!M36</f>
        <v>56.949999999999996</v>
      </c>
      <c r="N36" s="16">
        <f>'28'!N36</f>
        <v>139.94999999999999</v>
      </c>
      <c r="O36" s="16">
        <f>'28'!O36</f>
        <v>0</v>
      </c>
      <c r="P36" s="16">
        <f>'28'!P36</f>
        <v>0.65416666666666679</v>
      </c>
      <c r="Q36" s="16">
        <f>'28'!Q36</f>
        <v>9.3437499999999964</v>
      </c>
      <c r="R36" s="30"/>
      <c r="S36" s="30"/>
      <c r="T36" s="30"/>
      <c r="U36" s="30"/>
    </row>
    <row r="37" spans="1:21" s="2" customFormat="1">
      <c r="A37" s="14" t="str">
        <f>'29'!$B$2</f>
        <v>29/11/2025 01:00</v>
      </c>
      <c r="B37" s="16">
        <f>'29'!B36</f>
        <v>12.4125</v>
      </c>
      <c r="C37" s="16">
        <f>'29'!C36</f>
        <v>16.878750000000004</v>
      </c>
      <c r="D37" s="16">
        <f>'29'!D36</f>
        <v>18.711249999999996</v>
      </c>
      <c r="E37" s="16">
        <f>'29'!E36</f>
        <v>5.9958333333333336</v>
      </c>
      <c r="F37" s="16">
        <f>'29'!F36</f>
        <v>0.97333333333333316</v>
      </c>
      <c r="G37" s="16">
        <f>'29'!G36</f>
        <v>92.824583333333337</v>
      </c>
      <c r="H37" s="16">
        <f>'29'!H36</f>
        <v>40.725000000000001</v>
      </c>
      <c r="I37" s="16">
        <f>'29'!I36</f>
        <v>13.129166666666663</v>
      </c>
      <c r="J37" s="16">
        <f>'29'!J36</f>
        <v>0.4308333333333334</v>
      </c>
      <c r="K37" s="16">
        <f>'29'!K36</f>
        <v>170.72916666666671</v>
      </c>
      <c r="L37" s="16">
        <f>'29'!L36</f>
        <v>23.084583333333331</v>
      </c>
      <c r="M37" s="16">
        <f>'29'!M36</f>
        <v>64.38624999999999</v>
      </c>
      <c r="N37" s="16">
        <f>'29'!N36</f>
        <v>140.05833333333337</v>
      </c>
      <c r="O37" s="16">
        <f>'29'!O36</f>
        <v>0</v>
      </c>
      <c r="P37" s="16">
        <f>'29'!P36</f>
        <v>0.74583333333333324</v>
      </c>
      <c r="Q37" s="16">
        <f>'29'!Q36</f>
        <v>9.319999999999995</v>
      </c>
      <c r="R37" s="30"/>
      <c r="S37" s="30"/>
      <c r="T37" s="30"/>
      <c r="U37" s="30"/>
    </row>
    <row r="38" spans="1:21" s="2" customFormat="1">
      <c r="A38" s="14" t="str">
        <f>'30'!$B$2</f>
        <v>30/11/2025 01:00</v>
      </c>
      <c r="B38" s="16">
        <f>'30'!B36</f>
        <v>15.182499999999999</v>
      </c>
      <c r="C38" s="16">
        <f>'30'!C36</f>
        <v>17.325416666666669</v>
      </c>
      <c r="D38" s="16">
        <f>'30'!D36</f>
        <v>21.172916666666666</v>
      </c>
      <c r="E38" s="16">
        <f>'30'!E36</f>
        <v>6.2537499999999993</v>
      </c>
      <c r="F38" s="16">
        <f>'30'!F36</f>
        <v>0.82250000000000023</v>
      </c>
      <c r="G38" s="16">
        <f>'30'!G36</f>
        <v>90.279999999999987</v>
      </c>
      <c r="H38" s="16">
        <f>'30'!H36</f>
        <v>40.823333333333331</v>
      </c>
      <c r="I38" s="16">
        <f>'30'!I36</f>
        <v>13.059583333333331</v>
      </c>
      <c r="J38" s="16">
        <f>'30'!J36</f>
        <v>0.46041666666666664</v>
      </c>
      <c r="K38" s="16">
        <f>'30'!K36</f>
        <v>150.61083333333335</v>
      </c>
      <c r="L38" s="16">
        <f>'30'!L36</f>
        <v>23.620416666666671</v>
      </c>
      <c r="M38" s="16">
        <f>'30'!M36</f>
        <v>63.276249999999997</v>
      </c>
      <c r="N38" s="16">
        <f>'30'!N36</f>
        <v>130.47916666666666</v>
      </c>
      <c r="O38" s="16">
        <f>'30'!O36</f>
        <v>0</v>
      </c>
      <c r="P38" s="16">
        <f>'30'!P36</f>
        <v>0.72833333333333339</v>
      </c>
      <c r="Q38" s="16">
        <f>'30'!Q36</f>
        <v>9.3574999999999964</v>
      </c>
      <c r="R38" s="30"/>
      <c r="S38" s="30"/>
      <c r="T38" s="30"/>
      <c r="U38" s="30"/>
    </row>
    <row r="39" spans="1:2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1" s="1" customFormat="1">
      <c r="A40" s="3" t="s">
        <v>48</v>
      </c>
      <c r="B40" s="18">
        <f t="shared" ref="B40:Q40" si="0">MIN(B9:B38)</f>
        <v>6.6108333333333347</v>
      </c>
      <c r="C40" s="18">
        <f t="shared" si="0"/>
        <v>8.9379166666666663</v>
      </c>
      <c r="D40" s="18">
        <f t="shared" si="0"/>
        <v>11.154166666666667</v>
      </c>
      <c r="E40" s="18">
        <f t="shared" si="0"/>
        <v>5.4320833333333338</v>
      </c>
      <c r="F40" s="18">
        <f t="shared" si="0"/>
        <v>0.82250000000000023</v>
      </c>
      <c r="G40" s="18">
        <f t="shared" si="0"/>
        <v>44.325833333333328</v>
      </c>
      <c r="H40" s="18">
        <f t="shared" si="0"/>
        <v>14.41375</v>
      </c>
      <c r="I40" s="18">
        <f t="shared" si="0"/>
        <v>5.496666666666667</v>
      </c>
      <c r="J40" s="18">
        <f t="shared" si="0"/>
        <v>0.25125000000000003</v>
      </c>
      <c r="K40" s="18">
        <f t="shared" si="0"/>
        <v>90.406249999999986</v>
      </c>
      <c r="L40" s="18">
        <f t="shared" si="0"/>
        <v>14.480833333333338</v>
      </c>
      <c r="M40" s="18">
        <f t="shared" si="0"/>
        <v>16.127916666666668</v>
      </c>
      <c r="N40" s="18">
        <f t="shared" si="0"/>
        <v>75.82083333333334</v>
      </c>
      <c r="O40" s="18">
        <f t="shared" si="0"/>
        <v>0</v>
      </c>
      <c r="P40" s="18">
        <f t="shared" si="0"/>
        <v>0.40875</v>
      </c>
      <c r="Q40" s="18">
        <f t="shared" si="0"/>
        <v>9.319999999999995</v>
      </c>
      <c r="R40" s="18"/>
      <c r="S40" s="18"/>
      <c r="T40" s="18"/>
      <c r="U40" s="18"/>
    </row>
    <row r="41" spans="1:21" s="1" customFormat="1">
      <c r="A41" s="3" t="s">
        <v>49</v>
      </c>
      <c r="B41" s="18">
        <f t="shared" ref="B41:Q41" si="1">MAX(B9:B38)</f>
        <v>16.257916666666667</v>
      </c>
      <c r="C41" s="18">
        <f t="shared" si="1"/>
        <v>20.734166666666667</v>
      </c>
      <c r="D41" s="18">
        <f t="shared" si="1"/>
        <v>22.481666666666669</v>
      </c>
      <c r="E41" s="18">
        <f t="shared" si="1"/>
        <v>8.3587499999999988</v>
      </c>
      <c r="F41" s="18">
        <f t="shared" si="1"/>
        <v>40.651999999999994</v>
      </c>
      <c r="G41" s="18">
        <f t="shared" si="1"/>
        <v>127.67208333333336</v>
      </c>
      <c r="H41" s="18">
        <f t="shared" si="1"/>
        <v>57.727916666666665</v>
      </c>
      <c r="I41" s="18">
        <f t="shared" si="1"/>
        <v>14.610833333333332</v>
      </c>
      <c r="J41" s="18">
        <f t="shared" si="1"/>
        <v>0.67500000000000016</v>
      </c>
      <c r="K41" s="18">
        <f t="shared" si="1"/>
        <v>242.19750000000002</v>
      </c>
      <c r="L41" s="18">
        <f t="shared" si="1"/>
        <v>23.620416666666671</v>
      </c>
      <c r="M41" s="18">
        <f t="shared" si="1"/>
        <v>64.38624999999999</v>
      </c>
      <c r="N41" s="18">
        <f t="shared" si="1"/>
        <v>153.90416666666667</v>
      </c>
      <c r="O41" s="18">
        <f t="shared" si="1"/>
        <v>8.3333333333333332E-3</v>
      </c>
      <c r="P41" s="18">
        <f t="shared" si="1"/>
        <v>0.87916666666666643</v>
      </c>
      <c r="Q41" s="18">
        <f t="shared" si="1"/>
        <v>10.407083333333329</v>
      </c>
      <c r="R41" s="18"/>
      <c r="S41" s="18"/>
      <c r="T41" s="18"/>
      <c r="U41" s="18"/>
    </row>
    <row r="42" spans="1:21" s="1" customFormat="1">
      <c r="A42" s="3" t="s">
        <v>50</v>
      </c>
      <c r="B42" s="18">
        <f t="shared" ref="B42:Q42" si="2">AVERAGE(B9:B38)</f>
        <v>11.170513888888888</v>
      </c>
      <c r="C42" s="18">
        <f t="shared" si="2"/>
        <v>14.952111111111115</v>
      </c>
      <c r="D42" s="18">
        <f t="shared" si="2"/>
        <v>16.665472222222224</v>
      </c>
      <c r="E42" s="18">
        <f t="shared" si="2"/>
        <v>6.8292916666666654</v>
      </c>
      <c r="F42" s="18">
        <f t="shared" si="2"/>
        <v>7.7201916666666666</v>
      </c>
      <c r="G42" s="18">
        <f t="shared" si="2"/>
        <v>76.912597278274745</v>
      </c>
      <c r="H42" s="18">
        <f t="shared" si="2"/>
        <v>30.656747394424809</v>
      </c>
      <c r="I42" s="18">
        <f t="shared" si="2"/>
        <v>11.14909722222222</v>
      </c>
      <c r="J42" s="18">
        <f t="shared" si="2"/>
        <v>0.40244444444444455</v>
      </c>
      <c r="K42" s="18">
        <f t="shared" si="2"/>
        <v>162.21748611111113</v>
      </c>
      <c r="L42" s="18">
        <f t="shared" si="2"/>
        <v>18.130694444444444</v>
      </c>
      <c r="M42" s="18">
        <f t="shared" si="2"/>
        <v>27.212986111111114</v>
      </c>
      <c r="N42" s="18">
        <f t="shared" si="2"/>
        <v>132.44277777777774</v>
      </c>
      <c r="O42" s="18">
        <f t="shared" si="2"/>
        <v>2.7777777777777778E-4</v>
      </c>
      <c r="P42" s="18">
        <f t="shared" si="2"/>
        <v>0.68425000000000002</v>
      </c>
      <c r="Q42" s="18">
        <f t="shared" si="2"/>
        <v>9.4941249999999968</v>
      </c>
      <c r="R42" s="18"/>
      <c r="S42" s="18"/>
      <c r="T42" s="18"/>
      <c r="U42" s="18"/>
    </row>
    <row r="43" spans="1:21" s="1" customFormat="1">
      <c r="A43" s="3" t="s">
        <v>51</v>
      </c>
      <c r="B43" s="18">
        <f t="shared" ref="B43:Q43" si="3">STDEV(B9:B38)</f>
        <v>2.4787013826962139</v>
      </c>
      <c r="C43" s="18">
        <f t="shared" si="3"/>
        <v>3.3975807540137342</v>
      </c>
      <c r="D43" s="18">
        <f t="shared" si="3"/>
        <v>3.0561513398607767</v>
      </c>
      <c r="E43" s="18">
        <f t="shared" si="3"/>
        <v>0.73563118106467662</v>
      </c>
      <c r="F43" s="18">
        <f t="shared" si="3"/>
        <v>10.140133180532327</v>
      </c>
      <c r="G43" s="18">
        <f t="shared" si="3"/>
        <v>24.405169903692428</v>
      </c>
      <c r="H43" s="18">
        <f t="shared" si="3"/>
        <v>13.398903148349733</v>
      </c>
      <c r="I43" s="18">
        <f t="shared" si="3"/>
        <v>2.4059474646438499</v>
      </c>
      <c r="J43" s="18">
        <f t="shared" si="3"/>
        <v>9.9059800269201762E-2</v>
      </c>
      <c r="K43" s="18">
        <f t="shared" si="3"/>
        <v>31.428375860821635</v>
      </c>
      <c r="L43" s="18">
        <f t="shared" si="3"/>
        <v>2.2771210806341422</v>
      </c>
      <c r="M43" s="18">
        <f t="shared" si="3"/>
        <v>12.265414196742979</v>
      </c>
      <c r="N43" s="18">
        <f t="shared" si="3"/>
        <v>17.089578369783432</v>
      </c>
      <c r="O43" s="18">
        <f t="shared" si="3"/>
        <v>1.5214515486254615E-3</v>
      </c>
      <c r="P43" s="18">
        <f t="shared" si="3"/>
        <v>9.9621133353962499E-2</v>
      </c>
      <c r="Q43" s="18">
        <f t="shared" si="3"/>
        <v>0.28053772834658469</v>
      </c>
      <c r="R43" s="18"/>
      <c r="S43" s="18"/>
      <c r="T43" s="18"/>
      <c r="U43" s="18"/>
    </row>
    <row r="44" spans="1:21" s="1" customFormat="1">
      <c r="A44" s="3" t="s">
        <v>52</v>
      </c>
      <c r="B44" s="3">
        <f t="shared" ref="B44:Q44" si="4">COUNT(B9:B38)</f>
        <v>30</v>
      </c>
      <c r="C44" s="3">
        <f t="shared" si="4"/>
        <v>30</v>
      </c>
      <c r="D44" s="3">
        <f t="shared" si="4"/>
        <v>30</v>
      </c>
      <c r="E44" s="3">
        <f t="shared" si="4"/>
        <v>30</v>
      </c>
      <c r="F44" s="18">
        <f>COUNT(F9:F38)+8</f>
        <v>28</v>
      </c>
      <c r="G44" s="3">
        <f t="shared" si="4"/>
        <v>30</v>
      </c>
      <c r="H44" s="3">
        <f t="shared" si="4"/>
        <v>30</v>
      </c>
      <c r="I44" s="3">
        <f t="shared" si="4"/>
        <v>30</v>
      </c>
      <c r="J44" s="3">
        <f t="shared" si="4"/>
        <v>30</v>
      </c>
      <c r="K44" s="3">
        <f t="shared" si="4"/>
        <v>30</v>
      </c>
      <c r="L44" s="3">
        <f t="shared" si="4"/>
        <v>30</v>
      </c>
      <c r="M44" s="3">
        <f t="shared" si="4"/>
        <v>30</v>
      </c>
      <c r="N44" s="3">
        <f t="shared" si="4"/>
        <v>30</v>
      </c>
      <c r="O44" s="3">
        <f t="shared" si="4"/>
        <v>30</v>
      </c>
      <c r="P44" s="3">
        <f t="shared" si="4"/>
        <v>30</v>
      </c>
      <c r="Q44" s="3">
        <f t="shared" si="4"/>
        <v>30</v>
      </c>
      <c r="R44" s="3"/>
      <c r="S44" s="3"/>
      <c r="T44" s="3"/>
      <c r="U44" s="3"/>
    </row>
    <row r="45" spans="1:21" s="1" customFormat="1">
      <c r="A45" s="3" t="s">
        <v>53</v>
      </c>
      <c r="B45" s="3" t="str">
        <f>IF(B44&gt;=28,"&gt;90%",IF(B44&lt;=28,"&lt;90%"))</f>
        <v>&gt;90%</v>
      </c>
      <c r="C45" s="3" t="str">
        <f t="shared" ref="C45:Q45" si="5">IF(C44&gt;=28,"&gt;90%",IF(C44&lt;=28,"&lt;90%"))</f>
        <v>&gt;90%</v>
      </c>
      <c r="D45" s="3" t="str">
        <f t="shared" si="5"/>
        <v>&gt;90%</v>
      </c>
      <c r="E45" s="3" t="str">
        <f t="shared" si="5"/>
        <v>&gt;90%</v>
      </c>
      <c r="F45" s="3" t="str">
        <f t="shared" si="5"/>
        <v>&gt;90%</v>
      </c>
      <c r="G45" s="3" t="str">
        <f t="shared" si="5"/>
        <v>&gt;90%</v>
      </c>
      <c r="H45" s="3" t="str">
        <f t="shared" si="5"/>
        <v>&gt;90%</v>
      </c>
      <c r="I45" s="3" t="str">
        <f t="shared" si="5"/>
        <v>&gt;90%</v>
      </c>
      <c r="J45" s="3" t="str">
        <f t="shared" si="5"/>
        <v>&gt;90%</v>
      </c>
      <c r="K45" s="3" t="str">
        <f t="shared" si="5"/>
        <v>&gt;90%</v>
      </c>
      <c r="L45" s="3" t="str">
        <f t="shared" si="5"/>
        <v>&gt;90%</v>
      </c>
      <c r="M45" s="3" t="str">
        <f t="shared" si="5"/>
        <v>&gt;90%</v>
      </c>
      <c r="N45" s="3" t="str">
        <f t="shared" si="5"/>
        <v>&gt;90%</v>
      </c>
      <c r="O45" s="3" t="str">
        <f t="shared" si="5"/>
        <v>&gt;90%</v>
      </c>
      <c r="P45" s="3" t="str">
        <f t="shared" si="5"/>
        <v>&gt;90%</v>
      </c>
      <c r="Q45" s="3" t="str">
        <f t="shared" si="5"/>
        <v>&gt;90%</v>
      </c>
      <c r="R45" s="3"/>
      <c r="S45" s="3"/>
      <c r="T45" s="3"/>
      <c r="U45" s="3"/>
    </row>
    <row r="46" spans="1:21" s="1" customFormat="1">
      <c r="A46" s="3" t="s">
        <v>54</v>
      </c>
      <c r="B46" s="3" t="str">
        <f>IF(B44&gt;=28,"OK",IF(B44&lt;=28,"LESS"))</f>
        <v>OK</v>
      </c>
      <c r="C46" s="3" t="str">
        <f t="shared" ref="C46:Q46" si="6">IF(C44&gt;=28,"OK",IF(C44&lt;=28,"LESS"))</f>
        <v>OK</v>
      </c>
      <c r="D46" s="3" t="str">
        <f t="shared" si="6"/>
        <v>OK</v>
      </c>
      <c r="E46" s="3" t="str">
        <f t="shared" si="6"/>
        <v>OK</v>
      </c>
      <c r="F46" s="3" t="str">
        <f t="shared" si="6"/>
        <v>OK</v>
      </c>
      <c r="G46" s="3" t="str">
        <f t="shared" si="6"/>
        <v>OK</v>
      </c>
      <c r="H46" s="3" t="str">
        <f t="shared" si="6"/>
        <v>OK</v>
      </c>
      <c r="I46" s="3" t="str">
        <f t="shared" si="6"/>
        <v>OK</v>
      </c>
      <c r="J46" s="3" t="str">
        <f t="shared" si="6"/>
        <v>OK</v>
      </c>
      <c r="K46" s="3" t="str">
        <f t="shared" si="6"/>
        <v>OK</v>
      </c>
      <c r="L46" s="3" t="str">
        <f t="shared" si="6"/>
        <v>OK</v>
      </c>
      <c r="M46" s="3" t="str">
        <f t="shared" si="6"/>
        <v>OK</v>
      </c>
      <c r="N46" s="3" t="str">
        <f t="shared" si="6"/>
        <v>OK</v>
      </c>
      <c r="O46" s="3" t="str">
        <f t="shared" si="6"/>
        <v>OK</v>
      </c>
      <c r="P46" s="3" t="str">
        <f t="shared" si="6"/>
        <v>OK</v>
      </c>
      <c r="Q46" s="3" t="str">
        <f t="shared" si="6"/>
        <v>OK</v>
      </c>
      <c r="R46" s="3"/>
      <c r="S46" s="3"/>
      <c r="T46" s="3"/>
      <c r="U46" s="3"/>
    </row>
    <row r="47" spans="1:2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9" spans="1:16">
      <c r="A49" s="3" t="s">
        <v>55</v>
      </c>
      <c r="B49" s="19" t="s">
        <v>56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20"/>
      <c r="E50" s="20"/>
      <c r="F50" s="20"/>
      <c r="G50" s="20"/>
      <c r="H50" s="20"/>
      <c r="I50" s="20"/>
      <c r="J50" s="1"/>
      <c r="K50" s="1"/>
      <c r="L50" s="1"/>
      <c r="M50" s="1"/>
      <c r="N50" s="1"/>
      <c r="O50" s="1"/>
      <c r="P50" s="1"/>
    </row>
    <row r="51" spans="1:16" ht="15.75">
      <c r="A51" s="21" t="s">
        <v>57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</sheetData>
  <mergeCells count="1">
    <mergeCell ref="B51:P5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31</vt:lpstr>
    </vt:vector>
  </TitlesOfParts>
  <Company>wbpcb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com</cp:lastModifiedBy>
  <cp:lastPrinted>2018-07-30T12:51:00Z</cp:lastPrinted>
  <dcterms:created xsi:type="dcterms:W3CDTF">2013-08-23T16:44:00Z</dcterms:created>
  <dcterms:modified xsi:type="dcterms:W3CDTF">2025-12-27T15:42:13Z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7EA9ECEE773C45D5B6E24CE40B3C9EEF</vt:lpwstr>
  </property>
  <property fmtid="{D5CDD505-2E9C-101B-9397-08002B2CF9AE}" pid="3" name="KSOProductBuildVer">
    <vt:lpwstr>1033-11.2.0.11219</vt:lpwstr>
  </property>
</Properties>
</file>