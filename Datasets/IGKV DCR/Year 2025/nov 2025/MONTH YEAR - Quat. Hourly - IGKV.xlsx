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nov 2025\"/>
    </mc:Choice>
  </mc:AlternateContent>
  <xr:revisionPtr revIDLastSave="0" documentId="13_ncr:1_{D6D1CCEE-0EB9-4125-BB72-76FAE34E981F}" xr6:coauthVersionLast="47" xr6:coauthVersionMax="47" xr10:uidLastSave="{00000000-0000-0000-0000-000000000000}"/>
  <bookViews>
    <workbookView xWindow="-120" yWindow="-120" windowWidth="20730" windowHeight="11040" tabRatio="814" firstSheet="10" activeTab="30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91029"/>
</workbook>
</file>

<file path=xl/calcChain.xml><?xml version="1.0" encoding="utf-8"?>
<calcChain xmlns="http://schemas.openxmlformats.org/spreadsheetml/2006/main">
  <c r="F45" i="39" l="1"/>
  <c r="F110" i="25"/>
  <c r="F110" i="24"/>
  <c r="F110" i="32"/>
  <c r="F110" i="30"/>
  <c r="F110" i="29"/>
  <c r="F112" i="29" s="1"/>
  <c r="F110" i="28"/>
  <c r="F112" i="28" s="1"/>
  <c r="F110" i="26"/>
  <c r="F110" i="23"/>
  <c r="F112" i="23"/>
  <c r="F110" i="22"/>
  <c r="F110" i="2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E38" i="39"/>
  <c r="Q37" i="39"/>
  <c r="D29" i="39"/>
  <c r="D27" i="39"/>
  <c r="G26" i="39"/>
  <c r="H25" i="39"/>
  <c r="K20" i="39"/>
  <c r="C19" i="39"/>
  <c r="A19" i="39"/>
  <c r="A10" i="39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1" i="40" s="1"/>
  <c r="H110" i="40"/>
  <c r="H112" i="40" s="1"/>
  <c r="G110" i="40"/>
  <c r="G111" i="40" s="1"/>
  <c r="F110" i="40"/>
  <c r="F112" i="40" s="1"/>
  <c r="E110" i="40"/>
  <c r="E111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1" i="44" s="1"/>
  <c r="G110" i="44"/>
  <c r="G111" i="44" s="1"/>
  <c r="F110" i="44"/>
  <c r="F111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P112" i="33"/>
  <c r="M112" i="33"/>
  <c r="B112" i="33"/>
  <c r="Q110" i="33"/>
  <c r="Q112" i="33" s="1"/>
  <c r="P110" i="33"/>
  <c r="P111" i="33" s="1"/>
  <c r="O110" i="33"/>
  <c r="O112" i="33" s="1"/>
  <c r="N110" i="33"/>
  <c r="N112" i="33" s="1"/>
  <c r="M110" i="33"/>
  <c r="M111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N111" i="32"/>
  <c r="L111" i="32"/>
  <c r="J111" i="32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2" i="32"/>
  <c r="E110" i="32"/>
  <c r="E112" i="32" s="1"/>
  <c r="D110" i="32"/>
  <c r="D112" i="32" s="1"/>
  <c r="C110" i="32"/>
  <c r="C111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O111" i="3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P112" i="30"/>
  <c r="L111" i="30"/>
  <c r="Q110" i="30"/>
  <c r="Q112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1" i="30" s="1"/>
  <c r="J110" i="30"/>
  <c r="J112" i="30" s="1"/>
  <c r="I110" i="30"/>
  <c r="I112" i="30" s="1"/>
  <c r="H110" i="30"/>
  <c r="H112" i="30" s="1"/>
  <c r="G110" i="30"/>
  <c r="G112" i="30" s="1"/>
  <c r="F112" i="30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L111" i="29"/>
  <c r="D111" i="29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P112" i="28"/>
  <c r="Q110" i="28"/>
  <c r="Q112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Q110" i="27"/>
  <c r="Q111" i="27" s="1"/>
  <c r="P110" i="27"/>
  <c r="P112" i="27" s="1"/>
  <c r="O110" i="27"/>
  <c r="O111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2" i="26"/>
  <c r="O112" i="26"/>
  <c r="D111" i="26"/>
  <c r="Q110" i="26"/>
  <c r="Q112" i="26" s="1"/>
  <c r="P110" i="26"/>
  <c r="P111" i="26" s="1"/>
  <c r="O110" i="26"/>
  <c r="O111" i="26" s="1"/>
  <c r="N110" i="26"/>
  <c r="N111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2" i="26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1" i="25" s="1"/>
  <c r="P110" i="25"/>
  <c r="P111" i="25" s="1"/>
  <c r="O110" i="25"/>
  <c r="O111" i="25" s="1"/>
  <c r="N110" i="25"/>
  <c r="N112" i="25" s="1"/>
  <c r="M110" i="25"/>
  <c r="M112" i="25" s="1"/>
  <c r="L110" i="25"/>
  <c r="L112" i="25" s="1"/>
  <c r="K110" i="25"/>
  <c r="K112" i="25" s="1"/>
  <c r="J110" i="25"/>
  <c r="J111" i="25" s="1"/>
  <c r="I110" i="25"/>
  <c r="I112" i="25" s="1"/>
  <c r="H110" i="25"/>
  <c r="H112" i="25" s="1"/>
  <c r="G110" i="25"/>
  <c r="G112" i="25" s="1"/>
  <c r="F112" i="25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1" i="24" s="1"/>
  <c r="P110" i="24"/>
  <c r="P111" i="24" s="1"/>
  <c r="O110" i="24"/>
  <c r="O112" i="24" s="1"/>
  <c r="N110" i="24"/>
  <c r="N112" i="24" s="1"/>
  <c r="M110" i="24"/>
  <c r="M112" i="24" s="1"/>
  <c r="L110" i="24"/>
  <c r="L112" i="24" s="1"/>
  <c r="K110" i="24"/>
  <c r="K111" i="24" s="1"/>
  <c r="J110" i="24"/>
  <c r="J112" i="24" s="1"/>
  <c r="I110" i="24"/>
  <c r="I112" i="24" s="1"/>
  <c r="H110" i="24"/>
  <c r="H112" i="24" s="1"/>
  <c r="G110" i="24"/>
  <c r="G112" i="24" s="1"/>
  <c r="F111" i="24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E108" i="24"/>
  <c r="E27" i="39" s="1"/>
  <c r="D108" i="24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2" i="23"/>
  <c r="Q110" i="23"/>
  <c r="Q111" i="23" s="1"/>
  <c r="P110" i="23"/>
  <c r="P112" i="23" s="1"/>
  <c r="O110" i="23"/>
  <c r="O112" i="23" s="1"/>
  <c r="N110" i="23"/>
  <c r="N112" i="23" s="1"/>
  <c r="M110" i="23"/>
  <c r="M112" i="23" s="1"/>
  <c r="L110" i="23"/>
  <c r="L111" i="23" s="1"/>
  <c r="K110" i="23"/>
  <c r="K112" i="23" s="1"/>
  <c r="J110" i="23"/>
  <c r="J111" i="23" s="1"/>
  <c r="I110" i="23"/>
  <c r="I112" i="23" s="1"/>
  <c r="H110" i="23"/>
  <c r="H112" i="23" s="1"/>
  <c r="G110" i="23"/>
  <c r="G112" i="23" s="1"/>
  <c r="E110" i="23"/>
  <c r="E111" i="23" s="1"/>
  <c r="D110" i="23"/>
  <c r="D112" i="23" s="1"/>
  <c r="C110" i="23"/>
  <c r="C111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C112" i="22"/>
  <c r="Q110" i="22"/>
  <c r="Q112" i="22" s="1"/>
  <c r="P110" i="22"/>
  <c r="P112" i="22" s="1"/>
  <c r="O110" i="22"/>
  <c r="O112" i="22" s="1"/>
  <c r="N110" i="22"/>
  <c r="N112" i="22" s="1"/>
  <c r="M110" i="22"/>
  <c r="M111" i="22" s="1"/>
  <c r="L110" i="22"/>
  <c r="L111" i="22" s="1"/>
  <c r="K110" i="22"/>
  <c r="K111" i="22" s="1"/>
  <c r="J110" i="22"/>
  <c r="J112" i="22" s="1"/>
  <c r="I110" i="22"/>
  <c r="I112" i="22" s="1"/>
  <c r="H110" i="22"/>
  <c r="H111" i="22" s="1"/>
  <c r="G110" i="22"/>
  <c r="G112" i="22" s="1"/>
  <c r="F111" i="22"/>
  <c r="E110" i="22"/>
  <c r="E112" i="22" s="1"/>
  <c r="D110" i="22"/>
  <c r="D111" i="22" s="1"/>
  <c r="C110" i="22"/>
  <c r="C111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G108" i="22"/>
  <c r="G25" i="39" s="1"/>
  <c r="F108" i="22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2" i="21" s="1"/>
  <c r="O110" i="21"/>
  <c r="O112" i="21" s="1"/>
  <c r="N110" i="21"/>
  <c r="N111" i="21" s="1"/>
  <c r="M110" i="21"/>
  <c r="M111" i="21" s="1"/>
  <c r="L110" i="21"/>
  <c r="L112" i="21" s="1"/>
  <c r="K110" i="21"/>
  <c r="K112" i="21" s="1"/>
  <c r="J110" i="21"/>
  <c r="J112" i="21" s="1"/>
  <c r="I110" i="21"/>
  <c r="I111" i="21" s="1"/>
  <c r="H110" i="21"/>
  <c r="H112" i="21" s="1"/>
  <c r="G110" i="21"/>
  <c r="G111" i="21" s="1"/>
  <c r="F112" i="21"/>
  <c r="E110" i="21"/>
  <c r="E111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1" i="20" s="1"/>
  <c r="N110" i="20"/>
  <c r="N112" i="20" s="1"/>
  <c r="M110" i="20"/>
  <c r="M112" i="20" s="1"/>
  <c r="L110" i="20"/>
  <c r="L112" i="20" s="1"/>
  <c r="K110" i="20"/>
  <c r="K112" i="20" s="1"/>
  <c r="J110" i="20"/>
  <c r="J111" i="20" s="1"/>
  <c r="I110" i="20"/>
  <c r="I112" i="20" s="1"/>
  <c r="H110" i="20"/>
  <c r="H111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K112" i="19"/>
  <c r="Q110" i="19"/>
  <c r="Q112" i="19" s="1"/>
  <c r="P110" i="19"/>
  <c r="P111" i="19" s="1"/>
  <c r="O110" i="19"/>
  <c r="O111" i="19" s="1"/>
  <c r="N110" i="19"/>
  <c r="N111" i="19" s="1"/>
  <c r="M110" i="19"/>
  <c r="M112" i="19" s="1"/>
  <c r="L110" i="19"/>
  <c r="L112" i="19" s="1"/>
  <c r="K110" i="19"/>
  <c r="K111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G111" i="18"/>
  <c r="Q110" i="18"/>
  <c r="Q111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1" i="17" s="1"/>
  <c r="C110" i="17"/>
  <c r="C112" i="17" s="1"/>
  <c r="B110" i="17"/>
  <c r="B111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N112" i="16"/>
  <c r="B112" i="16"/>
  <c r="Q111" i="16"/>
  <c r="J111" i="16"/>
  <c r="E111" i="16"/>
  <c r="Q110" i="16"/>
  <c r="Q112" i="16" s="1"/>
  <c r="P110" i="16"/>
  <c r="P112" i="16" s="1"/>
  <c r="O110" i="16"/>
  <c r="O112" i="16" s="1"/>
  <c r="N110" i="16"/>
  <c r="N111" i="16" s="1"/>
  <c r="M110" i="16"/>
  <c r="M112" i="16" s="1"/>
  <c r="L110" i="16"/>
  <c r="L112" i="16" s="1"/>
  <c r="K110" i="16"/>
  <c r="K112" i="16" s="1"/>
  <c r="J110" i="16"/>
  <c r="J112" i="16" s="1"/>
  <c r="I110" i="16"/>
  <c r="I111" i="16" s="1"/>
  <c r="H110" i="16"/>
  <c r="H111" i="16" s="1"/>
  <c r="G110" i="16"/>
  <c r="G112" i="16" s="1"/>
  <c r="F110" i="16"/>
  <c r="F112" i="16" s="1"/>
  <c r="E110" i="16"/>
  <c r="E112" i="16" s="1"/>
  <c r="D110" i="16"/>
  <c r="D112" i="16" s="1"/>
  <c r="C110" i="16"/>
  <c r="C111" i="16" s="1"/>
  <c r="B110" i="16"/>
  <c r="B111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F112" i="15"/>
  <c r="I111" i="15"/>
  <c r="F111" i="15"/>
  <c r="Q110" i="15"/>
  <c r="Q112" i="15" s="1"/>
  <c r="P110" i="15"/>
  <c r="P112" i="15" s="1"/>
  <c r="O110" i="15"/>
  <c r="O112" i="15" s="1"/>
  <c r="N110" i="15"/>
  <c r="N112" i="15" s="1"/>
  <c r="M110" i="15"/>
  <c r="M111" i="15" s="1"/>
  <c r="L110" i="15"/>
  <c r="K110" i="15"/>
  <c r="K111" i="15" s="1"/>
  <c r="J110" i="15"/>
  <c r="J111" i="15" s="1"/>
  <c r="I110" i="15"/>
  <c r="I112" i="15" s="1"/>
  <c r="H110" i="15"/>
  <c r="H112" i="15" s="1"/>
  <c r="G110" i="15"/>
  <c r="G112" i="15" s="1"/>
  <c r="F110" i="15"/>
  <c r="E110" i="15"/>
  <c r="E112" i="15" s="1"/>
  <c r="D110" i="15"/>
  <c r="D111" i="15" s="1"/>
  <c r="C110" i="15"/>
  <c r="C111" i="15" s="1"/>
  <c r="B110" i="15"/>
  <c r="B111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1" i="14" s="1"/>
  <c r="L110" i="14"/>
  <c r="L111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1" i="13" s="1"/>
  <c r="M110" i="13"/>
  <c r="M111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1" i="12" s="1"/>
  <c r="O110" i="12"/>
  <c r="O111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2" i="12" s="1"/>
  <c r="H110" i="12"/>
  <c r="H111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1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1" i="11" s="1"/>
  <c r="H110" i="11"/>
  <c r="H112" i="11" s="1"/>
  <c r="G110" i="11"/>
  <c r="G112" i="11" s="1"/>
  <c r="F110" i="11"/>
  <c r="F112" i="11" s="1"/>
  <c r="E110" i="11"/>
  <c r="E112" i="11" s="1"/>
  <c r="D110" i="11"/>
  <c r="D112" i="11" s="1"/>
  <c r="C110" i="11"/>
  <c r="C111" i="11" s="1"/>
  <c r="B110" i="11"/>
  <c r="B111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 s="1"/>
  <c r="O110" i="10"/>
  <c r="O111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1" i="10" s="1"/>
  <c r="C110" i="10"/>
  <c r="C111" i="10" s="1"/>
  <c r="B110" i="10"/>
  <c r="B111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1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1" i="9" s="1"/>
  <c r="D110" i="9"/>
  <c r="D112" i="9" s="1"/>
  <c r="C110" i="9"/>
  <c r="C111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1" i="8" s="1"/>
  <c r="E110" i="8"/>
  <c r="E111" i="8" s="1"/>
  <c r="D110" i="8"/>
  <c r="D111" i="8" s="1"/>
  <c r="C110" i="8"/>
  <c r="C111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1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1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Q110" i="2"/>
  <c r="Q112" i="2" s="1"/>
  <c r="P110" i="2"/>
  <c r="P112" i="2" s="1"/>
  <c r="O110" i="2"/>
  <c r="O112" i="2" s="1"/>
  <c r="N110" i="2"/>
  <c r="N111" i="2" s="1"/>
  <c r="M110" i="2"/>
  <c r="M112" i="2" s="1"/>
  <c r="L110" i="2"/>
  <c r="L111" i="2" s="1"/>
  <c r="K110" i="2"/>
  <c r="K112" i="2" s="1"/>
  <c r="J110" i="2"/>
  <c r="J112" i="2" s="1"/>
  <c r="I110" i="2"/>
  <c r="I112" i="2" s="1"/>
  <c r="H110" i="2"/>
  <c r="H111" i="2" s="1"/>
  <c r="G110" i="2"/>
  <c r="G111" i="2" s="1"/>
  <c r="F110" i="2"/>
  <c r="F111" i="2" s="1"/>
  <c r="E110" i="2"/>
  <c r="E112" i="2" s="1"/>
  <c r="D110" i="2"/>
  <c r="D111" i="2" s="1"/>
  <c r="C110" i="2"/>
  <c r="C111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E112" i="40" l="1"/>
  <c r="K111" i="40"/>
  <c r="N111" i="40"/>
  <c r="P111" i="40"/>
  <c r="J111" i="44"/>
  <c r="L111" i="44"/>
  <c r="O111" i="44"/>
  <c r="Q111" i="44"/>
  <c r="H111" i="33"/>
  <c r="I111" i="33"/>
  <c r="K111" i="33"/>
  <c r="I111" i="32"/>
  <c r="Q111" i="32"/>
  <c r="H111" i="32"/>
  <c r="D111" i="31"/>
  <c r="I111" i="31"/>
  <c r="J111" i="31"/>
  <c r="K111" i="31"/>
  <c r="M111" i="31"/>
  <c r="K112" i="30"/>
  <c r="C111" i="30"/>
  <c r="E111" i="30"/>
  <c r="J111" i="30"/>
  <c r="N111" i="30"/>
  <c r="F111" i="29"/>
  <c r="K111" i="29"/>
  <c r="O111" i="29"/>
  <c r="E111" i="28"/>
  <c r="G111" i="28"/>
  <c r="C111" i="27"/>
  <c r="F111" i="27"/>
  <c r="O112" i="27"/>
  <c r="I111" i="26"/>
  <c r="N112" i="26"/>
  <c r="H111" i="25"/>
  <c r="J112" i="25"/>
  <c r="O112" i="25"/>
  <c r="P112" i="25"/>
  <c r="Q112" i="25"/>
  <c r="I111" i="24"/>
  <c r="F112" i="24"/>
  <c r="P112" i="24"/>
  <c r="Q112" i="24"/>
  <c r="G111" i="23"/>
  <c r="C112" i="23"/>
  <c r="E112" i="23"/>
  <c r="F112" i="22"/>
  <c r="H112" i="22"/>
  <c r="D112" i="22"/>
  <c r="E112" i="21"/>
  <c r="G112" i="21"/>
  <c r="I112" i="21"/>
  <c r="D111" i="20"/>
  <c r="H112" i="20"/>
  <c r="J112" i="20"/>
  <c r="E111" i="19"/>
  <c r="F111" i="19"/>
  <c r="C111" i="18"/>
  <c r="F111" i="18"/>
  <c r="H111" i="18"/>
  <c r="J111" i="18"/>
  <c r="O111" i="18"/>
  <c r="P111" i="18"/>
  <c r="G111" i="17"/>
  <c r="H111" i="17"/>
  <c r="I111" i="17"/>
  <c r="K111" i="17"/>
  <c r="M111" i="17"/>
  <c r="P111" i="17"/>
  <c r="B112" i="17"/>
  <c r="C112" i="16"/>
  <c r="L111" i="16"/>
  <c r="O111" i="15"/>
  <c r="B112" i="15"/>
  <c r="C112" i="15"/>
  <c r="D112" i="15"/>
  <c r="E42" i="39"/>
  <c r="O42" i="39"/>
  <c r="J43" i="39"/>
  <c r="E41" i="39"/>
  <c r="J41" i="39"/>
  <c r="O43" i="39"/>
  <c r="K45" i="39"/>
  <c r="K44" i="39"/>
  <c r="K43" i="39"/>
  <c r="K42" i="39"/>
  <c r="K41" i="39"/>
  <c r="M45" i="39"/>
  <c r="M44" i="39"/>
  <c r="M42" i="39"/>
  <c r="M41" i="39"/>
  <c r="M43" i="39"/>
  <c r="B45" i="39"/>
  <c r="B44" i="39"/>
  <c r="B43" i="39"/>
  <c r="B42" i="39"/>
  <c r="B41" i="39"/>
  <c r="C45" i="39"/>
  <c r="C44" i="39"/>
  <c r="C43" i="39"/>
  <c r="C42" i="39"/>
  <c r="C41" i="39"/>
  <c r="D45" i="39"/>
  <c r="D44" i="39"/>
  <c r="D43" i="39"/>
  <c r="D41" i="39"/>
  <c r="D42" i="39"/>
  <c r="F42" i="39"/>
  <c r="F44" i="39"/>
  <c r="F43" i="39"/>
  <c r="F41" i="39"/>
  <c r="H45" i="39"/>
  <c r="H44" i="39"/>
  <c r="H43" i="39"/>
  <c r="H42" i="39"/>
  <c r="H41" i="39"/>
  <c r="O112" i="10"/>
  <c r="Q112" i="9"/>
  <c r="M111" i="12"/>
  <c r="L111" i="13"/>
  <c r="C112" i="8"/>
  <c r="B112" i="9"/>
  <c r="C112" i="9"/>
  <c r="P112" i="19"/>
  <c r="B111" i="28"/>
  <c r="C112" i="2"/>
  <c r="B111" i="3"/>
  <c r="Q111" i="8"/>
  <c r="P112" i="9"/>
  <c r="N111" i="11"/>
  <c r="B111" i="31"/>
  <c r="C111" i="3"/>
  <c r="E112" i="3"/>
  <c r="O111" i="13"/>
  <c r="J112" i="23"/>
  <c r="K112" i="22"/>
  <c r="F112" i="44"/>
  <c r="O111" i="11"/>
  <c r="E111" i="2"/>
  <c r="D111" i="3"/>
  <c r="D112" i="8"/>
  <c r="N111" i="14"/>
  <c r="F111" i="3"/>
  <c r="E112" i="8"/>
  <c r="B112" i="11"/>
  <c r="P111" i="13"/>
  <c r="B111" i="8"/>
  <c r="N112" i="19"/>
  <c r="Q112" i="18"/>
  <c r="K112" i="24"/>
  <c r="B112" i="19"/>
  <c r="B111" i="19"/>
  <c r="B111" i="12"/>
  <c r="L112" i="22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J112" i="15"/>
  <c r="Q111" i="17"/>
  <c r="L111" i="18"/>
  <c r="G111" i="19"/>
  <c r="E111" i="20"/>
  <c r="C111" i="21"/>
  <c r="M112" i="22"/>
  <c r="C111" i="25"/>
  <c r="H111" i="27"/>
  <c r="L111" i="28"/>
  <c r="M111" i="29"/>
  <c r="C112" i="32"/>
  <c r="G112" i="33"/>
  <c r="H112" i="44"/>
  <c r="I112" i="40"/>
  <c r="O41" i="39"/>
  <c r="O44" i="39"/>
  <c r="D44" i="5"/>
  <c r="D112" i="2"/>
  <c r="N111" i="12"/>
  <c r="Q111" i="10"/>
  <c r="P112" i="11"/>
  <c r="O112" i="12"/>
  <c r="F112" i="2"/>
  <c r="G45" i="39"/>
  <c r="G44" i="39"/>
  <c r="G43" i="39"/>
  <c r="G42" i="39"/>
  <c r="G41" i="39"/>
  <c r="H112" i="2"/>
  <c r="G111" i="3"/>
  <c r="C112" i="11"/>
  <c r="Q111" i="13"/>
  <c r="G112" i="40"/>
  <c r="J45" i="39"/>
  <c r="J44" i="39"/>
  <c r="J111" i="2"/>
  <c r="I111" i="3"/>
  <c r="H111" i="8"/>
  <c r="G111" i="9"/>
  <c r="F111" i="10"/>
  <c r="E111" i="11"/>
  <c r="D111" i="12"/>
  <c r="C111" i="13"/>
  <c r="B111" i="14"/>
  <c r="K112" i="15"/>
  <c r="H112" i="16"/>
  <c r="I111" i="19"/>
  <c r="F111" i="20"/>
  <c r="D111" i="21"/>
  <c r="B111" i="22"/>
  <c r="B111" i="24"/>
  <c r="E111" i="25"/>
  <c r="G111" i="26"/>
  <c r="M111" i="27"/>
  <c r="M111" i="28"/>
  <c r="P111" i="10"/>
  <c r="O112" i="19"/>
  <c r="D111" i="9"/>
  <c r="C112" i="10"/>
  <c r="Q111" i="12"/>
  <c r="O111" i="14"/>
  <c r="O112" i="20"/>
  <c r="F112" i="8"/>
  <c r="D112" i="10"/>
  <c r="K111" i="2"/>
  <c r="J111" i="3"/>
  <c r="I111" i="8"/>
  <c r="H111" i="9"/>
  <c r="G111" i="10"/>
  <c r="F111" i="11"/>
  <c r="E111" i="12"/>
  <c r="D111" i="13"/>
  <c r="C111" i="14"/>
  <c r="M112" i="15"/>
  <c r="I112" i="16"/>
  <c r="D112" i="17"/>
  <c r="B111" i="23"/>
  <c r="D111" i="24"/>
  <c r="N111" i="27"/>
  <c r="N111" i="28"/>
  <c r="Q111" i="29"/>
  <c r="O45" i="39"/>
  <c r="M112" i="13"/>
  <c r="L112" i="14"/>
  <c r="B112" i="10"/>
  <c r="Q111" i="11"/>
  <c r="M112" i="21"/>
  <c r="L112" i="23"/>
  <c r="E112" i="9"/>
  <c r="P111" i="14"/>
  <c r="N112" i="21"/>
  <c r="L112" i="2"/>
  <c r="K111" i="3"/>
  <c r="J111" i="8"/>
  <c r="I111" i="9"/>
  <c r="H111" i="10"/>
  <c r="G111" i="11"/>
  <c r="F111" i="12"/>
  <c r="E111" i="13"/>
  <c r="D111" i="14"/>
  <c r="L112" i="15"/>
  <c r="L111" i="15"/>
  <c r="B111" i="26"/>
  <c r="G112" i="44"/>
  <c r="L45" i="39"/>
  <c r="L44" i="39"/>
  <c r="L43" i="39"/>
  <c r="L42" i="39"/>
  <c r="L41" i="39"/>
  <c r="M111" i="2"/>
  <c r="L111" i="3"/>
  <c r="K111" i="8"/>
  <c r="J111" i="9"/>
  <c r="I111" i="10"/>
  <c r="H111" i="11"/>
  <c r="G111" i="12"/>
  <c r="F111" i="13"/>
  <c r="E111" i="14"/>
  <c r="M111" i="20"/>
  <c r="K111" i="14"/>
  <c r="E45" i="39"/>
  <c r="E44" i="39"/>
  <c r="N111" i="20"/>
  <c r="L111" i="21"/>
  <c r="J42" i="39"/>
  <c r="M112" i="14"/>
  <c r="G112" i="2"/>
  <c r="M112" i="3"/>
  <c r="K111" i="9"/>
  <c r="I112" i="11"/>
  <c r="H112" i="12"/>
  <c r="O111" i="2"/>
  <c r="N111" i="3"/>
  <c r="M111" i="8"/>
  <c r="L111" i="9"/>
  <c r="K111" i="10"/>
  <c r="J111" i="11"/>
  <c r="I111" i="12"/>
  <c r="H111" i="13"/>
  <c r="G111" i="14"/>
  <c r="N112" i="13"/>
  <c r="P112" i="12"/>
  <c r="J111" i="10"/>
  <c r="G111" i="13"/>
  <c r="P111" i="2"/>
  <c r="O111" i="3"/>
  <c r="N111" i="8"/>
  <c r="M111" i="9"/>
  <c r="L111" i="10"/>
  <c r="K111" i="11"/>
  <c r="J111" i="12"/>
  <c r="I111" i="13"/>
  <c r="H111" i="14"/>
  <c r="F111" i="40"/>
  <c r="N112" i="2"/>
  <c r="L111" i="8"/>
  <c r="F111" i="14"/>
  <c r="Q45" i="39"/>
  <c r="Q44" i="39"/>
  <c r="Q43" i="39"/>
  <c r="Q42" i="39"/>
  <c r="Q41" i="39"/>
  <c r="Q111" i="2"/>
  <c r="P111" i="3"/>
  <c r="O111" i="8"/>
  <c r="N111" i="9"/>
  <c r="M111" i="10"/>
  <c r="L111" i="11"/>
  <c r="K111" i="12"/>
  <c r="J111" i="13"/>
  <c r="I111" i="14"/>
  <c r="N45" i="39"/>
  <c r="N44" i="39"/>
  <c r="N43" i="39"/>
  <c r="N42" i="39"/>
  <c r="N41" i="39"/>
  <c r="P45" i="39"/>
  <c r="P44" i="39"/>
  <c r="P43" i="39"/>
  <c r="P42" i="39"/>
  <c r="P41" i="39"/>
  <c r="B111" i="2"/>
  <c r="Q111" i="3"/>
  <c r="P111" i="8"/>
  <c r="O111" i="9"/>
  <c r="N111" i="10"/>
  <c r="M111" i="11"/>
  <c r="L111" i="12"/>
  <c r="K111" i="13"/>
  <c r="J111" i="14"/>
  <c r="E43" i="39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P111" i="15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C47" i="39" l="1"/>
  <c r="C46" i="39"/>
  <c r="P47" i="39"/>
  <c r="P46" i="39"/>
  <c r="J47" i="39"/>
  <c r="J46" i="39"/>
  <c r="F47" i="39"/>
  <c r="F46" i="39"/>
  <c r="B47" i="39"/>
  <c r="B46" i="39"/>
  <c r="O47" i="39"/>
  <c r="O46" i="39"/>
  <c r="I47" i="39"/>
  <c r="I46" i="39"/>
  <c r="Q47" i="39"/>
  <c r="Q46" i="39"/>
  <c r="N47" i="39"/>
  <c r="N46" i="39"/>
  <c r="M47" i="39"/>
  <c r="M46" i="39"/>
  <c r="H47" i="39"/>
  <c r="H46" i="39"/>
  <c r="D47" i="39"/>
  <c r="D46" i="39"/>
  <c r="E47" i="39"/>
  <c r="E46" i="39"/>
  <c r="L47" i="39"/>
  <c r="L46" i="39"/>
  <c r="G47" i="39"/>
  <c r="G46" i="39"/>
  <c r="K47" i="39"/>
  <c r="K46" i="39"/>
</calcChain>
</file>

<file path=xl/sharedStrings.xml><?xml version="1.0" encoding="utf-8"?>
<sst xmlns="http://schemas.openxmlformats.org/spreadsheetml/2006/main" count="6584" uniqueCount="3124">
  <si>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</si>
  <si>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</si>
  <si>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</si>
  <si>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</si>
  <si>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</si>
  <si>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</si>
  <si>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</si>
  <si>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</si>
  <si>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</si>
  <si>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</si>
  <si>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</si>
  <si>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</si>
  <si>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</si>
  <si>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</si>
  <si>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</si>
  <si>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</si>
  <si>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</si>
  <si>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</si>
  <si>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</si>
  <si>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</si>
  <si>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</si>
  <si>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</si>
  <si>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</si>
  <si>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</si>
  <si>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</si>
  <si>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</si>
  <si>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</si>
  <si>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</si>
  <si>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</si>
  <si>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</si>
  <si>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</si>
  <si>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</si>
  <si>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</si>
  <si>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</si>
  <si>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</si>
  <si>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</si>
  <si>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</si>
  <si>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</si>
  <si>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</si>
  <si>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</si>
  <si>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</si>
  <si>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</si>
  <si>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</si>
  <si>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</si>
  <si>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</si>
  <si>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</si>
  <si>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</si>
  <si>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</si>
  <si>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</si>
  <si>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</si>
  <si>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</si>
  <si>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</si>
  <si>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</si>
  <si>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</si>
  <si>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</si>
  <si>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</si>
  <si>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</si>
  <si>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</si>
  <si>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</si>
  <si>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</si>
  <si>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</si>
  <si>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</si>
  <si>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</si>
  <si>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</si>
  <si>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</si>
  <si>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</si>
  <si>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</si>
  <si>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</si>
  <si>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</si>
  <si>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</si>
  <si>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</si>
  <si>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</si>
  <si>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</si>
  <si>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</si>
  <si>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</si>
  <si>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</si>
  <si>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</si>
  <si>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</si>
  <si>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</si>
  <si>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</si>
  <si>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</si>
  <si>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</si>
  <si>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</si>
  <si>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</si>
  <si>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</si>
  <si>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</si>
  <si>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</si>
  <si>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</si>
  <si>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</si>
  <si>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</si>
  <si>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</si>
  <si>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</si>
  <si>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</si>
  <si>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</si>
  <si>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</si>
  <si>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</si>
  <si>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</si>
  <si>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</si>
  <si>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</si>
  <si>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</si>
  <si>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</si>
  <si>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</si>
  <si>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</si>
  <si>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</si>
  <si>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</si>
  <si>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</si>
  <si>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</si>
  <si>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</si>
  <si>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</si>
  <si>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</si>
  <si>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</si>
  <si>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</si>
  <si>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</si>
  <si>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</si>
  <si>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</si>
  <si>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</si>
  <si>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</si>
  <si>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</si>
  <si>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</si>
  <si>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</si>
  <si>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</si>
  <si>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</si>
  <si>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</si>
  <si>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</si>
  <si>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</si>
  <si>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</si>
  <si>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</si>
  <si>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</si>
  <si>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</si>
  <si>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</si>
  <si>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</si>
  <si>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</si>
  <si>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</si>
  <si>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</si>
  <si>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</si>
  <si>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</si>
  <si>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</si>
  <si>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</si>
  <si>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</si>
  <si>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</si>
  <si>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</si>
  <si>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</si>
  <si>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</si>
  <si>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</si>
  <si>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</si>
  <si>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</si>
  <si>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</si>
  <si>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</si>
  <si>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</si>
  <si>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</si>
  <si>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</si>
  <si>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</si>
  <si>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</si>
  <si>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</si>
  <si>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</si>
  <si>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</si>
  <si>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</si>
  <si>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</si>
  <si>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</si>
  <si>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</si>
  <si>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</si>
  <si>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</si>
  <si>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</si>
  <si>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</si>
  <si>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</si>
  <si>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</si>
  <si>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</si>
  <si>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</si>
  <si>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</si>
  <si>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</si>
  <si>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</si>
  <si>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</si>
  <si>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</si>
  <si>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</si>
  <si>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</si>
  <si>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</si>
  <si>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</si>
  <si>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</si>
  <si>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</si>
  <si>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</si>
  <si>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</si>
  <si>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</si>
  <si>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</si>
  <si>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</si>
  <si>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</si>
  <si>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</si>
  <si>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</si>
  <si>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</si>
  <si>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</si>
  <si>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</si>
  <si>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</si>
  <si>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</si>
  <si>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</si>
  <si>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</si>
  <si>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</si>
  <si>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</si>
  <si>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</si>
  <si>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</si>
  <si>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</si>
  <si>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</si>
  <si>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</si>
  <si>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</si>
  <si>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</si>
  <si>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</si>
  <si>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</si>
  <si>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</si>
  <si>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</si>
  <si>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</si>
  <si>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</si>
  <si>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</si>
  <si>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</si>
  <si>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</si>
  <si>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</si>
  <si>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</si>
  <si>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</si>
  <si>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</si>
  <si>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</si>
  <si>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</si>
  <si>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</si>
  <si>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</si>
  <si>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</si>
  <si>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</si>
  <si>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</si>
  <si>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</si>
  <si>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</si>
  <si>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</si>
  <si>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</si>
  <si>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</si>
  <si>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</si>
  <si>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</si>
  <si>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</si>
  <si>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</si>
  <si>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</si>
  <si>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</si>
  <si>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</si>
  <si>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</si>
  <si>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</si>
  <si>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</si>
  <si>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05.11.2025 00.00</t>
  </si>
  <si>
    <t>12.11.2025 11.27</t>
  </si>
  <si>
    <t>12.11.2025 12.41</t>
  </si>
  <si>
    <t>24.11.2025 13.47</t>
  </si>
  <si>
    <t>24.11.2025 16.10</t>
  </si>
  <si>
    <t>01/11/2025 00:15 - 31/10/2022 00:00</t>
  </si>
  <si>
    <t>01/11/2025 00:15</t>
  </si>
  <si>
    <t>01/11/2025 00:30</t>
  </si>
  <si>
    <t>01/11/2025 00:45</t>
  </si>
  <si>
    <t>01/11/2025 01:00</t>
  </si>
  <si>
    <t>01/11/2025 01:15</t>
  </si>
  <si>
    <t>01/11/2025 01:30</t>
  </si>
  <si>
    <t>01/11/2025 01:45</t>
  </si>
  <si>
    <t>01/11/2025 02:00</t>
  </si>
  <si>
    <t>01/11/2025 02:15</t>
  </si>
  <si>
    <t>01/11/2025 02:30</t>
  </si>
  <si>
    <t>01/11/2025 02:45</t>
  </si>
  <si>
    <t>01/11/2025 03:00</t>
  </si>
  <si>
    <t>01/11/2025 03:15</t>
  </si>
  <si>
    <t>01/11/2025 03:30</t>
  </si>
  <si>
    <t>01/11/2025 03:45</t>
  </si>
  <si>
    <t>01/11/2025 04:00</t>
  </si>
  <si>
    <t>01/11/2025 04:15</t>
  </si>
  <si>
    <t>01/11/2025 04:30</t>
  </si>
  <si>
    <t>01/11/2025 04:45</t>
  </si>
  <si>
    <t>01/11/2025 05:00</t>
  </si>
  <si>
    <t>01/11/2025 05:15</t>
  </si>
  <si>
    <t>01/11/2025 05:30</t>
  </si>
  <si>
    <t>01/11/2025 05:45</t>
  </si>
  <si>
    <t>01/11/2025 06:00</t>
  </si>
  <si>
    <t>01/11/2025 06:15</t>
  </si>
  <si>
    <t>01/11/2025 06:30</t>
  </si>
  <si>
    <t>01/11/2025 06:45</t>
  </si>
  <si>
    <t>01/11/2025 07:00</t>
  </si>
  <si>
    <t>01/11/2025 07:15</t>
  </si>
  <si>
    <t>01/11/2025 07:30</t>
  </si>
  <si>
    <t>01/11/2025 07:45</t>
  </si>
  <si>
    <t>01/11/2025 08:00</t>
  </si>
  <si>
    <t>01/11/2025 08:15</t>
  </si>
  <si>
    <t>01/11/2025 08:30</t>
  </si>
  <si>
    <t>01/11/2025 08:45</t>
  </si>
  <si>
    <t>01/11/2025 09:00</t>
  </si>
  <si>
    <t>01/11/2025 09:15</t>
  </si>
  <si>
    <t>01/11/2025 09:30</t>
  </si>
  <si>
    <t>01/11/2025 09:45</t>
  </si>
  <si>
    <t>01/11/2025 10:00</t>
  </si>
  <si>
    <t>01/11/2025 10:15</t>
  </si>
  <si>
    <t>01/11/2025 10:30</t>
  </si>
  <si>
    <t>01/11/2025 10:45</t>
  </si>
  <si>
    <t>01/11/2025 11:00</t>
  </si>
  <si>
    <t>01/11/2025 11:15</t>
  </si>
  <si>
    <t>01/11/2025 11:30</t>
  </si>
  <si>
    <t>01/11/2025 11:45</t>
  </si>
  <si>
    <t>01/11/2025 12:00</t>
  </si>
  <si>
    <t>01/11/2025 12:15</t>
  </si>
  <si>
    <t>01/11/2025 12:30</t>
  </si>
  <si>
    <t>01/11/2025 12:45</t>
  </si>
  <si>
    <t>01/11/2025 13:00</t>
  </si>
  <si>
    <t>01/11/2025 13:15</t>
  </si>
  <si>
    <t>01/11/2025 13:30</t>
  </si>
  <si>
    <t>01/11/2025 13:45</t>
  </si>
  <si>
    <t>01/11/2025 14:00</t>
  </si>
  <si>
    <t>01/11/2025 14:15</t>
  </si>
  <si>
    <t>01/11/2025 14:30</t>
  </si>
  <si>
    <t>01/11/2025 14:45</t>
  </si>
  <si>
    <t>01/11/2025 15:00</t>
  </si>
  <si>
    <t>01/11/2025 15:15</t>
  </si>
  <si>
    <t>01/11/2025 15:30</t>
  </si>
  <si>
    <t>01/11/2025 15:45</t>
  </si>
  <si>
    <t>01/11/2025 16:00</t>
  </si>
  <si>
    <t>01/11/2025 16:15</t>
  </si>
  <si>
    <t>01/11/2025 16:30</t>
  </si>
  <si>
    <t>01/11/2025 16:45</t>
  </si>
  <si>
    <t>01/11/2025 17:00</t>
  </si>
  <si>
    <t>01/11/2025 17:15</t>
  </si>
  <si>
    <t>01/11/2025 17:30</t>
  </si>
  <si>
    <t>01/11/2025 17:45</t>
  </si>
  <si>
    <t>01/11/2025 18:00</t>
  </si>
  <si>
    <t>01/11/2025 18:15</t>
  </si>
  <si>
    <t>01/11/2025 18:30</t>
  </si>
  <si>
    <t>01/11/2025 18:45</t>
  </si>
  <si>
    <t>01/11/2025 19:00</t>
  </si>
  <si>
    <t>01/11/2025 19:15</t>
  </si>
  <si>
    <t>01/11/2025 19:30</t>
  </si>
  <si>
    <t>01/11/2025 19:45</t>
  </si>
  <si>
    <t>01/11/2025 20:00</t>
  </si>
  <si>
    <t>01/11/2025 20:15</t>
  </si>
  <si>
    <t>01/11/2025 20:30</t>
  </si>
  <si>
    <t>01/11/2025 20:45</t>
  </si>
  <si>
    <t>01/11/2025 21:00</t>
  </si>
  <si>
    <t>01/11/2025 21:15</t>
  </si>
  <si>
    <t>01/11/2025 21:30</t>
  </si>
  <si>
    <t>01/11/2025 21:45</t>
  </si>
  <si>
    <t>01/11/2025 22:00</t>
  </si>
  <si>
    <t>01/11/2025 22:15</t>
  </si>
  <si>
    <t>01/11/2025 22:30</t>
  </si>
  <si>
    <t>01/11/2025 22:45</t>
  </si>
  <si>
    <t>01/11/2025 23:00</t>
  </si>
  <si>
    <t>01/11/2025 23:15</t>
  </si>
  <si>
    <t>01/11/2025 23:30</t>
  </si>
  <si>
    <t>01/11/2025 23:45</t>
  </si>
  <si>
    <t>01/11/2025 24:00</t>
  </si>
  <si>
    <t>02/11/2025 00:15</t>
  </si>
  <si>
    <t>02/11/2025 00:30</t>
  </si>
  <si>
    <t>02/11/2025 00:45</t>
  </si>
  <si>
    <t>02/11/2025 01:00</t>
  </si>
  <si>
    <t>02/11/2025 01:15</t>
  </si>
  <si>
    <t>02/11/2025 01:30</t>
  </si>
  <si>
    <t>02/11/2025 01:45</t>
  </si>
  <si>
    <t>02/11/2025 02:00</t>
  </si>
  <si>
    <t>02/11/2025 02:15</t>
  </si>
  <si>
    <t>02/11/2025 02:30</t>
  </si>
  <si>
    <t>02/11/2025 02:45</t>
  </si>
  <si>
    <t>02/11/2025 03:00</t>
  </si>
  <si>
    <t>02/11/2025 03:15</t>
  </si>
  <si>
    <t>02/11/2025 03:30</t>
  </si>
  <si>
    <t>02/11/2025 03:45</t>
  </si>
  <si>
    <t>02/11/2025 04:00</t>
  </si>
  <si>
    <t>02/11/2025 04:15</t>
  </si>
  <si>
    <t>02/11/2025 04:30</t>
  </si>
  <si>
    <t>02/11/2025 04:45</t>
  </si>
  <si>
    <t>02/11/2025 05:00</t>
  </si>
  <si>
    <t>02/11/2025 05:15</t>
  </si>
  <si>
    <t>02/11/2025 05:30</t>
  </si>
  <si>
    <t>02/11/2025 05:45</t>
  </si>
  <si>
    <t>02/11/2025 06:00</t>
  </si>
  <si>
    <t>02/11/2025 06:15</t>
  </si>
  <si>
    <t>02/11/2025 06:30</t>
  </si>
  <si>
    <t>02/11/2025 06:45</t>
  </si>
  <si>
    <t>02/11/2025 07:00</t>
  </si>
  <si>
    <t>02/11/2025 07:15</t>
  </si>
  <si>
    <t>02/11/2025 07:30</t>
  </si>
  <si>
    <t>02/11/2025 07:45</t>
  </si>
  <si>
    <t>02/11/2025 08:00</t>
  </si>
  <si>
    <t>02/11/2025 08:15</t>
  </si>
  <si>
    <t>02/11/2025 08:30</t>
  </si>
  <si>
    <t>02/11/2025 08:45</t>
  </si>
  <si>
    <t>02/11/2025 09:00</t>
  </si>
  <si>
    <t>02/11/2025 09:15</t>
  </si>
  <si>
    <t>02/11/2025 09:30</t>
  </si>
  <si>
    <t>02/11/2025 09:45</t>
  </si>
  <si>
    <t>02/11/2025 10:00</t>
  </si>
  <si>
    <t>02/11/2025 10:15</t>
  </si>
  <si>
    <t>02/11/2025 10:30</t>
  </si>
  <si>
    <t>02/11/2025 10:45</t>
  </si>
  <si>
    <t>02/11/2025 11:00</t>
  </si>
  <si>
    <t>02/11/2025 11:15</t>
  </si>
  <si>
    <t>02/11/2025 11:30</t>
  </si>
  <si>
    <t>02/11/2025 11:45</t>
  </si>
  <si>
    <t>02/11/2025 12:00</t>
  </si>
  <si>
    <t>02/11/2025 12:15</t>
  </si>
  <si>
    <t>02/11/2025 12:30</t>
  </si>
  <si>
    <t>02/11/2025 12:45</t>
  </si>
  <si>
    <t>02/11/2025 13:00</t>
  </si>
  <si>
    <t>02/11/2025 13:15</t>
  </si>
  <si>
    <t>02/11/2025 13:30</t>
  </si>
  <si>
    <t>02/11/2025 13:45</t>
  </si>
  <si>
    <t>02/11/2025 14:00</t>
  </si>
  <si>
    <t>02/11/2025 14:15</t>
  </si>
  <si>
    <t>02/11/2025 14:30</t>
  </si>
  <si>
    <t>02/11/2025 14:45</t>
  </si>
  <si>
    <t>02/11/2025 15:00</t>
  </si>
  <si>
    <t>02/11/2025 15:15</t>
  </si>
  <si>
    <t>02/11/2025 15:30</t>
  </si>
  <si>
    <t>02/11/2025 15:45</t>
  </si>
  <si>
    <t>02/11/2025 16:00</t>
  </si>
  <si>
    <t>02/11/2025 16:15</t>
  </si>
  <si>
    <t>02/11/2025 16:30</t>
  </si>
  <si>
    <t>02/11/2025 16:45</t>
  </si>
  <si>
    <t>02/11/2025 17:00</t>
  </si>
  <si>
    <t>02/11/2025 17:15</t>
  </si>
  <si>
    <t>02/11/2025 17:30</t>
  </si>
  <si>
    <t>02/11/2025 17:45</t>
  </si>
  <si>
    <t>02/11/2025 18:00</t>
  </si>
  <si>
    <t>02/11/2025 18:15</t>
  </si>
  <si>
    <t>02/11/2025 18:30</t>
  </si>
  <si>
    <t>02/11/2025 18:45</t>
  </si>
  <si>
    <t>02/11/2025 19:00</t>
  </si>
  <si>
    <t>02/11/2025 19:15</t>
  </si>
  <si>
    <t>02/11/2025 19:30</t>
  </si>
  <si>
    <t>02/11/2025 19:45</t>
  </si>
  <si>
    <t>02/11/2025 20:00</t>
  </si>
  <si>
    <t>02/11/2025 20:15</t>
  </si>
  <si>
    <t>02/11/2025 20:30</t>
  </si>
  <si>
    <t>02/11/2025 20:45</t>
  </si>
  <si>
    <t>02/11/2025 21:00</t>
  </si>
  <si>
    <t>02/11/2025 21:15</t>
  </si>
  <si>
    <t>02/11/2025 21:30</t>
  </si>
  <si>
    <t>02/11/2025 21:45</t>
  </si>
  <si>
    <t>02/11/2025 22:00</t>
  </si>
  <si>
    <t>02/11/2025 22:15</t>
  </si>
  <si>
    <t>02/11/2025 22:30</t>
  </si>
  <si>
    <t>02/11/2025 22:45</t>
  </si>
  <si>
    <t>02/11/2025 23:00</t>
  </si>
  <si>
    <t>02/11/2025 23:15</t>
  </si>
  <si>
    <t>02/11/2025 23:30</t>
  </si>
  <si>
    <t>02/11/2025 23:45</t>
  </si>
  <si>
    <t>02/11/2025 24:00</t>
  </si>
  <si>
    <t>03/11/2025 00:15</t>
  </si>
  <si>
    <t>03/11/2025 00:30</t>
  </si>
  <si>
    <t>03/11/2025 00:45</t>
  </si>
  <si>
    <t>03/11/2025 01:00</t>
  </si>
  <si>
    <t>03/11/2025 01:15</t>
  </si>
  <si>
    <t>03/11/2025 01:30</t>
  </si>
  <si>
    <t>03/11/2025 01:45</t>
  </si>
  <si>
    <t>03/11/2025 02:00</t>
  </si>
  <si>
    <t>03/11/2025 02:15</t>
  </si>
  <si>
    <t>03/11/2025 02:30</t>
  </si>
  <si>
    <t>03/11/2025 02:45</t>
  </si>
  <si>
    <t>03/11/2025 03:00</t>
  </si>
  <si>
    <t>03/11/2025 03:15</t>
  </si>
  <si>
    <t>03/11/2025 03:30</t>
  </si>
  <si>
    <t>03/11/2025 03:45</t>
  </si>
  <si>
    <t>03/11/2025 04:00</t>
  </si>
  <si>
    <t>03/11/2025 04:15</t>
  </si>
  <si>
    <t>03/11/2025 04:30</t>
  </si>
  <si>
    <t>03/11/2025 04:45</t>
  </si>
  <si>
    <t>03/11/2025 05:00</t>
  </si>
  <si>
    <t>03/11/2025 05:15</t>
  </si>
  <si>
    <t>03/11/2025 05:30</t>
  </si>
  <si>
    <t>03/11/2025 05:45</t>
  </si>
  <si>
    <t>03/11/2025 06:00</t>
  </si>
  <si>
    <t>03/11/2025 06:15</t>
  </si>
  <si>
    <t>03/11/2025 06:30</t>
  </si>
  <si>
    <t>03/11/2025 06:45</t>
  </si>
  <si>
    <t>03/11/2025 07:00</t>
  </si>
  <si>
    <t>03/11/2025 07:15</t>
  </si>
  <si>
    <t>03/11/2025 07:30</t>
  </si>
  <si>
    <t>03/11/2025 07:45</t>
  </si>
  <si>
    <t>03/11/2025 08:00</t>
  </si>
  <si>
    <t>03/11/2025 08:15</t>
  </si>
  <si>
    <t>03/11/2025 08:30</t>
  </si>
  <si>
    <t>03/11/2025 08:45</t>
  </si>
  <si>
    <t>03/11/2025 09:00</t>
  </si>
  <si>
    <t>03/11/2025 09:15</t>
  </si>
  <si>
    <t>03/11/2025 09:30</t>
  </si>
  <si>
    <t>03/11/2025 09:45</t>
  </si>
  <si>
    <t>03/11/2025 10:00</t>
  </si>
  <si>
    <t>03/11/2025 10:15</t>
  </si>
  <si>
    <t>03/11/2025 10:30</t>
  </si>
  <si>
    <t>03/11/2025 10:45</t>
  </si>
  <si>
    <t>03/11/2025 11:00</t>
  </si>
  <si>
    <t>03/11/2025 11:15</t>
  </si>
  <si>
    <t>03/11/2025 11:30</t>
  </si>
  <si>
    <t>03/11/2025 11:45</t>
  </si>
  <si>
    <t>03/11/2025 12:00</t>
  </si>
  <si>
    <t>03/11/2025 12:15</t>
  </si>
  <si>
    <t>03/11/2025 12:30</t>
  </si>
  <si>
    <t>03/11/2025 12:45</t>
  </si>
  <si>
    <t>03/11/2025 13:00</t>
  </si>
  <si>
    <t>03/11/2025 13:15</t>
  </si>
  <si>
    <t>03/11/2025 13:30</t>
  </si>
  <si>
    <t>03/11/2025 13:45</t>
  </si>
  <si>
    <t>03/11/2025 14:00</t>
  </si>
  <si>
    <t>03/11/2025 14:15</t>
  </si>
  <si>
    <t>03/11/2025 14:30</t>
  </si>
  <si>
    <t>03/11/2025 14:45</t>
  </si>
  <si>
    <t>03/11/2025 15:00</t>
  </si>
  <si>
    <t>03/11/2025 15:15</t>
  </si>
  <si>
    <t>03/11/2025 15:30</t>
  </si>
  <si>
    <t>03/11/2025 15:45</t>
  </si>
  <si>
    <t>03/11/2025 16:00</t>
  </si>
  <si>
    <t>03/11/2025 16:15</t>
  </si>
  <si>
    <t>03/11/2025 16:30</t>
  </si>
  <si>
    <t>03/11/2025 16:45</t>
  </si>
  <si>
    <t>03/11/2025 17:00</t>
  </si>
  <si>
    <t>03/11/2025 17:15</t>
  </si>
  <si>
    <t>03/11/2025 17:30</t>
  </si>
  <si>
    <t>03/11/2025 17:45</t>
  </si>
  <si>
    <t>03/11/2025 18:00</t>
  </si>
  <si>
    <t>03/11/2025 18:15</t>
  </si>
  <si>
    <t>03/11/2025 18:30</t>
  </si>
  <si>
    <t>03/11/2025 18:45</t>
  </si>
  <si>
    <t>03/11/2025 19:00</t>
  </si>
  <si>
    <t>03/11/2025 19:15</t>
  </si>
  <si>
    <t>03/11/2025 19:30</t>
  </si>
  <si>
    <t>03/11/2025 19:45</t>
  </si>
  <si>
    <t>03/11/2025 20:00</t>
  </si>
  <si>
    <t>03/11/2025 20:15</t>
  </si>
  <si>
    <t>03/11/2025 20:30</t>
  </si>
  <si>
    <t>03/11/2025 20:45</t>
  </si>
  <si>
    <t>03/11/2025 21:00</t>
  </si>
  <si>
    <t>03/11/2025 21:15</t>
  </si>
  <si>
    <t>03/11/2025 21:30</t>
  </si>
  <si>
    <t>03/11/2025 21:45</t>
  </si>
  <si>
    <t>03/11/2025 22:00</t>
  </si>
  <si>
    <t>03/11/2025 22:15</t>
  </si>
  <si>
    <t>03/11/2025 22:30</t>
  </si>
  <si>
    <t>03/11/2025 22:45</t>
  </si>
  <si>
    <t>03/11/2025 23:00</t>
  </si>
  <si>
    <t>03/11/2025 23:15</t>
  </si>
  <si>
    <t>03/11/2025 23:30</t>
  </si>
  <si>
    <t>03/11/2025 23:45</t>
  </si>
  <si>
    <t>03/11/2025 24:00</t>
  </si>
  <si>
    <t>04/11/2025 00:15</t>
  </si>
  <si>
    <t>04/11/2025 00:30</t>
  </si>
  <si>
    <t>04/11/2025 00:45</t>
  </si>
  <si>
    <t>04/11/2025 01:00</t>
  </si>
  <si>
    <t>04/11/2025 01:15</t>
  </si>
  <si>
    <t>04/11/2025 01:30</t>
  </si>
  <si>
    <t>04/11/2025 01:45</t>
  </si>
  <si>
    <t>04/11/2025 02:00</t>
  </si>
  <si>
    <t>04/11/2025 02:15</t>
  </si>
  <si>
    <t>04/11/2025 02:30</t>
  </si>
  <si>
    <t>04/11/2025 02:45</t>
  </si>
  <si>
    <t>04/11/2025 03:00</t>
  </si>
  <si>
    <t>04/11/2025 03:15</t>
  </si>
  <si>
    <t>04/11/2025 03:30</t>
  </si>
  <si>
    <t>04/11/2025 03:45</t>
  </si>
  <si>
    <t>04/11/2025 04:00</t>
  </si>
  <si>
    <t>04/11/2025 04:15</t>
  </si>
  <si>
    <t>04/11/2025 04:30</t>
  </si>
  <si>
    <t>04/11/2025 04:45</t>
  </si>
  <si>
    <t>04/11/2025 05:00</t>
  </si>
  <si>
    <t>04/11/2025 05:15</t>
  </si>
  <si>
    <t>04/11/2025 05:30</t>
  </si>
  <si>
    <t>04/11/2025 05:45</t>
  </si>
  <si>
    <t>04/11/2025 06:00</t>
  </si>
  <si>
    <t>04/11/2025 06:15</t>
  </si>
  <si>
    <t>04/11/2025 06:30</t>
  </si>
  <si>
    <t>04/11/2025 06:45</t>
  </si>
  <si>
    <t>04/11/2025 07:00</t>
  </si>
  <si>
    <t>04/11/2025 07:15</t>
  </si>
  <si>
    <t>04/11/2025 07:30</t>
  </si>
  <si>
    <t>04/11/2025 07:45</t>
  </si>
  <si>
    <t>04/11/2025 08:00</t>
  </si>
  <si>
    <t>04/11/2025 08:15</t>
  </si>
  <si>
    <t>04/11/2025 08:30</t>
  </si>
  <si>
    <t>04/11/2025 08:45</t>
  </si>
  <si>
    <t>04/11/2025 09:00</t>
  </si>
  <si>
    <t>04/11/2025 09:15</t>
  </si>
  <si>
    <t>04/11/2025 09:30</t>
  </si>
  <si>
    <t>04/11/2025 09:45</t>
  </si>
  <si>
    <t>04/11/2025 10:00</t>
  </si>
  <si>
    <t>04/11/2025 10:15</t>
  </si>
  <si>
    <t>04/11/2025 10:30</t>
  </si>
  <si>
    <t>04/11/2025 10:45</t>
  </si>
  <si>
    <t>04/11/2025 11:00</t>
  </si>
  <si>
    <t>04/11/2025 11:15</t>
  </si>
  <si>
    <t>04/11/2025 11:30</t>
  </si>
  <si>
    <t>04/11/2025 11:45</t>
  </si>
  <si>
    <t>04/11/2025 12:00</t>
  </si>
  <si>
    <t>04/11/2025 12:15</t>
  </si>
  <si>
    <t>04/11/2025 12:30</t>
  </si>
  <si>
    <t>04/11/2025 12:45</t>
  </si>
  <si>
    <t>04/11/2025 13:00</t>
  </si>
  <si>
    <t>04/11/2025 13:15</t>
  </si>
  <si>
    <t>04/11/2025 13:30</t>
  </si>
  <si>
    <t>04/11/2025 13:45</t>
  </si>
  <si>
    <t>04/11/2025 14:00</t>
  </si>
  <si>
    <t>04/11/2025 14:15</t>
  </si>
  <si>
    <t>04/11/2025 14:30</t>
  </si>
  <si>
    <t>04/11/2025 14:45</t>
  </si>
  <si>
    <t>04/11/2025 15:00</t>
  </si>
  <si>
    <t>04/11/2025 15:15</t>
  </si>
  <si>
    <t>04/11/2025 15:30</t>
  </si>
  <si>
    <t>04/11/2025 15:45</t>
  </si>
  <si>
    <t>04/11/2025 16:00</t>
  </si>
  <si>
    <t>04/11/2025 16:15</t>
  </si>
  <si>
    <t>04/11/2025 16:30</t>
  </si>
  <si>
    <t>04/11/2025 16:45</t>
  </si>
  <si>
    <t>04/11/2025 17:00</t>
  </si>
  <si>
    <t>04/11/2025 17:15</t>
  </si>
  <si>
    <t>04/11/2025 17:30</t>
  </si>
  <si>
    <t>04/11/2025 17:45</t>
  </si>
  <si>
    <t>04/11/2025 18:00</t>
  </si>
  <si>
    <t>04/11/2025 18:15</t>
  </si>
  <si>
    <t>04/11/2025 18:30</t>
  </si>
  <si>
    <t>04/11/2025 18:45</t>
  </si>
  <si>
    <t>04/11/2025 19:00</t>
  </si>
  <si>
    <t>04/11/2025 19:15</t>
  </si>
  <si>
    <t>04/11/2025 19:30</t>
  </si>
  <si>
    <t>04/11/2025 19:45</t>
  </si>
  <si>
    <t>04/11/2025 20:00</t>
  </si>
  <si>
    <t>04/11/2025 20:15</t>
  </si>
  <si>
    <t>04/11/2025 20:30</t>
  </si>
  <si>
    <t>04/11/2025 20:45</t>
  </si>
  <si>
    <t>04/11/2025 21:00</t>
  </si>
  <si>
    <t>04/11/2025 21:15</t>
  </si>
  <si>
    <t>04/11/2025 21:30</t>
  </si>
  <si>
    <t>04/11/2025 21:45</t>
  </si>
  <si>
    <t>04/11/2025 22:00</t>
  </si>
  <si>
    <t>04/11/2025 22:15</t>
  </si>
  <si>
    <t>04/11/2025 22:30</t>
  </si>
  <si>
    <t>04/11/2025 22:45</t>
  </si>
  <si>
    <t>04/11/2025 23:00</t>
  </si>
  <si>
    <t>04/11/2025 23:15</t>
  </si>
  <si>
    <t>04/11/2025 23:30</t>
  </si>
  <si>
    <t>04/11/2025 23:45</t>
  </si>
  <si>
    <t>04/11/2025 24:00</t>
  </si>
  <si>
    <t>05/11/2025 00:15</t>
  </si>
  <si>
    <t>05/11/2025 00:30</t>
  </si>
  <si>
    <t>05/11/2025 00:45</t>
  </si>
  <si>
    <t>05/11/2025 01:00</t>
  </si>
  <si>
    <t>05/11/2025 01:15</t>
  </si>
  <si>
    <t>05/11/2025 01:30</t>
  </si>
  <si>
    <t>05/11/2025 01:45</t>
  </si>
  <si>
    <t>05/11/2025 02:00</t>
  </si>
  <si>
    <t>05/11/2025 02:15</t>
  </si>
  <si>
    <t>05/11/2025 02:30</t>
  </si>
  <si>
    <t>05/11/2025 02:45</t>
  </si>
  <si>
    <t>05/11/2025 03:00</t>
  </si>
  <si>
    <t>05/11/2025 03:15</t>
  </si>
  <si>
    <t>05/11/2025 03:30</t>
  </si>
  <si>
    <t>05/11/2025 03:45</t>
  </si>
  <si>
    <t>05/11/2025 04:00</t>
  </si>
  <si>
    <t>05/11/2025 04:15</t>
  </si>
  <si>
    <t>05/11/2025 04:30</t>
  </si>
  <si>
    <t>05/11/2025 04:45</t>
  </si>
  <si>
    <t>05/11/2025 05:00</t>
  </si>
  <si>
    <t>05/11/2025 05:15</t>
  </si>
  <si>
    <t>05/11/2025 05:30</t>
  </si>
  <si>
    <t>05/11/2025 05:45</t>
  </si>
  <si>
    <t>05/11/2025 06:00</t>
  </si>
  <si>
    <t>05/11/2025 06:15</t>
  </si>
  <si>
    <t>05/11/2025 06:30</t>
  </si>
  <si>
    <t>05/11/2025 06:45</t>
  </si>
  <si>
    <t>05/11/2025 07:00</t>
  </si>
  <si>
    <t>05/11/2025 07:15</t>
  </si>
  <si>
    <t>05/11/2025 07:30</t>
  </si>
  <si>
    <t>05/11/2025 07:45</t>
  </si>
  <si>
    <t>05/11/2025 08:00</t>
  </si>
  <si>
    <t>05/11/2025 08:15</t>
  </si>
  <si>
    <t>05/11/2025 08:30</t>
  </si>
  <si>
    <t>05/11/2025 08:45</t>
  </si>
  <si>
    <t>05/11/2025 09:00</t>
  </si>
  <si>
    <t>05/11/2025 09:15</t>
  </si>
  <si>
    <t>05/11/2025 09:30</t>
  </si>
  <si>
    <t>05/11/2025 09:45</t>
  </si>
  <si>
    <t>05/11/2025 10:00</t>
  </si>
  <si>
    <t>05/11/2025 10:15</t>
  </si>
  <si>
    <t>05/11/2025 10:30</t>
  </si>
  <si>
    <t>05/11/2025 10:45</t>
  </si>
  <si>
    <t>05/11/2025 11:00</t>
  </si>
  <si>
    <t>05/11/2025 11:15</t>
  </si>
  <si>
    <t>05/11/2025 11:30</t>
  </si>
  <si>
    <t>05/11/2025 11:45</t>
  </si>
  <si>
    <t>05/11/2025 12:00</t>
  </si>
  <si>
    <t>05/11/2025 12:15</t>
  </si>
  <si>
    <t>05/11/2025 12:30</t>
  </si>
  <si>
    <t>05/11/2025 12:45</t>
  </si>
  <si>
    <t>05/11/2025 13:00</t>
  </si>
  <si>
    <t>05/11/2025 13:15</t>
  </si>
  <si>
    <t>05/11/2025 13:30</t>
  </si>
  <si>
    <t>05/11/2025 13:45</t>
  </si>
  <si>
    <t>05/11/2025 14:00</t>
  </si>
  <si>
    <t>05/11/2025 14:15</t>
  </si>
  <si>
    <t>05/11/2025 14:30</t>
  </si>
  <si>
    <t>05/11/2025 14:45</t>
  </si>
  <si>
    <t>05/11/2025 15:00</t>
  </si>
  <si>
    <t>05/11/2025 15:15</t>
  </si>
  <si>
    <t>05/11/2025 15:30</t>
  </si>
  <si>
    <t>05/11/2025 15:45</t>
  </si>
  <si>
    <t>05/11/2025 16:00</t>
  </si>
  <si>
    <t>05/11/2025 16:15</t>
  </si>
  <si>
    <t>05/11/2025 16:30</t>
  </si>
  <si>
    <t>05/11/2025 16:45</t>
  </si>
  <si>
    <t>05/11/2025 17:00</t>
  </si>
  <si>
    <t>05/11/2025 17:15</t>
  </si>
  <si>
    <t>05/11/2025 17:30</t>
  </si>
  <si>
    <t>05/11/2025 17:45</t>
  </si>
  <si>
    <t>05/11/2025 18:00</t>
  </si>
  <si>
    <t>05/11/2025 18:15</t>
  </si>
  <si>
    <t>05/11/2025 18:30</t>
  </si>
  <si>
    <t>05/11/2025 18:45</t>
  </si>
  <si>
    <t>05/11/2025 19:00</t>
  </si>
  <si>
    <t>05/11/2025 19:15</t>
  </si>
  <si>
    <t>05/11/2025 19:30</t>
  </si>
  <si>
    <t>05/11/2025 19:45</t>
  </si>
  <si>
    <t>05/11/2025 20:00</t>
  </si>
  <si>
    <t>05/11/2025 20:15</t>
  </si>
  <si>
    <t>05/11/2025 20:30</t>
  </si>
  <si>
    <t>05/11/2025 20:45</t>
  </si>
  <si>
    <t>05/11/2025 21:00</t>
  </si>
  <si>
    <t>05/11/2025 21:15</t>
  </si>
  <si>
    <t>05/11/2025 21:30</t>
  </si>
  <si>
    <t>05/11/2025 21:45</t>
  </si>
  <si>
    <t>05/11/2025 22:00</t>
  </si>
  <si>
    <t>05/11/2025 22:15</t>
  </si>
  <si>
    <t>05/11/2025 22:30</t>
  </si>
  <si>
    <t>05/11/2025 22:45</t>
  </si>
  <si>
    <t>05/11/2025 23:00</t>
  </si>
  <si>
    <t>05/11/2025 23:15</t>
  </si>
  <si>
    <t>05/11/2025 23:30</t>
  </si>
  <si>
    <t>05/11/2025 23:45</t>
  </si>
  <si>
    <t>05/11/2025 24:00</t>
  </si>
  <si>
    <t>06/11/2025 00:15</t>
  </si>
  <si>
    <t>06/11/2025 00:30</t>
  </si>
  <si>
    <t>06/11/2025 00:45</t>
  </si>
  <si>
    <t>06/11/2025 01:00</t>
  </si>
  <si>
    <t>06/11/2025 01:15</t>
  </si>
  <si>
    <t>06/11/2025 01:30</t>
  </si>
  <si>
    <t>06/11/2025 01:45</t>
  </si>
  <si>
    <t>06/11/2025 02:00</t>
  </si>
  <si>
    <t>06/11/2025 02:15</t>
  </si>
  <si>
    <t>06/11/2025 02:30</t>
  </si>
  <si>
    <t>06/11/2025 02:45</t>
  </si>
  <si>
    <t>06/11/2025 03:00</t>
  </si>
  <si>
    <t>06/11/2025 03:15</t>
  </si>
  <si>
    <t>06/11/2025 03:30</t>
  </si>
  <si>
    <t>06/11/2025 03:45</t>
  </si>
  <si>
    <t>06/11/2025 04:00</t>
  </si>
  <si>
    <t>06/11/2025 04:15</t>
  </si>
  <si>
    <t>06/11/2025 04:30</t>
  </si>
  <si>
    <t>06/11/2025 04:45</t>
  </si>
  <si>
    <t>06/11/2025 05:00</t>
  </si>
  <si>
    <t>06/11/2025 05:15</t>
  </si>
  <si>
    <t>06/11/2025 05:30</t>
  </si>
  <si>
    <t>06/11/2025 05:45</t>
  </si>
  <si>
    <t>06/11/2025 06:00</t>
  </si>
  <si>
    <t>06/11/2025 06:15</t>
  </si>
  <si>
    <t>06/11/2025 06:30</t>
  </si>
  <si>
    <t>06/11/2025 06:45</t>
  </si>
  <si>
    <t>06/11/2025 07:00</t>
  </si>
  <si>
    <t>06/11/2025 07:15</t>
  </si>
  <si>
    <t>06/11/2025 07:30</t>
  </si>
  <si>
    <t>06/11/2025 07:45</t>
  </si>
  <si>
    <t>06/11/2025 08:00</t>
  </si>
  <si>
    <t>06/11/2025 08:15</t>
  </si>
  <si>
    <t>06/11/2025 08:30</t>
  </si>
  <si>
    <t>06/11/2025 08:45</t>
  </si>
  <si>
    <t>06/11/2025 09:00</t>
  </si>
  <si>
    <t>06/11/2025 09:15</t>
  </si>
  <si>
    <t>06/11/2025 09:30</t>
  </si>
  <si>
    <t>06/11/2025 09:45</t>
  </si>
  <si>
    <t>06/11/2025 10:00</t>
  </si>
  <si>
    <t>06/11/2025 10:15</t>
  </si>
  <si>
    <t>06/11/2025 10:30</t>
  </si>
  <si>
    <t>06/11/2025 10:45</t>
  </si>
  <si>
    <t>06/11/2025 11:00</t>
  </si>
  <si>
    <t>06/11/2025 11:15</t>
  </si>
  <si>
    <t>06/11/2025 11:30</t>
  </si>
  <si>
    <t>06/11/2025 11:45</t>
  </si>
  <si>
    <t>06/11/2025 12:00</t>
  </si>
  <si>
    <t>06/11/2025 12:15</t>
  </si>
  <si>
    <t>06/11/2025 12:30</t>
  </si>
  <si>
    <t>06/11/2025 12:45</t>
  </si>
  <si>
    <t>06/11/2025 13:00</t>
  </si>
  <si>
    <t>06/11/2025 13:15</t>
  </si>
  <si>
    <t>06/11/2025 13:30</t>
  </si>
  <si>
    <t>06/11/2025 13:45</t>
  </si>
  <si>
    <t>06/11/2025 14:00</t>
  </si>
  <si>
    <t>06/11/2025 14:15</t>
  </si>
  <si>
    <t>06/11/2025 14:30</t>
  </si>
  <si>
    <t>06/11/2025 14:45</t>
  </si>
  <si>
    <t>06/11/2025 15:00</t>
  </si>
  <si>
    <t>06/11/2025 15:15</t>
  </si>
  <si>
    <t>06/11/2025 15:30</t>
  </si>
  <si>
    <t>06/11/2025 15:45</t>
  </si>
  <si>
    <t>06/11/2025 16:00</t>
  </si>
  <si>
    <t>06/11/2025 16:15</t>
  </si>
  <si>
    <t>06/11/2025 16:30</t>
  </si>
  <si>
    <t>06/11/2025 16:45</t>
  </si>
  <si>
    <t>06/11/2025 17:00</t>
  </si>
  <si>
    <t>06/11/2025 17:15</t>
  </si>
  <si>
    <t>06/11/2025 17:30</t>
  </si>
  <si>
    <t>06/11/2025 17:45</t>
  </si>
  <si>
    <t>06/11/2025 18:00</t>
  </si>
  <si>
    <t>06/11/2025 18:15</t>
  </si>
  <si>
    <t>06/11/2025 18:30</t>
  </si>
  <si>
    <t>06/11/2025 18:45</t>
  </si>
  <si>
    <t>06/11/2025 19:00</t>
  </si>
  <si>
    <t>06/11/2025 19:15</t>
  </si>
  <si>
    <t>06/11/2025 19:30</t>
  </si>
  <si>
    <t>06/11/2025 19:45</t>
  </si>
  <si>
    <t>06/11/2025 20:00</t>
  </si>
  <si>
    <t>06/11/2025 20:15</t>
  </si>
  <si>
    <t>06/11/2025 20:30</t>
  </si>
  <si>
    <t>06/11/2025 20:45</t>
  </si>
  <si>
    <t>06/11/2025 21:00</t>
  </si>
  <si>
    <t>06/11/2025 21:15</t>
  </si>
  <si>
    <t>06/11/2025 21:30</t>
  </si>
  <si>
    <t>06/11/2025 21:45</t>
  </si>
  <si>
    <t>06/11/2025 22:00</t>
  </si>
  <si>
    <t>06/11/2025 22:15</t>
  </si>
  <si>
    <t>06/11/2025 22:30</t>
  </si>
  <si>
    <t>06/11/2025 22:45</t>
  </si>
  <si>
    <t>06/11/2025 23:00</t>
  </si>
  <si>
    <t>06/11/2025 23:15</t>
  </si>
  <si>
    <t>06/11/2025 23:30</t>
  </si>
  <si>
    <t>06/11/2025 23:45</t>
  </si>
  <si>
    <t>06/11/2025 24:00</t>
  </si>
  <si>
    <t>07/11/2025 00:15</t>
  </si>
  <si>
    <t>07/11/2025 00:30</t>
  </si>
  <si>
    <t>07/11/2025 00:45</t>
  </si>
  <si>
    <t>07/11/2025 01:00</t>
  </si>
  <si>
    <t>07/11/2025 01:15</t>
  </si>
  <si>
    <t>07/11/2025 01:30</t>
  </si>
  <si>
    <t>07/11/2025 01:45</t>
  </si>
  <si>
    <t>07/11/2025 02:00</t>
  </si>
  <si>
    <t>07/11/2025 02:15</t>
  </si>
  <si>
    <t>07/11/2025 02:30</t>
  </si>
  <si>
    <t>07/11/2025 02:45</t>
  </si>
  <si>
    <t>07/11/2025 03:00</t>
  </si>
  <si>
    <t>07/11/2025 03:15</t>
  </si>
  <si>
    <t>07/11/2025 03:30</t>
  </si>
  <si>
    <t>07/11/2025 03:45</t>
  </si>
  <si>
    <t>07/11/2025 04:00</t>
  </si>
  <si>
    <t>07/11/2025 04:15</t>
  </si>
  <si>
    <t>07/11/2025 04:30</t>
  </si>
  <si>
    <t>07/11/2025 04:45</t>
  </si>
  <si>
    <t>07/11/2025 05:00</t>
  </si>
  <si>
    <t>07/11/2025 05:15</t>
  </si>
  <si>
    <t>07/11/2025 05:30</t>
  </si>
  <si>
    <t>07/11/2025 05:45</t>
  </si>
  <si>
    <t>07/11/2025 06:00</t>
  </si>
  <si>
    <t>07/11/2025 06:15</t>
  </si>
  <si>
    <t>07/11/2025 06:30</t>
  </si>
  <si>
    <t>07/11/2025 06:45</t>
  </si>
  <si>
    <t>07/11/2025 07:00</t>
  </si>
  <si>
    <t>07/11/2025 07:15</t>
  </si>
  <si>
    <t>07/11/2025 07:30</t>
  </si>
  <si>
    <t>07/11/2025 07:45</t>
  </si>
  <si>
    <t>07/11/2025 08:00</t>
  </si>
  <si>
    <t>07/11/2025 08:15</t>
  </si>
  <si>
    <t>07/11/2025 08:30</t>
  </si>
  <si>
    <t>07/11/2025 08:45</t>
  </si>
  <si>
    <t>07/11/2025 09:00</t>
  </si>
  <si>
    <t>07/11/2025 09:15</t>
  </si>
  <si>
    <t>07/11/2025 09:30</t>
  </si>
  <si>
    <t>07/11/2025 09:45</t>
  </si>
  <si>
    <t>07/11/2025 10:00</t>
  </si>
  <si>
    <t>07/11/2025 10:15</t>
  </si>
  <si>
    <t>07/11/2025 10:30</t>
  </si>
  <si>
    <t>07/11/2025 10:45</t>
  </si>
  <si>
    <t>07/11/2025 11:00</t>
  </si>
  <si>
    <t>07/11/2025 11:15</t>
  </si>
  <si>
    <t>07/11/2025 11:30</t>
  </si>
  <si>
    <t>07/11/2025 11:45</t>
  </si>
  <si>
    <t>07/11/2025 12:00</t>
  </si>
  <si>
    <t>07/11/2025 12:15</t>
  </si>
  <si>
    <t>07/11/2025 12:30</t>
  </si>
  <si>
    <t>07/11/2025 12:45</t>
  </si>
  <si>
    <t>07/11/2025 13:00</t>
  </si>
  <si>
    <t>07/11/2025 13:15</t>
  </si>
  <si>
    <t>07/11/2025 13:30</t>
  </si>
  <si>
    <t>07/11/2025 13:45</t>
  </si>
  <si>
    <t>07/11/2025 14:00</t>
  </si>
  <si>
    <t>07/11/2025 14:15</t>
  </si>
  <si>
    <t>07/11/2025 14:30</t>
  </si>
  <si>
    <t>07/11/2025 14:45</t>
  </si>
  <si>
    <t>07/11/2025 15:00</t>
  </si>
  <si>
    <t>07/11/2025 15:15</t>
  </si>
  <si>
    <t>07/11/2025 15:30</t>
  </si>
  <si>
    <t>07/11/2025 15:45</t>
  </si>
  <si>
    <t>07/11/2025 16:00</t>
  </si>
  <si>
    <t>07/11/2025 16:15</t>
  </si>
  <si>
    <t>07/11/2025 16:30</t>
  </si>
  <si>
    <t>07/11/2025 16:45</t>
  </si>
  <si>
    <t>07/11/2025 17:00</t>
  </si>
  <si>
    <t>07/11/2025 17:15</t>
  </si>
  <si>
    <t>07/11/2025 17:30</t>
  </si>
  <si>
    <t>07/11/2025 17:45</t>
  </si>
  <si>
    <t>07/11/2025 18:00</t>
  </si>
  <si>
    <t>07/11/2025 18:15</t>
  </si>
  <si>
    <t>07/11/2025 18:30</t>
  </si>
  <si>
    <t>07/11/2025 18:45</t>
  </si>
  <si>
    <t>07/11/2025 19:00</t>
  </si>
  <si>
    <t>07/11/2025 19:15</t>
  </si>
  <si>
    <t>07/11/2025 19:30</t>
  </si>
  <si>
    <t>07/11/2025 19:45</t>
  </si>
  <si>
    <t>07/11/2025 20:00</t>
  </si>
  <si>
    <t>07/11/2025 20:15</t>
  </si>
  <si>
    <t>07/11/2025 20:30</t>
  </si>
  <si>
    <t>07/11/2025 20:45</t>
  </si>
  <si>
    <t>07/11/2025 21:00</t>
  </si>
  <si>
    <t>07/11/2025 21:15</t>
  </si>
  <si>
    <t>07/11/2025 21:30</t>
  </si>
  <si>
    <t>07/11/2025 21:45</t>
  </si>
  <si>
    <t>07/11/2025 22:00</t>
  </si>
  <si>
    <t>07/11/2025 22:15</t>
  </si>
  <si>
    <t>07/11/2025 22:30</t>
  </si>
  <si>
    <t>07/11/2025 22:45</t>
  </si>
  <si>
    <t>07/11/2025 23:00</t>
  </si>
  <si>
    <t>07/11/2025 23:15</t>
  </si>
  <si>
    <t>07/11/2025 23:30</t>
  </si>
  <si>
    <t>07/11/2025 23:45</t>
  </si>
  <si>
    <t>07/11/2025 24:00</t>
  </si>
  <si>
    <t>08/11/2025 00:15</t>
  </si>
  <si>
    <t>08/11/2025 00:30</t>
  </si>
  <si>
    <t>08/11/2025 00:45</t>
  </si>
  <si>
    <t>08/11/2025 01:00</t>
  </si>
  <si>
    <t>08/11/2025 01:15</t>
  </si>
  <si>
    <t>08/11/2025 01:30</t>
  </si>
  <si>
    <t>08/11/2025 01:45</t>
  </si>
  <si>
    <t>08/11/2025 02:00</t>
  </si>
  <si>
    <t>08/11/2025 02:15</t>
  </si>
  <si>
    <t>08/11/2025 02:30</t>
  </si>
  <si>
    <t>08/11/2025 02:45</t>
  </si>
  <si>
    <t>08/11/2025 03:00</t>
  </si>
  <si>
    <t>08/11/2025 03:15</t>
  </si>
  <si>
    <t>08/11/2025 03:30</t>
  </si>
  <si>
    <t>08/11/2025 03:45</t>
  </si>
  <si>
    <t>08/11/2025 04:00</t>
  </si>
  <si>
    <t>08/11/2025 04:15</t>
  </si>
  <si>
    <t>08/11/2025 04:30</t>
  </si>
  <si>
    <t>08/11/2025 04:45</t>
  </si>
  <si>
    <t>08/11/2025 05:00</t>
  </si>
  <si>
    <t>08/11/2025 05:15</t>
  </si>
  <si>
    <t>08/11/2025 05:30</t>
  </si>
  <si>
    <t>08/11/2025 05:45</t>
  </si>
  <si>
    <t>08/11/2025 06:00</t>
  </si>
  <si>
    <t>08/11/2025 06:15</t>
  </si>
  <si>
    <t>08/11/2025 06:30</t>
  </si>
  <si>
    <t>08/11/2025 06:45</t>
  </si>
  <si>
    <t>08/11/2025 07:00</t>
  </si>
  <si>
    <t>08/11/2025 07:15</t>
  </si>
  <si>
    <t>08/11/2025 07:30</t>
  </si>
  <si>
    <t>08/11/2025 07:45</t>
  </si>
  <si>
    <t>08/11/2025 08:00</t>
  </si>
  <si>
    <t>08/11/2025 08:15</t>
  </si>
  <si>
    <t>08/11/2025 08:30</t>
  </si>
  <si>
    <t>08/11/2025 08:45</t>
  </si>
  <si>
    <t>08/11/2025 09:00</t>
  </si>
  <si>
    <t>08/11/2025 09:15</t>
  </si>
  <si>
    <t>08/11/2025 09:30</t>
  </si>
  <si>
    <t>08/11/2025 09:45</t>
  </si>
  <si>
    <t>08/11/2025 10:00</t>
  </si>
  <si>
    <t>08/11/2025 10:15</t>
  </si>
  <si>
    <t>08/11/2025 10:30</t>
  </si>
  <si>
    <t>08/11/2025 10:45</t>
  </si>
  <si>
    <t>08/11/2025 11:00</t>
  </si>
  <si>
    <t>08/11/2025 11:15</t>
  </si>
  <si>
    <t>08/11/2025 11:30</t>
  </si>
  <si>
    <t>08/11/2025 11:45</t>
  </si>
  <si>
    <t>08/11/2025 12:00</t>
  </si>
  <si>
    <t>08/11/2025 12:15</t>
  </si>
  <si>
    <t>08/11/2025 12:30</t>
  </si>
  <si>
    <t>08/11/2025 12:45</t>
  </si>
  <si>
    <t>08/11/2025 13:00</t>
  </si>
  <si>
    <t>08/11/2025 13:15</t>
  </si>
  <si>
    <t>08/11/2025 13:30</t>
  </si>
  <si>
    <t>08/11/2025 13:45</t>
  </si>
  <si>
    <t>08/11/2025 14:00</t>
  </si>
  <si>
    <t>08/11/2025 14:15</t>
  </si>
  <si>
    <t>08/11/2025 14:30</t>
  </si>
  <si>
    <t>08/11/2025 14:45</t>
  </si>
  <si>
    <t>08/11/2025 15:00</t>
  </si>
  <si>
    <t>08/11/2025 15:15</t>
  </si>
  <si>
    <t>08/11/2025 15:30</t>
  </si>
  <si>
    <t>08/11/2025 15:45</t>
  </si>
  <si>
    <t>08/11/2025 16:00</t>
  </si>
  <si>
    <t>08/11/2025 16:15</t>
  </si>
  <si>
    <t>08/11/2025 16:30</t>
  </si>
  <si>
    <t>08/11/2025 16:45</t>
  </si>
  <si>
    <t>08/11/2025 17:00</t>
  </si>
  <si>
    <t>08/11/2025 17:15</t>
  </si>
  <si>
    <t>08/11/2025 17:30</t>
  </si>
  <si>
    <t>08/11/2025 17:45</t>
  </si>
  <si>
    <t>08/11/2025 18:00</t>
  </si>
  <si>
    <t>08/11/2025 18:15</t>
  </si>
  <si>
    <t>08/11/2025 18:30</t>
  </si>
  <si>
    <t>08/11/2025 18:45</t>
  </si>
  <si>
    <t>08/11/2025 19:00</t>
  </si>
  <si>
    <t>08/11/2025 19:15</t>
  </si>
  <si>
    <t>08/11/2025 19:30</t>
  </si>
  <si>
    <t>08/11/2025 19:45</t>
  </si>
  <si>
    <t>08/11/2025 20:00</t>
  </si>
  <si>
    <t>08/11/2025 20:15</t>
  </si>
  <si>
    <t>08/11/2025 20:30</t>
  </si>
  <si>
    <t>08/11/2025 20:45</t>
  </si>
  <si>
    <t>08/11/2025 21:00</t>
  </si>
  <si>
    <t>08/11/2025 21:15</t>
  </si>
  <si>
    <t>08/11/2025 21:30</t>
  </si>
  <si>
    <t>08/11/2025 21:45</t>
  </si>
  <si>
    <t>08/11/2025 22:00</t>
  </si>
  <si>
    <t>08/11/2025 22:15</t>
  </si>
  <si>
    <t>08/11/2025 22:30</t>
  </si>
  <si>
    <t>08/11/2025 22:45</t>
  </si>
  <si>
    <t>08/11/2025 23:00</t>
  </si>
  <si>
    <t>08/11/2025 23:15</t>
  </si>
  <si>
    <t>08/11/2025 23:30</t>
  </si>
  <si>
    <t>08/11/2025 23:45</t>
  </si>
  <si>
    <t>08/11/2025 24:00</t>
  </si>
  <si>
    <t>09/11/2025 00:15</t>
  </si>
  <si>
    <t>09/11/2025 00:30</t>
  </si>
  <si>
    <t>09/11/2025 00:45</t>
  </si>
  <si>
    <t>09/11/2025 01:00</t>
  </si>
  <si>
    <t>09/11/2025 01:15</t>
  </si>
  <si>
    <t>09/11/2025 01:30</t>
  </si>
  <si>
    <t>09/11/2025 01:45</t>
  </si>
  <si>
    <t>09/11/2025 02:00</t>
  </si>
  <si>
    <t>09/11/2025 02:15</t>
  </si>
  <si>
    <t>09/11/2025 02:30</t>
  </si>
  <si>
    <t>09/11/2025 02:45</t>
  </si>
  <si>
    <t>09/11/2025 03:00</t>
  </si>
  <si>
    <t>09/11/2025 03:15</t>
  </si>
  <si>
    <t>09/11/2025 03:30</t>
  </si>
  <si>
    <t>09/11/2025 03:45</t>
  </si>
  <si>
    <t>09/11/2025 04:00</t>
  </si>
  <si>
    <t>09/11/2025 04:15</t>
  </si>
  <si>
    <t>09/11/2025 04:30</t>
  </si>
  <si>
    <t>09/11/2025 04:45</t>
  </si>
  <si>
    <t>09/11/2025 05:00</t>
  </si>
  <si>
    <t>09/11/2025 05:15</t>
  </si>
  <si>
    <t>09/11/2025 05:30</t>
  </si>
  <si>
    <t>09/11/2025 05:45</t>
  </si>
  <si>
    <t>09/11/2025 06:00</t>
  </si>
  <si>
    <t>09/11/2025 06:15</t>
  </si>
  <si>
    <t>09/11/2025 06:30</t>
  </si>
  <si>
    <t>09/11/2025 06:45</t>
  </si>
  <si>
    <t>09/11/2025 07:00</t>
  </si>
  <si>
    <t>09/11/2025 07:15</t>
  </si>
  <si>
    <t>09/11/2025 07:30</t>
  </si>
  <si>
    <t>09/11/2025 07:45</t>
  </si>
  <si>
    <t>09/11/2025 08:00</t>
  </si>
  <si>
    <t>09/11/2025 08:15</t>
  </si>
  <si>
    <t>09/11/2025 08:30</t>
  </si>
  <si>
    <t>09/11/2025 08:45</t>
  </si>
  <si>
    <t>09/11/2025 09:00</t>
  </si>
  <si>
    <t>09/11/2025 09:15</t>
  </si>
  <si>
    <t>09/11/2025 09:30</t>
  </si>
  <si>
    <t>09/11/2025 09:45</t>
  </si>
  <si>
    <t>09/11/2025 10:00</t>
  </si>
  <si>
    <t>09/11/2025 10:15</t>
  </si>
  <si>
    <t>09/11/2025 10:30</t>
  </si>
  <si>
    <t>09/11/2025 10:45</t>
  </si>
  <si>
    <t>09/11/2025 11:00</t>
  </si>
  <si>
    <t>09/11/2025 11:15</t>
  </si>
  <si>
    <t>09/11/2025 11:30</t>
  </si>
  <si>
    <t>09/11/2025 11:45</t>
  </si>
  <si>
    <t>09/11/2025 12:00</t>
  </si>
  <si>
    <t>09/11/2025 12:15</t>
  </si>
  <si>
    <t>09/11/2025 12:30</t>
  </si>
  <si>
    <t>09/11/2025 12:45</t>
  </si>
  <si>
    <t>09/11/2025 13:00</t>
  </si>
  <si>
    <t>09/11/2025 13:15</t>
  </si>
  <si>
    <t>09/11/2025 13:30</t>
  </si>
  <si>
    <t>09/11/2025 13:45</t>
  </si>
  <si>
    <t>09/11/2025 14:00</t>
  </si>
  <si>
    <t>09/11/2025 14:15</t>
  </si>
  <si>
    <t>09/11/2025 14:30</t>
  </si>
  <si>
    <t>09/11/2025 14:45</t>
  </si>
  <si>
    <t>09/11/2025 15:00</t>
  </si>
  <si>
    <t>09/11/2025 15:15</t>
  </si>
  <si>
    <t>09/11/2025 15:30</t>
  </si>
  <si>
    <t>09/11/2025 15:45</t>
  </si>
  <si>
    <t>09/11/2025 16:00</t>
  </si>
  <si>
    <t>09/11/2025 16:15</t>
  </si>
  <si>
    <t>09/11/2025 16:30</t>
  </si>
  <si>
    <t>09/11/2025 16:45</t>
  </si>
  <si>
    <t>09/11/2025 17:00</t>
  </si>
  <si>
    <t>09/11/2025 17:15</t>
  </si>
  <si>
    <t>09/11/2025 17:30</t>
  </si>
  <si>
    <t>09/11/2025 17:45</t>
  </si>
  <si>
    <t>09/11/2025 18:00</t>
  </si>
  <si>
    <t>09/11/2025 18:15</t>
  </si>
  <si>
    <t>09/11/2025 18:30</t>
  </si>
  <si>
    <t>09/11/2025 18:45</t>
  </si>
  <si>
    <t>09/11/2025 19:00</t>
  </si>
  <si>
    <t>09/11/2025 19:15</t>
  </si>
  <si>
    <t>09/11/2025 19:30</t>
  </si>
  <si>
    <t>09/11/2025 19:45</t>
  </si>
  <si>
    <t>09/11/2025 20:00</t>
  </si>
  <si>
    <t>09/11/2025 20:15</t>
  </si>
  <si>
    <t>09/11/2025 20:30</t>
  </si>
  <si>
    <t>09/11/2025 20:45</t>
  </si>
  <si>
    <t>09/11/2025 21:00</t>
  </si>
  <si>
    <t>09/11/2025 21:15</t>
  </si>
  <si>
    <t>09/11/2025 21:30</t>
  </si>
  <si>
    <t>09/11/2025 21:45</t>
  </si>
  <si>
    <t>09/11/2025 22:00</t>
  </si>
  <si>
    <t>09/11/2025 22:15</t>
  </si>
  <si>
    <t>09/11/2025 22:30</t>
  </si>
  <si>
    <t>09/11/2025 22:45</t>
  </si>
  <si>
    <t>09/11/2025 23:00</t>
  </si>
  <si>
    <t>09/11/2025 23:15</t>
  </si>
  <si>
    <t>09/11/2025 23:30</t>
  </si>
  <si>
    <t>09/11/2025 23:45</t>
  </si>
  <si>
    <t>09/11/2025 24:00</t>
  </si>
  <si>
    <t>10/11/2025 00:15</t>
  </si>
  <si>
    <t>10/11/2025 00:30</t>
  </si>
  <si>
    <t>10/11/2025 00:45</t>
  </si>
  <si>
    <t>10/11/2025 01:00</t>
  </si>
  <si>
    <t>10/11/2025 01:15</t>
  </si>
  <si>
    <t>10/11/2025 01:30</t>
  </si>
  <si>
    <t>10/11/2025 01:45</t>
  </si>
  <si>
    <t>10/11/2025 02:00</t>
  </si>
  <si>
    <t>10/11/2025 02:15</t>
  </si>
  <si>
    <t>10/11/2025 02:30</t>
  </si>
  <si>
    <t>10/11/2025 02:45</t>
  </si>
  <si>
    <t>10/11/2025 03:00</t>
  </si>
  <si>
    <t>10/11/2025 03:15</t>
  </si>
  <si>
    <t>10/11/2025 03:30</t>
  </si>
  <si>
    <t>10/11/2025 03:45</t>
  </si>
  <si>
    <t>10/11/2025 04:00</t>
  </si>
  <si>
    <t>10/11/2025 04:15</t>
  </si>
  <si>
    <t>10/11/2025 04:30</t>
  </si>
  <si>
    <t>10/11/2025 04:45</t>
  </si>
  <si>
    <t>10/11/2025 05:00</t>
  </si>
  <si>
    <t>10/11/2025 05:15</t>
  </si>
  <si>
    <t>10/11/2025 05:30</t>
  </si>
  <si>
    <t>10/11/2025 05:45</t>
  </si>
  <si>
    <t>10/11/2025 06:00</t>
  </si>
  <si>
    <t>10/11/2025 06:15</t>
  </si>
  <si>
    <t>10/11/2025 06:30</t>
  </si>
  <si>
    <t>10/11/2025 06:45</t>
  </si>
  <si>
    <t>10/11/2025 07:00</t>
  </si>
  <si>
    <t>10/11/2025 07:15</t>
  </si>
  <si>
    <t>10/11/2025 07:30</t>
  </si>
  <si>
    <t>10/11/2025 07:45</t>
  </si>
  <si>
    <t>10/11/2025 08:00</t>
  </si>
  <si>
    <t>10/11/2025 08:15</t>
  </si>
  <si>
    <t>10/11/2025 08:30</t>
  </si>
  <si>
    <t>10/11/2025 08:45</t>
  </si>
  <si>
    <t>10/11/2025 09:00</t>
  </si>
  <si>
    <t>10/11/2025 09:15</t>
  </si>
  <si>
    <t>10/11/2025 09:30</t>
  </si>
  <si>
    <t>10/11/2025 09:45</t>
  </si>
  <si>
    <t>10/11/2025 10:00</t>
  </si>
  <si>
    <t>10/11/2025 10:15</t>
  </si>
  <si>
    <t>10/11/2025 10:30</t>
  </si>
  <si>
    <t>10/11/2025 10:45</t>
  </si>
  <si>
    <t>10/11/2025 11:00</t>
  </si>
  <si>
    <t>10/11/2025 11:15</t>
  </si>
  <si>
    <t>10/11/2025 11:30</t>
  </si>
  <si>
    <t>10/11/2025 11:45</t>
  </si>
  <si>
    <t>10/11/2025 12:00</t>
  </si>
  <si>
    <t>10/11/2025 12:15</t>
  </si>
  <si>
    <t>10/11/2025 12:30</t>
  </si>
  <si>
    <t>10/11/2025 12:45</t>
  </si>
  <si>
    <t>10/11/2025 13:00</t>
  </si>
  <si>
    <t>10/11/2025 13:15</t>
  </si>
  <si>
    <t>10/11/2025 13:30</t>
  </si>
  <si>
    <t>10/11/2025 13:45</t>
  </si>
  <si>
    <t>10/11/2025 14:00</t>
  </si>
  <si>
    <t>10/11/2025 14:15</t>
  </si>
  <si>
    <t>10/11/2025 14:30</t>
  </si>
  <si>
    <t>10/11/2025 14:45</t>
  </si>
  <si>
    <t>10/11/2025 15:00</t>
  </si>
  <si>
    <t>10/11/2025 15:15</t>
  </si>
  <si>
    <t>10/11/2025 15:30</t>
  </si>
  <si>
    <t>10/11/2025 15:45</t>
  </si>
  <si>
    <t>10/11/2025 16:00</t>
  </si>
  <si>
    <t>10/11/2025 16:15</t>
  </si>
  <si>
    <t>10/11/2025 16:30</t>
  </si>
  <si>
    <t>10/11/2025 16:45</t>
  </si>
  <si>
    <t>10/11/2025 17:00</t>
  </si>
  <si>
    <t>10/11/2025 17:15</t>
  </si>
  <si>
    <t>10/11/2025 17:30</t>
  </si>
  <si>
    <t>10/11/2025 17:45</t>
  </si>
  <si>
    <t>10/11/2025 18:00</t>
  </si>
  <si>
    <t>10/11/2025 18:15</t>
  </si>
  <si>
    <t>10/11/2025 18:30</t>
  </si>
  <si>
    <t>10/11/2025 18:45</t>
  </si>
  <si>
    <t>10/11/2025 19:00</t>
  </si>
  <si>
    <t>10/11/2025 19:15</t>
  </si>
  <si>
    <t>10/11/2025 19:30</t>
  </si>
  <si>
    <t>10/11/2025 19:45</t>
  </si>
  <si>
    <t>10/11/2025 20:00</t>
  </si>
  <si>
    <t>10/11/2025 20:15</t>
  </si>
  <si>
    <t>10/11/2025 20:30</t>
  </si>
  <si>
    <t>10/11/2025 20:45</t>
  </si>
  <si>
    <t>10/11/2025 21:00</t>
  </si>
  <si>
    <t>10/11/2025 21:15</t>
  </si>
  <si>
    <t>10/11/2025 21:30</t>
  </si>
  <si>
    <t>10/11/2025 21:45</t>
  </si>
  <si>
    <t>10/11/2025 22:00</t>
  </si>
  <si>
    <t>10/11/2025 22:15</t>
  </si>
  <si>
    <t>10/11/2025 22:30</t>
  </si>
  <si>
    <t>10/11/2025 22:45</t>
  </si>
  <si>
    <t>10/11/2025 23:00</t>
  </si>
  <si>
    <t>10/11/2025 23:15</t>
  </si>
  <si>
    <t>10/11/2025 23:30</t>
  </si>
  <si>
    <t>10/11/2025 23:45</t>
  </si>
  <si>
    <t>10/11/2025 24:00</t>
  </si>
  <si>
    <t>11/11/2025 00:15</t>
  </si>
  <si>
    <t>11/11/2025 00:30</t>
  </si>
  <si>
    <t>11/11/2025 00:45</t>
  </si>
  <si>
    <t>11/11/2025 01:00</t>
  </si>
  <si>
    <t>11/11/2025 01:15</t>
  </si>
  <si>
    <t>11/11/2025 01:30</t>
  </si>
  <si>
    <t>11/11/2025 01:45</t>
  </si>
  <si>
    <t>11/11/2025 02:00</t>
  </si>
  <si>
    <t>11/11/2025 02:15</t>
  </si>
  <si>
    <t>11/11/2025 02:30</t>
  </si>
  <si>
    <t>11/11/2025 02:45</t>
  </si>
  <si>
    <t>11/11/2025 03:00</t>
  </si>
  <si>
    <t>11/11/2025 03:15</t>
  </si>
  <si>
    <t>11/11/2025 03:30</t>
  </si>
  <si>
    <t>11/11/2025 03:45</t>
  </si>
  <si>
    <t>11/11/2025 04:00</t>
  </si>
  <si>
    <t>11/11/2025 04:15</t>
  </si>
  <si>
    <t>11/11/2025 04:30</t>
  </si>
  <si>
    <t>11/11/2025 04:45</t>
  </si>
  <si>
    <t>11/11/2025 05:00</t>
  </si>
  <si>
    <t>11/11/2025 05:15</t>
  </si>
  <si>
    <t>11/11/2025 05:30</t>
  </si>
  <si>
    <t>11/11/2025 05:45</t>
  </si>
  <si>
    <t>11/11/2025 06:00</t>
  </si>
  <si>
    <t>11/11/2025 06:15</t>
  </si>
  <si>
    <t>11/11/2025 06:30</t>
  </si>
  <si>
    <t>11/11/2025 06:45</t>
  </si>
  <si>
    <t>11/11/2025 07:00</t>
  </si>
  <si>
    <t>11/11/2025 07:15</t>
  </si>
  <si>
    <t>11/11/2025 07:30</t>
  </si>
  <si>
    <t>11/11/2025 07:45</t>
  </si>
  <si>
    <t>11/11/2025 08:00</t>
  </si>
  <si>
    <t>11/11/2025 08:15</t>
  </si>
  <si>
    <t>11/11/2025 08:30</t>
  </si>
  <si>
    <t>11/11/2025 08:45</t>
  </si>
  <si>
    <t>11/11/2025 09:00</t>
  </si>
  <si>
    <t>11/11/2025 09:15</t>
  </si>
  <si>
    <t>11/11/2025 09:30</t>
  </si>
  <si>
    <t>11/11/2025 09:45</t>
  </si>
  <si>
    <t>11/11/2025 10:00</t>
  </si>
  <si>
    <t>11/11/2025 10:15</t>
  </si>
  <si>
    <t>11/11/2025 10:30</t>
  </si>
  <si>
    <t>11/11/2025 10:45</t>
  </si>
  <si>
    <t>11/11/2025 11:00</t>
  </si>
  <si>
    <t>11/11/2025 11:15</t>
  </si>
  <si>
    <t>11/11/2025 11:30</t>
  </si>
  <si>
    <t>11/11/2025 11:45</t>
  </si>
  <si>
    <t>11/11/2025 12:00</t>
  </si>
  <si>
    <t>11/11/2025 12:15</t>
  </si>
  <si>
    <t>11/11/2025 12:30</t>
  </si>
  <si>
    <t>11/11/2025 12:45</t>
  </si>
  <si>
    <t>11/11/2025 13:00</t>
  </si>
  <si>
    <t>11/11/2025 13:15</t>
  </si>
  <si>
    <t>11/11/2025 13:30</t>
  </si>
  <si>
    <t>11/11/2025 13:45</t>
  </si>
  <si>
    <t>11/11/2025 14:00</t>
  </si>
  <si>
    <t>11/11/2025 14:15</t>
  </si>
  <si>
    <t>11/11/2025 14:30</t>
  </si>
  <si>
    <t>11/11/2025 14:45</t>
  </si>
  <si>
    <t>11/11/2025 15:00</t>
  </si>
  <si>
    <t>11/11/2025 15:15</t>
  </si>
  <si>
    <t>11/11/2025 15:30</t>
  </si>
  <si>
    <t>11/11/2025 15:45</t>
  </si>
  <si>
    <t>11/11/2025 16:00</t>
  </si>
  <si>
    <t>11/11/2025 16:15</t>
  </si>
  <si>
    <t>11/11/2025 16:30</t>
  </si>
  <si>
    <t>11/11/2025 16:45</t>
  </si>
  <si>
    <t>11/11/2025 17:00</t>
  </si>
  <si>
    <t>11/11/2025 17:15</t>
  </si>
  <si>
    <t>11/11/2025 17:30</t>
  </si>
  <si>
    <t>11/11/2025 17:45</t>
  </si>
  <si>
    <t>11/11/2025 18:00</t>
  </si>
  <si>
    <t>11/11/2025 18:15</t>
  </si>
  <si>
    <t>11/11/2025 18:30</t>
  </si>
  <si>
    <t>11/11/2025 18:45</t>
  </si>
  <si>
    <t>11/11/2025 19:00</t>
  </si>
  <si>
    <t>11/11/2025 19:15</t>
  </si>
  <si>
    <t>11/11/2025 19:30</t>
  </si>
  <si>
    <t>11/11/2025 19:45</t>
  </si>
  <si>
    <t>11/11/2025 20:00</t>
  </si>
  <si>
    <t>11/11/2025 20:15</t>
  </si>
  <si>
    <t>11/11/2025 20:30</t>
  </si>
  <si>
    <t>11/11/2025 20:45</t>
  </si>
  <si>
    <t>11/11/2025 21:00</t>
  </si>
  <si>
    <t>11/11/2025 21:15</t>
  </si>
  <si>
    <t>11/11/2025 21:30</t>
  </si>
  <si>
    <t>11/11/2025 21:45</t>
  </si>
  <si>
    <t>11/11/2025 22:00</t>
  </si>
  <si>
    <t>11/11/2025 22:15</t>
  </si>
  <si>
    <t>11/11/2025 22:30</t>
  </si>
  <si>
    <t>11/11/2025 22:45</t>
  </si>
  <si>
    <t>11/11/2025 23:00</t>
  </si>
  <si>
    <t>11/11/2025 23:15</t>
  </si>
  <si>
    <t>11/11/2025 23:30</t>
  </si>
  <si>
    <t>11/11/2025 23:45</t>
  </si>
  <si>
    <t>11/11/2025 24:00</t>
  </si>
  <si>
    <t>12/11/2025 00:15</t>
  </si>
  <si>
    <t>12/11/2025 00:30</t>
  </si>
  <si>
    <t>12/11/2025 00:45</t>
  </si>
  <si>
    <t>12/11/2025 01:00</t>
  </si>
  <si>
    <t>12/11/2025 01:15</t>
  </si>
  <si>
    <t>12/11/2025 01:30</t>
  </si>
  <si>
    <t>12/11/2025 01:45</t>
  </si>
  <si>
    <t>12/11/2025 02:00</t>
  </si>
  <si>
    <t>12/11/2025 02:15</t>
  </si>
  <si>
    <t>12/11/2025 02:30</t>
  </si>
  <si>
    <t>12/11/2025 02:45</t>
  </si>
  <si>
    <t>12/11/2025 03:00</t>
  </si>
  <si>
    <t>12/11/2025 03:15</t>
  </si>
  <si>
    <t>12/11/2025 03:30</t>
  </si>
  <si>
    <t>12/11/2025 03:45</t>
  </si>
  <si>
    <t>12/11/2025 04:00</t>
  </si>
  <si>
    <t>12/11/2025 04:15</t>
  </si>
  <si>
    <t>12/11/2025 04:30</t>
  </si>
  <si>
    <t>12/11/2025 04:45</t>
  </si>
  <si>
    <t>12/11/2025 05:00</t>
  </si>
  <si>
    <t>12/11/2025 05:15</t>
  </si>
  <si>
    <t>12/11/2025 05:30</t>
  </si>
  <si>
    <t>12/11/2025 05:45</t>
  </si>
  <si>
    <t>12/11/2025 06:00</t>
  </si>
  <si>
    <t>12/11/2025 06:15</t>
  </si>
  <si>
    <t>12/11/2025 06:30</t>
  </si>
  <si>
    <t>12/11/2025 06:45</t>
  </si>
  <si>
    <t>12/11/2025 07:00</t>
  </si>
  <si>
    <t>12/11/2025 07:15</t>
  </si>
  <si>
    <t>12/11/2025 07:30</t>
  </si>
  <si>
    <t>12/11/2025 07:45</t>
  </si>
  <si>
    <t>12/11/2025 08:00</t>
  </si>
  <si>
    <t>12/11/2025 08:15</t>
  </si>
  <si>
    <t>12/11/2025 08:30</t>
  </si>
  <si>
    <t>12/11/2025 08:45</t>
  </si>
  <si>
    <t>12/11/2025 09:00</t>
  </si>
  <si>
    <t>12/11/2025 09:15</t>
  </si>
  <si>
    <t>12/11/2025 09:30</t>
  </si>
  <si>
    <t>12/11/2025 09:45</t>
  </si>
  <si>
    <t>12/11/2025 10:00</t>
  </si>
  <si>
    <t>12/11/2025 10:15</t>
  </si>
  <si>
    <t>12/11/2025 10:30</t>
  </si>
  <si>
    <t>12/11/2025 10:45</t>
  </si>
  <si>
    <t>12/11/2025 11:00</t>
  </si>
  <si>
    <t>12/11/2025 11:15</t>
  </si>
  <si>
    <t>12/11/2025 11:30</t>
  </si>
  <si>
    <t>12/11/2025 11:45</t>
  </si>
  <si>
    <t>12/11/2025 12:00</t>
  </si>
  <si>
    <t>12/11/2025 12:15</t>
  </si>
  <si>
    <t>12/11/2025 12:30</t>
  </si>
  <si>
    <t>12/11/2025 12:45</t>
  </si>
  <si>
    <t>12/11/2025 13:00</t>
  </si>
  <si>
    <t>12/11/2025 13:15</t>
  </si>
  <si>
    <t>12/11/2025 13:30</t>
  </si>
  <si>
    <t>12/11/2025 13:45</t>
  </si>
  <si>
    <t>12/11/2025 14:00</t>
  </si>
  <si>
    <t>12/11/2025 14:15</t>
  </si>
  <si>
    <t>12/11/2025 14:30</t>
  </si>
  <si>
    <t>12/11/2025 14:45</t>
  </si>
  <si>
    <t>12/11/2025 15:00</t>
  </si>
  <si>
    <t>12/11/2025 15:15</t>
  </si>
  <si>
    <t>12/11/2025 15:30</t>
  </si>
  <si>
    <t>12/11/2025 15:45</t>
  </si>
  <si>
    <t>12/11/2025 16:00</t>
  </si>
  <si>
    <t>12/11/2025 16:15</t>
  </si>
  <si>
    <t>12/11/2025 16:30</t>
  </si>
  <si>
    <t>12/11/2025 16:45</t>
  </si>
  <si>
    <t>12/11/2025 17:00</t>
  </si>
  <si>
    <t>12/11/2025 17:15</t>
  </si>
  <si>
    <t>12/11/2025 17:30</t>
  </si>
  <si>
    <t>12/11/2025 17:45</t>
  </si>
  <si>
    <t>12/11/2025 18:00</t>
  </si>
  <si>
    <t>12/11/2025 18:15</t>
  </si>
  <si>
    <t>12/11/2025 18:30</t>
  </si>
  <si>
    <t>12/11/2025 18:45</t>
  </si>
  <si>
    <t>12/11/2025 19:00</t>
  </si>
  <si>
    <t>12/11/2025 19:15</t>
  </si>
  <si>
    <t>12/11/2025 19:30</t>
  </si>
  <si>
    <t>12/11/2025 19:45</t>
  </si>
  <si>
    <t>12/11/2025 20:00</t>
  </si>
  <si>
    <t>12/11/2025 20:15</t>
  </si>
  <si>
    <t>12/11/2025 20:30</t>
  </si>
  <si>
    <t>12/11/2025 20:45</t>
  </si>
  <si>
    <t>12/11/2025 21:00</t>
  </si>
  <si>
    <t>12/11/2025 21:15</t>
  </si>
  <si>
    <t>12/11/2025 21:30</t>
  </si>
  <si>
    <t>12/11/2025 21:45</t>
  </si>
  <si>
    <t>12/11/2025 22:00</t>
  </si>
  <si>
    <t>12/11/2025 22:15</t>
  </si>
  <si>
    <t>12/11/2025 22:30</t>
  </si>
  <si>
    <t>12/11/2025 22:45</t>
  </si>
  <si>
    <t>12/11/2025 23:00</t>
  </si>
  <si>
    <t>12/11/2025 23:15</t>
  </si>
  <si>
    <t>12/11/2025 23:30</t>
  </si>
  <si>
    <t>12/11/2025 23:45</t>
  </si>
  <si>
    <t>12/11/2025 24:00</t>
  </si>
  <si>
    <t>13/11/2025 00:15</t>
  </si>
  <si>
    <t>13/11/2025 00:30</t>
  </si>
  <si>
    <t>13/11/2025 00:45</t>
  </si>
  <si>
    <t>13/11/2025 01:00</t>
  </si>
  <si>
    <t>13/11/2025 01:15</t>
  </si>
  <si>
    <t>13/11/2025 01:30</t>
  </si>
  <si>
    <t>13/11/2025 01:45</t>
  </si>
  <si>
    <t>13/11/2025 02:00</t>
  </si>
  <si>
    <t>13/11/2025 02:15</t>
  </si>
  <si>
    <t>13/11/2025 02:30</t>
  </si>
  <si>
    <t>13/11/2025 02:45</t>
  </si>
  <si>
    <t>13/11/2025 03:00</t>
  </si>
  <si>
    <t>13/11/2025 03:15</t>
  </si>
  <si>
    <t>13/11/2025 03:30</t>
  </si>
  <si>
    <t>13/11/2025 03:45</t>
  </si>
  <si>
    <t>13/11/2025 04:00</t>
  </si>
  <si>
    <t>13/11/2025 04:15</t>
  </si>
  <si>
    <t>13/11/2025 04:30</t>
  </si>
  <si>
    <t>13/11/2025 04:45</t>
  </si>
  <si>
    <t>13/11/2025 05:00</t>
  </si>
  <si>
    <t>13/11/2025 05:15</t>
  </si>
  <si>
    <t>13/11/2025 05:30</t>
  </si>
  <si>
    <t>13/11/2025 05:45</t>
  </si>
  <si>
    <t>13/11/2025 06:00</t>
  </si>
  <si>
    <t>13/11/2025 06:15</t>
  </si>
  <si>
    <t>13/11/2025 06:30</t>
  </si>
  <si>
    <t>13/11/2025 06:45</t>
  </si>
  <si>
    <t>13/11/2025 07:00</t>
  </si>
  <si>
    <t>13/11/2025 07:15</t>
  </si>
  <si>
    <t>13/11/2025 07:30</t>
  </si>
  <si>
    <t>13/11/2025 07:45</t>
  </si>
  <si>
    <t>13/11/2025 08:00</t>
  </si>
  <si>
    <t>13/11/2025 08:15</t>
  </si>
  <si>
    <t>13/11/2025 08:30</t>
  </si>
  <si>
    <t>13/11/2025 08:45</t>
  </si>
  <si>
    <t>13/11/2025 09:00</t>
  </si>
  <si>
    <t>13/11/2025 09:15</t>
  </si>
  <si>
    <t>13/11/2025 09:30</t>
  </si>
  <si>
    <t>13/11/2025 09:45</t>
  </si>
  <si>
    <t>13/11/2025 10:00</t>
  </si>
  <si>
    <t>13/11/2025 10:15</t>
  </si>
  <si>
    <t>13/11/2025 10:30</t>
  </si>
  <si>
    <t>13/11/2025 10:45</t>
  </si>
  <si>
    <t>13/11/2025 11:00</t>
  </si>
  <si>
    <t>13/11/2025 11:15</t>
  </si>
  <si>
    <t>13/11/2025 11:30</t>
  </si>
  <si>
    <t>13/11/2025 11:45</t>
  </si>
  <si>
    <t>13/11/2025 12:00</t>
  </si>
  <si>
    <t>13/11/2025 12:15</t>
  </si>
  <si>
    <t>13/11/2025 12:30</t>
  </si>
  <si>
    <t>13/11/2025 12:45</t>
  </si>
  <si>
    <t>13/11/2025 13:00</t>
  </si>
  <si>
    <t>13/11/2025 13:15</t>
  </si>
  <si>
    <t>13/11/2025 13:30</t>
  </si>
  <si>
    <t>13/11/2025 13:45</t>
  </si>
  <si>
    <t>13/11/2025 14:00</t>
  </si>
  <si>
    <t>13/11/2025 14:15</t>
  </si>
  <si>
    <t>13/11/2025 14:30</t>
  </si>
  <si>
    <t>13/11/2025 14:45</t>
  </si>
  <si>
    <t>13/11/2025 15:00</t>
  </si>
  <si>
    <t>13/11/2025 15:15</t>
  </si>
  <si>
    <t>13/11/2025 15:30</t>
  </si>
  <si>
    <t>13/11/2025 15:45</t>
  </si>
  <si>
    <t>13/11/2025 16:00</t>
  </si>
  <si>
    <t>13/11/2025 16:15</t>
  </si>
  <si>
    <t>13/11/2025 16:30</t>
  </si>
  <si>
    <t>13/11/2025 16:45</t>
  </si>
  <si>
    <t>13/11/2025 17:00</t>
  </si>
  <si>
    <t>13/11/2025 17:15</t>
  </si>
  <si>
    <t>13/11/2025 17:30</t>
  </si>
  <si>
    <t>13/11/2025 17:45</t>
  </si>
  <si>
    <t>13/11/2025 18:00</t>
  </si>
  <si>
    <t>13/11/2025 18:15</t>
  </si>
  <si>
    <t>13/11/2025 18:30</t>
  </si>
  <si>
    <t>13/11/2025 18:45</t>
  </si>
  <si>
    <t>13/11/2025 19:00</t>
  </si>
  <si>
    <t>13/11/2025 19:15</t>
  </si>
  <si>
    <t>13/11/2025 19:30</t>
  </si>
  <si>
    <t>13/11/2025 19:45</t>
  </si>
  <si>
    <t>13/11/2025 20:00</t>
  </si>
  <si>
    <t>13/11/2025 20:15</t>
  </si>
  <si>
    <t>13/11/2025 20:30</t>
  </si>
  <si>
    <t>13/11/2025 20:45</t>
  </si>
  <si>
    <t>13/11/2025 21:00</t>
  </si>
  <si>
    <t>13/11/2025 21:15</t>
  </si>
  <si>
    <t>13/11/2025 21:30</t>
  </si>
  <si>
    <t>13/11/2025 21:45</t>
  </si>
  <si>
    <t>13/11/2025 22:00</t>
  </si>
  <si>
    <t>13/11/2025 22:15</t>
  </si>
  <si>
    <t>13/11/2025 22:30</t>
  </si>
  <si>
    <t>13/11/2025 22:45</t>
  </si>
  <si>
    <t>13/11/2025 23:00</t>
  </si>
  <si>
    <t>13/11/2025 23:15</t>
  </si>
  <si>
    <t>13/11/2025 23:30</t>
  </si>
  <si>
    <t>13/11/2025 23:45</t>
  </si>
  <si>
    <t>13/11/2025 24:00</t>
  </si>
  <si>
    <t>14/11/2025 00:15</t>
  </si>
  <si>
    <t>14/11/2025 00:30</t>
  </si>
  <si>
    <t>14/11/2025 00:45</t>
  </si>
  <si>
    <t>14/11/2025 01:00</t>
  </si>
  <si>
    <t>14/11/2025 01:15</t>
  </si>
  <si>
    <t>14/11/2025 01:30</t>
  </si>
  <si>
    <t>14/11/2025 01:45</t>
  </si>
  <si>
    <t>14/11/2025 02:00</t>
  </si>
  <si>
    <t>14/11/2025 02:15</t>
  </si>
  <si>
    <t>14/11/2025 02:30</t>
  </si>
  <si>
    <t>14/11/2025 02:45</t>
  </si>
  <si>
    <t>14/11/2025 03:00</t>
  </si>
  <si>
    <t>14/11/2025 03:15</t>
  </si>
  <si>
    <t>14/11/2025 03:30</t>
  </si>
  <si>
    <t>14/11/2025 03:45</t>
  </si>
  <si>
    <t>14/11/2025 04:00</t>
  </si>
  <si>
    <t>14/11/2025 04:15</t>
  </si>
  <si>
    <t>14/11/2025 04:30</t>
  </si>
  <si>
    <t>14/11/2025 04:45</t>
  </si>
  <si>
    <t>14/11/2025 05:00</t>
  </si>
  <si>
    <t>14/11/2025 05:15</t>
  </si>
  <si>
    <t>14/11/2025 05:30</t>
  </si>
  <si>
    <t>14/11/2025 05:45</t>
  </si>
  <si>
    <t>14/11/2025 06:00</t>
  </si>
  <si>
    <t>14/11/2025 06:15</t>
  </si>
  <si>
    <t>14/11/2025 06:30</t>
  </si>
  <si>
    <t>14/11/2025 06:45</t>
  </si>
  <si>
    <t>14/11/2025 07:00</t>
  </si>
  <si>
    <t>14/11/2025 07:15</t>
  </si>
  <si>
    <t>14/11/2025 07:30</t>
  </si>
  <si>
    <t>14/11/2025 07:45</t>
  </si>
  <si>
    <t>14/11/2025 08:00</t>
  </si>
  <si>
    <t>14/11/2025 08:15</t>
  </si>
  <si>
    <t>14/11/2025 08:30</t>
  </si>
  <si>
    <t>14/11/2025 08:45</t>
  </si>
  <si>
    <t>14/11/2025 09:00</t>
  </si>
  <si>
    <t>14/11/2025 09:15</t>
  </si>
  <si>
    <t>14/11/2025 09:30</t>
  </si>
  <si>
    <t>14/11/2025 09:45</t>
  </si>
  <si>
    <t>14/11/2025 10:00</t>
  </si>
  <si>
    <t>14/11/2025 10:15</t>
  </si>
  <si>
    <t>14/11/2025 10:30</t>
  </si>
  <si>
    <t>14/11/2025 10:45</t>
  </si>
  <si>
    <t>14/11/2025 11:00</t>
  </si>
  <si>
    <t>14/11/2025 11:15</t>
  </si>
  <si>
    <t>14/11/2025 11:30</t>
  </si>
  <si>
    <t>14/11/2025 11:45</t>
  </si>
  <si>
    <t>14/11/2025 12:00</t>
  </si>
  <si>
    <t>14/11/2025 12:15</t>
  </si>
  <si>
    <t>14/11/2025 12:30</t>
  </si>
  <si>
    <t>14/11/2025 12:45</t>
  </si>
  <si>
    <t>14/11/2025 13:00</t>
  </si>
  <si>
    <t>14/11/2025 13:15</t>
  </si>
  <si>
    <t>14/11/2025 13:30</t>
  </si>
  <si>
    <t>14/11/2025 13:45</t>
  </si>
  <si>
    <t>14/11/2025 14:00</t>
  </si>
  <si>
    <t>14/11/2025 14:15</t>
  </si>
  <si>
    <t>14/11/2025 14:30</t>
  </si>
  <si>
    <t>14/11/2025 14:45</t>
  </si>
  <si>
    <t>14/11/2025 15:00</t>
  </si>
  <si>
    <t>14/11/2025 15:15</t>
  </si>
  <si>
    <t>14/11/2025 15:30</t>
  </si>
  <si>
    <t>14/11/2025 15:45</t>
  </si>
  <si>
    <t>14/11/2025 16:00</t>
  </si>
  <si>
    <t>14/11/2025 16:15</t>
  </si>
  <si>
    <t>14/11/2025 16:30</t>
  </si>
  <si>
    <t>14/11/2025 16:45</t>
  </si>
  <si>
    <t>14/11/2025 17:00</t>
  </si>
  <si>
    <t>14/11/2025 17:15</t>
  </si>
  <si>
    <t>14/11/2025 17:30</t>
  </si>
  <si>
    <t>14/11/2025 17:45</t>
  </si>
  <si>
    <t>14/11/2025 18:00</t>
  </si>
  <si>
    <t>14/11/2025 18:15</t>
  </si>
  <si>
    <t>14/11/2025 18:30</t>
  </si>
  <si>
    <t>14/11/2025 18:45</t>
  </si>
  <si>
    <t>14/11/2025 19:00</t>
  </si>
  <si>
    <t>14/11/2025 19:15</t>
  </si>
  <si>
    <t>14/11/2025 19:30</t>
  </si>
  <si>
    <t>14/11/2025 19:45</t>
  </si>
  <si>
    <t>14/11/2025 20:00</t>
  </si>
  <si>
    <t>14/11/2025 20:15</t>
  </si>
  <si>
    <t>14/11/2025 20:30</t>
  </si>
  <si>
    <t>14/11/2025 20:45</t>
  </si>
  <si>
    <t>14/11/2025 21:00</t>
  </si>
  <si>
    <t>14/11/2025 21:15</t>
  </si>
  <si>
    <t>14/11/2025 21:30</t>
  </si>
  <si>
    <t>14/11/2025 21:45</t>
  </si>
  <si>
    <t>14/11/2025 22:00</t>
  </si>
  <si>
    <t>14/11/2025 22:15</t>
  </si>
  <si>
    <t>14/11/2025 22:30</t>
  </si>
  <si>
    <t>14/11/2025 22:45</t>
  </si>
  <si>
    <t>14/11/2025 23:00</t>
  </si>
  <si>
    <t>14/11/2025 23:15</t>
  </si>
  <si>
    <t>14/11/2025 23:30</t>
  </si>
  <si>
    <t>14/11/2025 23:45</t>
  </si>
  <si>
    <t>14/11/2025 24:00</t>
  </si>
  <si>
    <t>15/11/2025 00:15</t>
  </si>
  <si>
    <t>15/11/2025 00:30</t>
  </si>
  <si>
    <t>15/11/2025 00:45</t>
  </si>
  <si>
    <t>15/11/2025 01:00</t>
  </si>
  <si>
    <t>15/11/2025 01:15</t>
  </si>
  <si>
    <t>15/11/2025 01:30</t>
  </si>
  <si>
    <t>15/11/2025 01:45</t>
  </si>
  <si>
    <t>15/11/2025 02:00</t>
  </si>
  <si>
    <t>15/11/2025 02:15</t>
  </si>
  <si>
    <t>15/11/2025 02:30</t>
  </si>
  <si>
    <t>15/11/2025 02:45</t>
  </si>
  <si>
    <t>15/11/2025 03:00</t>
  </si>
  <si>
    <t>15/11/2025 03:15</t>
  </si>
  <si>
    <t>15/11/2025 03:30</t>
  </si>
  <si>
    <t>15/11/2025 03:45</t>
  </si>
  <si>
    <t>15/11/2025 04:00</t>
  </si>
  <si>
    <t>15/11/2025 04:15</t>
  </si>
  <si>
    <t>15/11/2025 04:30</t>
  </si>
  <si>
    <t>15/11/2025 04:45</t>
  </si>
  <si>
    <t>15/11/2025 05:00</t>
  </si>
  <si>
    <t>15/11/2025 05:15</t>
  </si>
  <si>
    <t>15/11/2025 05:30</t>
  </si>
  <si>
    <t>15/11/2025 05:45</t>
  </si>
  <si>
    <t>15/11/2025 06:00</t>
  </si>
  <si>
    <t>15/11/2025 06:15</t>
  </si>
  <si>
    <t>15/11/2025 06:30</t>
  </si>
  <si>
    <t>15/11/2025 06:45</t>
  </si>
  <si>
    <t>15/11/2025 07:00</t>
  </si>
  <si>
    <t>15/11/2025 07:15</t>
  </si>
  <si>
    <t>15/11/2025 07:30</t>
  </si>
  <si>
    <t>15/11/2025 07:45</t>
  </si>
  <si>
    <t>15/11/2025 08:00</t>
  </si>
  <si>
    <t>15/11/2025 08:15</t>
  </si>
  <si>
    <t>15/11/2025 08:30</t>
  </si>
  <si>
    <t>15/11/2025 08:45</t>
  </si>
  <si>
    <t>15/11/2025 09:00</t>
  </si>
  <si>
    <t>15/11/2025 09:15</t>
  </si>
  <si>
    <t>15/11/2025 09:30</t>
  </si>
  <si>
    <t>15/11/2025 09:45</t>
  </si>
  <si>
    <t>15/11/2025 10:00</t>
  </si>
  <si>
    <t>15/11/2025 10:15</t>
  </si>
  <si>
    <t>15/11/2025 10:30</t>
  </si>
  <si>
    <t>15/11/2025 10:45</t>
  </si>
  <si>
    <t>15/11/2025 11:00</t>
  </si>
  <si>
    <t>15/11/2025 11:15</t>
  </si>
  <si>
    <t>15/11/2025 11:30</t>
  </si>
  <si>
    <t>15/11/2025 11:45</t>
  </si>
  <si>
    <t>15/11/2025 12:00</t>
  </si>
  <si>
    <t>15/11/2025 12:15</t>
  </si>
  <si>
    <t>15/11/2025 12:30</t>
  </si>
  <si>
    <t>15/11/2025 12:45</t>
  </si>
  <si>
    <t>15/11/2025 13:00</t>
  </si>
  <si>
    <t>15/11/2025 13:15</t>
  </si>
  <si>
    <t>15/11/2025 13:30</t>
  </si>
  <si>
    <t>15/11/2025 13:45</t>
  </si>
  <si>
    <t>15/11/2025 14:00</t>
  </si>
  <si>
    <t>15/11/2025 14:15</t>
  </si>
  <si>
    <t>15/11/2025 14:30</t>
  </si>
  <si>
    <t>15/11/2025 14:45</t>
  </si>
  <si>
    <t>15/11/2025 15:00</t>
  </si>
  <si>
    <t>15/11/2025 15:15</t>
  </si>
  <si>
    <t>15/11/2025 15:30</t>
  </si>
  <si>
    <t>15/11/2025 15:45</t>
  </si>
  <si>
    <t>15/11/2025 16:00</t>
  </si>
  <si>
    <t>15/11/2025 16:15</t>
  </si>
  <si>
    <t>15/11/2025 16:30</t>
  </si>
  <si>
    <t>15/11/2025 16:45</t>
  </si>
  <si>
    <t>15/11/2025 17:00</t>
  </si>
  <si>
    <t>15/11/2025 17:15</t>
  </si>
  <si>
    <t>15/11/2025 17:30</t>
  </si>
  <si>
    <t>15/11/2025 17:45</t>
  </si>
  <si>
    <t>15/11/2025 18:00</t>
  </si>
  <si>
    <t>15/11/2025 18:15</t>
  </si>
  <si>
    <t>15/11/2025 18:30</t>
  </si>
  <si>
    <t>15/11/2025 18:45</t>
  </si>
  <si>
    <t>15/11/2025 19:00</t>
  </si>
  <si>
    <t>15/11/2025 19:15</t>
  </si>
  <si>
    <t>15/11/2025 19:30</t>
  </si>
  <si>
    <t>15/11/2025 19:45</t>
  </si>
  <si>
    <t>15/11/2025 20:00</t>
  </si>
  <si>
    <t>15/11/2025 20:15</t>
  </si>
  <si>
    <t>15/11/2025 20:30</t>
  </si>
  <si>
    <t>15/11/2025 20:45</t>
  </si>
  <si>
    <t>15/11/2025 21:00</t>
  </si>
  <si>
    <t>15/11/2025 21:15</t>
  </si>
  <si>
    <t>15/11/2025 21:30</t>
  </si>
  <si>
    <t>15/11/2025 21:45</t>
  </si>
  <si>
    <t>15/11/2025 22:00</t>
  </si>
  <si>
    <t>15/11/2025 22:15</t>
  </si>
  <si>
    <t>15/11/2025 22:30</t>
  </si>
  <si>
    <t>15/11/2025 22:45</t>
  </si>
  <si>
    <t>15/11/2025 23:00</t>
  </si>
  <si>
    <t>15/11/2025 23:15</t>
  </si>
  <si>
    <t>15/11/2025 23:30</t>
  </si>
  <si>
    <t>15/11/2025 23:45</t>
  </si>
  <si>
    <t>15/11/2025 24:00</t>
  </si>
  <si>
    <t>16/11/2025 00:15</t>
  </si>
  <si>
    <t>16/11/2025 00:30</t>
  </si>
  <si>
    <t>16/11/2025 00:45</t>
  </si>
  <si>
    <t>16/11/2025 01:00</t>
  </si>
  <si>
    <t>16/11/2025 01:15</t>
  </si>
  <si>
    <t>16/11/2025 01:30</t>
  </si>
  <si>
    <t>16/11/2025 01:45</t>
  </si>
  <si>
    <t>16/11/2025 02:00</t>
  </si>
  <si>
    <t>16/11/2025 02:15</t>
  </si>
  <si>
    <t>16/11/2025 02:30</t>
  </si>
  <si>
    <t>16/11/2025 02:45</t>
  </si>
  <si>
    <t>16/11/2025 03:00</t>
  </si>
  <si>
    <t>16/11/2025 03:15</t>
  </si>
  <si>
    <t>16/11/2025 03:30</t>
  </si>
  <si>
    <t>16/11/2025 03:45</t>
  </si>
  <si>
    <t>16/11/2025 04:00</t>
  </si>
  <si>
    <t>16/11/2025 04:15</t>
  </si>
  <si>
    <t>16/11/2025 04:30</t>
  </si>
  <si>
    <t>16/11/2025 04:45</t>
  </si>
  <si>
    <t>16/11/2025 05:00</t>
  </si>
  <si>
    <t>16/11/2025 05:15</t>
  </si>
  <si>
    <t>16/11/2025 05:30</t>
  </si>
  <si>
    <t>16/11/2025 05:45</t>
  </si>
  <si>
    <t>16/11/2025 06:00</t>
  </si>
  <si>
    <t>16/11/2025 06:15</t>
  </si>
  <si>
    <t>16/11/2025 06:30</t>
  </si>
  <si>
    <t>16/11/2025 06:45</t>
  </si>
  <si>
    <t>16/11/2025 07:00</t>
  </si>
  <si>
    <t>16/11/2025 07:15</t>
  </si>
  <si>
    <t>16/11/2025 07:30</t>
  </si>
  <si>
    <t>16/11/2025 07:45</t>
  </si>
  <si>
    <t>16/11/2025 08:00</t>
  </si>
  <si>
    <t>16/11/2025 08:15</t>
  </si>
  <si>
    <t>16/11/2025 08:30</t>
  </si>
  <si>
    <t>16/11/2025 08:45</t>
  </si>
  <si>
    <t>16/11/2025 09:00</t>
  </si>
  <si>
    <t>16/11/2025 09:15</t>
  </si>
  <si>
    <t>16/11/2025 09:30</t>
  </si>
  <si>
    <t>16/11/2025 09:45</t>
  </si>
  <si>
    <t>16/11/2025 10:00</t>
  </si>
  <si>
    <t>16/11/2025 10:15</t>
  </si>
  <si>
    <t>16/11/2025 10:30</t>
  </si>
  <si>
    <t>16/11/2025 10:45</t>
  </si>
  <si>
    <t>16/11/2025 11:00</t>
  </si>
  <si>
    <t>16/11/2025 11:15</t>
  </si>
  <si>
    <t>16/11/2025 11:30</t>
  </si>
  <si>
    <t>16/11/2025 11:45</t>
  </si>
  <si>
    <t>16/11/2025 12:00</t>
  </si>
  <si>
    <t>16/11/2025 12:15</t>
  </si>
  <si>
    <t>16/11/2025 12:30</t>
  </si>
  <si>
    <t>16/11/2025 12:45</t>
  </si>
  <si>
    <t>16/11/2025 13:00</t>
  </si>
  <si>
    <t>16/11/2025 13:15</t>
  </si>
  <si>
    <t>16/11/2025 13:30</t>
  </si>
  <si>
    <t>16/11/2025 13:45</t>
  </si>
  <si>
    <t>16/11/2025 14:00</t>
  </si>
  <si>
    <t>16/11/2025 14:15</t>
  </si>
  <si>
    <t>16/11/2025 14:30</t>
  </si>
  <si>
    <t>16/11/2025 14:45</t>
  </si>
  <si>
    <t>16/11/2025 15:00</t>
  </si>
  <si>
    <t>16/11/2025 15:15</t>
  </si>
  <si>
    <t>16/11/2025 15:30</t>
  </si>
  <si>
    <t>16/11/2025 15:45</t>
  </si>
  <si>
    <t>16/11/2025 16:00</t>
  </si>
  <si>
    <t>16/11/2025 16:15</t>
  </si>
  <si>
    <t>16/11/2025 16:30</t>
  </si>
  <si>
    <t>16/11/2025 16:45</t>
  </si>
  <si>
    <t>16/11/2025 17:00</t>
  </si>
  <si>
    <t>16/11/2025 17:15</t>
  </si>
  <si>
    <t>16/11/2025 17:30</t>
  </si>
  <si>
    <t>16/11/2025 17:45</t>
  </si>
  <si>
    <t>16/11/2025 18:00</t>
  </si>
  <si>
    <t>16/11/2025 18:15</t>
  </si>
  <si>
    <t>16/11/2025 18:30</t>
  </si>
  <si>
    <t>16/11/2025 18:45</t>
  </si>
  <si>
    <t>16/11/2025 19:00</t>
  </si>
  <si>
    <t>16/11/2025 19:15</t>
  </si>
  <si>
    <t>16/11/2025 19:30</t>
  </si>
  <si>
    <t>16/11/2025 19:45</t>
  </si>
  <si>
    <t>16/11/2025 20:00</t>
  </si>
  <si>
    <t>16/11/2025 20:15</t>
  </si>
  <si>
    <t>16/11/2025 20:30</t>
  </si>
  <si>
    <t>16/11/2025 20:45</t>
  </si>
  <si>
    <t>16/11/2025 21:00</t>
  </si>
  <si>
    <t>16/11/2025 21:15</t>
  </si>
  <si>
    <t>16/11/2025 21:30</t>
  </si>
  <si>
    <t>16/11/2025 21:45</t>
  </si>
  <si>
    <t>16/11/2025 22:00</t>
  </si>
  <si>
    <t>16/11/2025 22:15</t>
  </si>
  <si>
    <t>16/11/2025 22:30</t>
  </si>
  <si>
    <t>16/11/2025 22:45</t>
  </si>
  <si>
    <t>16/11/2025 23:00</t>
  </si>
  <si>
    <t>16/11/2025 23:15</t>
  </si>
  <si>
    <t>16/11/2025 23:30</t>
  </si>
  <si>
    <t>16/11/2025 23:45</t>
  </si>
  <si>
    <t>16/11/2025 24:00</t>
  </si>
  <si>
    <t>17/11/2025 00:15</t>
  </si>
  <si>
    <t>17/11/2025 00:30</t>
  </si>
  <si>
    <t>17/11/2025 00:45</t>
  </si>
  <si>
    <t>17/11/2025 01:00</t>
  </si>
  <si>
    <t>17/11/2025 01:15</t>
  </si>
  <si>
    <t>17/11/2025 01:30</t>
  </si>
  <si>
    <t>17/11/2025 01:45</t>
  </si>
  <si>
    <t>17/11/2025 02:00</t>
  </si>
  <si>
    <t>17/11/2025 02:15</t>
  </si>
  <si>
    <t>17/11/2025 02:30</t>
  </si>
  <si>
    <t>17/11/2025 02:45</t>
  </si>
  <si>
    <t>17/11/2025 03:00</t>
  </si>
  <si>
    <t>17/11/2025 03:15</t>
  </si>
  <si>
    <t>17/11/2025 03:30</t>
  </si>
  <si>
    <t>17/11/2025 03:45</t>
  </si>
  <si>
    <t>17/11/2025 04:00</t>
  </si>
  <si>
    <t>17/11/2025 04:15</t>
  </si>
  <si>
    <t>17/11/2025 04:30</t>
  </si>
  <si>
    <t>17/11/2025 04:45</t>
  </si>
  <si>
    <t>17/11/2025 05:00</t>
  </si>
  <si>
    <t>17/11/2025 05:15</t>
  </si>
  <si>
    <t>17/11/2025 05:30</t>
  </si>
  <si>
    <t>17/11/2025 05:45</t>
  </si>
  <si>
    <t>17/11/2025 06:00</t>
  </si>
  <si>
    <t>17/11/2025 06:15</t>
  </si>
  <si>
    <t>17/11/2025 06:30</t>
  </si>
  <si>
    <t>17/11/2025 06:45</t>
  </si>
  <si>
    <t>17/11/2025 07:00</t>
  </si>
  <si>
    <t>17/11/2025 07:15</t>
  </si>
  <si>
    <t>17/11/2025 07:30</t>
  </si>
  <si>
    <t>17/11/2025 07:45</t>
  </si>
  <si>
    <t>17/11/2025 08:00</t>
  </si>
  <si>
    <t>17/11/2025 08:15</t>
  </si>
  <si>
    <t>17/11/2025 08:30</t>
  </si>
  <si>
    <t>17/11/2025 08:45</t>
  </si>
  <si>
    <t>17/11/2025 09:00</t>
  </si>
  <si>
    <t>17/11/2025 09:15</t>
  </si>
  <si>
    <t>17/11/2025 09:30</t>
  </si>
  <si>
    <t>17/11/2025 09:45</t>
  </si>
  <si>
    <t>17/11/2025 10:00</t>
  </si>
  <si>
    <t>17/11/2025 10:15</t>
  </si>
  <si>
    <t>17/11/2025 10:30</t>
  </si>
  <si>
    <t>17/11/2025 10:45</t>
  </si>
  <si>
    <t>17/11/2025 11:00</t>
  </si>
  <si>
    <t>17/11/2025 11:15</t>
  </si>
  <si>
    <t>17/11/2025 11:30</t>
  </si>
  <si>
    <t>17/11/2025 11:45</t>
  </si>
  <si>
    <t>17/11/2025 12:00</t>
  </si>
  <si>
    <t>17/11/2025 12:15</t>
  </si>
  <si>
    <t>17/11/2025 12:30</t>
  </si>
  <si>
    <t>17/11/2025 12:45</t>
  </si>
  <si>
    <t>17/11/2025 13:00</t>
  </si>
  <si>
    <t>17/11/2025 13:15</t>
  </si>
  <si>
    <t>17/11/2025 13:30</t>
  </si>
  <si>
    <t>17/11/2025 13:45</t>
  </si>
  <si>
    <t>17/11/2025 14:00</t>
  </si>
  <si>
    <t>17/11/2025 14:15</t>
  </si>
  <si>
    <t>17/11/2025 14:30</t>
  </si>
  <si>
    <t>17/11/2025 14:45</t>
  </si>
  <si>
    <t>17/11/2025 15:00</t>
  </si>
  <si>
    <t>17/11/2025 15:15</t>
  </si>
  <si>
    <t>17/11/2025 15:30</t>
  </si>
  <si>
    <t>17/11/2025 15:45</t>
  </si>
  <si>
    <t>17/11/2025 16:00</t>
  </si>
  <si>
    <t>17/11/2025 16:15</t>
  </si>
  <si>
    <t>17/11/2025 16:30</t>
  </si>
  <si>
    <t>17/11/2025 16:45</t>
  </si>
  <si>
    <t>17/11/2025 17:00</t>
  </si>
  <si>
    <t>17/11/2025 17:15</t>
  </si>
  <si>
    <t>17/11/2025 17:30</t>
  </si>
  <si>
    <t>17/11/2025 17:45</t>
  </si>
  <si>
    <t>17/11/2025 18:00</t>
  </si>
  <si>
    <t>17/11/2025 18:15</t>
  </si>
  <si>
    <t>17/11/2025 18:30</t>
  </si>
  <si>
    <t>17/11/2025 18:45</t>
  </si>
  <si>
    <t>17/11/2025 19:00</t>
  </si>
  <si>
    <t>17/11/2025 19:15</t>
  </si>
  <si>
    <t>17/11/2025 19:30</t>
  </si>
  <si>
    <t>17/11/2025 19:45</t>
  </si>
  <si>
    <t>17/11/2025 20:00</t>
  </si>
  <si>
    <t>17/11/2025 20:15</t>
  </si>
  <si>
    <t>17/11/2025 20:30</t>
  </si>
  <si>
    <t>17/11/2025 20:45</t>
  </si>
  <si>
    <t>17/11/2025 21:00</t>
  </si>
  <si>
    <t>17/11/2025 21:15</t>
  </si>
  <si>
    <t>17/11/2025 21:30</t>
  </si>
  <si>
    <t>17/11/2025 21:45</t>
  </si>
  <si>
    <t>17/11/2025 22:00</t>
  </si>
  <si>
    <t>17/11/2025 22:15</t>
  </si>
  <si>
    <t>17/11/2025 22:30</t>
  </si>
  <si>
    <t>17/11/2025 22:45</t>
  </si>
  <si>
    <t>17/11/2025 23:00</t>
  </si>
  <si>
    <t>17/11/2025 23:15</t>
  </si>
  <si>
    <t>17/11/2025 23:30</t>
  </si>
  <si>
    <t>17/11/2025 23:45</t>
  </si>
  <si>
    <t>17/11/2025 24:00</t>
  </si>
  <si>
    <t>18/11/2025 00:15</t>
  </si>
  <si>
    <t>18/11/2025 00:30</t>
  </si>
  <si>
    <t>18/11/2025 00:45</t>
  </si>
  <si>
    <t>18/11/2025 01:00</t>
  </si>
  <si>
    <t>18/11/2025 01:15</t>
  </si>
  <si>
    <t>18/11/2025 01:30</t>
  </si>
  <si>
    <t>18/11/2025 01:45</t>
  </si>
  <si>
    <t>18/11/2025 02:00</t>
  </si>
  <si>
    <t>18/11/2025 02:15</t>
  </si>
  <si>
    <t>18/11/2025 02:30</t>
  </si>
  <si>
    <t>18/11/2025 02:45</t>
  </si>
  <si>
    <t>18/11/2025 03:00</t>
  </si>
  <si>
    <t>18/11/2025 03:15</t>
  </si>
  <si>
    <t>18/11/2025 03:30</t>
  </si>
  <si>
    <t>18/11/2025 03:45</t>
  </si>
  <si>
    <t>18/11/2025 04:00</t>
  </si>
  <si>
    <t>18/11/2025 04:15</t>
  </si>
  <si>
    <t>18/11/2025 04:30</t>
  </si>
  <si>
    <t>18/11/2025 04:45</t>
  </si>
  <si>
    <t>18/11/2025 05:00</t>
  </si>
  <si>
    <t>18/11/2025 05:15</t>
  </si>
  <si>
    <t>18/11/2025 05:30</t>
  </si>
  <si>
    <t>18/11/2025 05:45</t>
  </si>
  <si>
    <t>18/11/2025 06:00</t>
  </si>
  <si>
    <t>18/11/2025 06:15</t>
  </si>
  <si>
    <t>18/11/2025 06:30</t>
  </si>
  <si>
    <t>18/11/2025 06:45</t>
  </si>
  <si>
    <t>18/11/2025 07:00</t>
  </si>
  <si>
    <t>18/11/2025 07:15</t>
  </si>
  <si>
    <t>18/11/2025 07:30</t>
  </si>
  <si>
    <t>18/11/2025 07:45</t>
  </si>
  <si>
    <t>18/11/2025 08:00</t>
  </si>
  <si>
    <t>18/11/2025 08:15</t>
  </si>
  <si>
    <t>18/11/2025 08:30</t>
  </si>
  <si>
    <t>18/11/2025 08:45</t>
  </si>
  <si>
    <t>18/11/2025 09:00</t>
  </si>
  <si>
    <t>18/11/2025 09:15</t>
  </si>
  <si>
    <t>18/11/2025 09:30</t>
  </si>
  <si>
    <t>18/11/2025 09:45</t>
  </si>
  <si>
    <t>18/11/2025 10:00</t>
  </si>
  <si>
    <t>18/11/2025 10:15</t>
  </si>
  <si>
    <t>18/11/2025 10:30</t>
  </si>
  <si>
    <t>18/11/2025 10:45</t>
  </si>
  <si>
    <t>18/11/2025 11:00</t>
  </si>
  <si>
    <t>18/11/2025 11:15</t>
  </si>
  <si>
    <t>18/11/2025 11:30</t>
  </si>
  <si>
    <t>18/11/2025 11:45</t>
  </si>
  <si>
    <t>18/11/2025 12:00</t>
  </si>
  <si>
    <t>18/11/2025 12:15</t>
  </si>
  <si>
    <t>18/11/2025 12:30</t>
  </si>
  <si>
    <t>18/11/2025 12:45</t>
  </si>
  <si>
    <t>18/11/2025 13:00</t>
  </si>
  <si>
    <t>18/11/2025 13:15</t>
  </si>
  <si>
    <t>18/11/2025 13:30</t>
  </si>
  <si>
    <t>18/11/2025 13:45</t>
  </si>
  <si>
    <t>18/11/2025 14:00</t>
  </si>
  <si>
    <t>18/11/2025 14:15</t>
  </si>
  <si>
    <t>18/11/2025 14:30</t>
  </si>
  <si>
    <t>18/11/2025 14:45</t>
  </si>
  <si>
    <t>18/11/2025 15:00</t>
  </si>
  <si>
    <t>18/11/2025 15:15</t>
  </si>
  <si>
    <t>18/11/2025 15:30</t>
  </si>
  <si>
    <t>18/11/2025 15:45</t>
  </si>
  <si>
    <t>18/11/2025 16:00</t>
  </si>
  <si>
    <t>18/11/2025 16:15</t>
  </si>
  <si>
    <t>18/11/2025 16:30</t>
  </si>
  <si>
    <t>18/11/2025 16:45</t>
  </si>
  <si>
    <t>18/11/2025 17:00</t>
  </si>
  <si>
    <t>18/11/2025 17:15</t>
  </si>
  <si>
    <t>18/11/2025 17:30</t>
  </si>
  <si>
    <t>18/11/2025 17:45</t>
  </si>
  <si>
    <t>18/11/2025 18:00</t>
  </si>
  <si>
    <t>18/11/2025 18:15</t>
  </si>
  <si>
    <t>18/11/2025 18:30</t>
  </si>
  <si>
    <t>18/11/2025 18:45</t>
  </si>
  <si>
    <t>18/11/2025 19:00</t>
  </si>
  <si>
    <t>18/11/2025 19:15</t>
  </si>
  <si>
    <t>18/11/2025 19:30</t>
  </si>
  <si>
    <t>18/11/2025 19:45</t>
  </si>
  <si>
    <t>18/11/2025 20:00</t>
  </si>
  <si>
    <t>18/11/2025 20:15</t>
  </si>
  <si>
    <t>18/11/2025 20:30</t>
  </si>
  <si>
    <t>18/11/2025 20:45</t>
  </si>
  <si>
    <t>18/11/2025 21:00</t>
  </si>
  <si>
    <t>18/11/2025 21:15</t>
  </si>
  <si>
    <t>18/11/2025 21:30</t>
  </si>
  <si>
    <t>18/11/2025 21:45</t>
  </si>
  <si>
    <t>18/11/2025 22:00</t>
  </si>
  <si>
    <t>18/11/2025 22:15</t>
  </si>
  <si>
    <t>18/11/2025 22:30</t>
  </si>
  <si>
    <t>18/11/2025 22:45</t>
  </si>
  <si>
    <t>18/11/2025 23:00</t>
  </si>
  <si>
    <t>18/11/2025 23:15</t>
  </si>
  <si>
    <t>18/11/2025 23:30</t>
  </si>
  <si>
    <t>18/11/2025 23:45</t>
  </si>
  <si>
    <t>18/11/2025 24:00</t>
  </si>
  <si>
    <t>19/11/2025 00:15</t>
  </si>
  <si>
    <t>19/11/2025 00:30</t>
  </si>
  <si>
    <t>19/11/2025 00:45</t>
  </si>
  <si>
    <t>19/11/2025 01:00</t>
  </si>
  <si>
    <t>19/11/2025 01:15</t>
  </si>
  <si>
    <t>19/11/2025 01:30</t>
  </si>
  <si>
    <t>19/11/2025 01:45</t>
  </si>
  <si>
    <t>19/11/2025 02:00</t>
  </si>
  <si>
    <t>19/11/2025 02:15</t>
  </si>
  <si>
    <t>19/11/2025 02:30</t>
  </si>
  <si>
    <t>19/11/2025 02:45</t>
  </si>
  <si>
    <t>19/11/2025 03:00</t>
  </si>
  <si>
    <t>19/11/2025 03:15</t>
  </si>
  <si>
    <t>19/11/2025 03:30</t>
  </si>
  <si>
    <t>19/11/2025 03:45</t>
  </si>
  <si>
    <t>19/11/2025 04:00</t>
  </si>
  <si>
    <t>19/11/2025 04:15</t>
  </si>
  <si>
    <t>19/11/2025 04:30</t>
  </si>
  <si>
    <t>19/11/2025 04:45</t>
  </si>
  <si>
    <t>19/11/2025 05:00</t>
  </si>
  <si>
    <t>19/11/2025 05:15</t>
  </si>
  <si>
    <t>19/11/2025 05:30</t>
  </si>
  <si>
    <t>19/11/2025 05:45</t>
  </si>
  <si>
    <t>19/11/2025 06:00</t>
  </si>
  <si>
    <t>19/11/2025 06:15</t>
  </si>
  <si>
    <t>19/11/2025 06:30</t>
  </si>
  <si>
    <t>19/11/2025 06:45</t>
  </si>
  <si>
    <t>19/11/2025 07:00</t>
  </si>
  <si>
    <t>19/11/2025 07:15</t>
  </si>
  <si>
    <t>19/11/2025 07:30</t>
  </si>
  <si>
    <t>19/11/2025 07:45</t>
  </si>
  <si>
    <t>19/11/2025 08:00</t>
  </si>
  <si>
    <t>19/11/2025 08:15</t>
  </si>
  <si>
    <t>19/11/2025 08:30</t>
  </si>
  <si>
    <t>19/11/2025 08:45</t>
  </si>
  <si>
    <t>19/11/2025 09:00</t>
  </si>
  <si>
    <t>19/11/2025 09:15</t>
  </si>
  <si>
    <t>19/11/2025 09:30</t>
  </si>
  <si>
    <t>19/11/2025 09:45</t>
  </si>
  <si>
    <t>19/11/2025 10:00</t>
  </si>
  <si>
    <t>19/11/2025 10:15</t>
  </si>
  <si>
    <t>19/11/2025 10:30</t>
  </si>
  <si>
    <t>19/11/2025 10:45</t>
  </si>
  <si>
    <t>19/11/2025 11:00</t>
  </si>
  <si>
    <t>19/11/2025 11:15</t>
  </si>
  <si>
    <t>19/11/2025 11:30</t>
  </si>
  <si>
    <t>19/11/2025 11:45</t>
  </si>
  <si>
    <t>19/11/2025 12:00</t>
  </si>
  <si>
    <t>19/11/2025 12:15</t>
  </si>
  <si>
    <t>19/11/2025 12:30</t>
  </si>
  <si>
    <t>19/11/2025 12:45</t>
  </si>
  <si>
    <t>19/11/2025 13:00</t>
  </si>
  <si>
    <t>19/11/2025 13:15</t>
  </si>
  <si>
    <t>19/11/2025 13:30</t>
  </si>
  <si>
    <t>19/11/2025 13:45</t>
  </si>
  <si>
    <t>19/11/2025 14:00</t>
  </si>
  <si>
    <t>19/11/2025 14:15</t>
  </si>
  <si>
    <t>19/11/2025 14:30</t>
  </si>
  <si>
    <t>19/11/2025 14:45</t>
  </si>
  <si>
    <t>19/11/2025 15:00</t>
  </si>
  <si>
    <t>19/11/2025 15:15</t>
  </si>
  <si>
    <t>19/11/2025 15:30</t>
  </si>
  <si>
    <t>19/11/2025 15:45</t>
  </si>
  <si>
    <t>19/11/2025 16:00</t>
  </si>
  <si>
    <t>19/11/2025 16:15</t>
  </si>
  <si>
    <t>19/11/2025 16:30</t>
  </si>
  <si>
    <t>19/11/2025 16:45</t>
  </si>
  <si>
    <t>19/11/2025 17:00</t>
  </si>
  <si>
    <t>19/11/2025 17:15</t>
  </si>
  <si>
    <t>19/11/2025 17:30</t>
  </si>
  <si>
    <t>19/11/2025 17:45</t>
  </si>
  <si>
    <t>19/11/2025 18:00</t>
  </si>
  <si>
    <t>19/11/2025 18:15</t>
  </si>
  <si>
    <t>19/11/2025 18:30</t>
  </si>
  <si>
    <t>19/11/2025 18:45</t>
  </si>
  <si>
    <t>19/11/2025 19:00</t>
  </si>
  <si>
    <t>19/11/2025 19:15</t>
  </si>
  <si>
    <t>19/11/2025 19:30</t>
  </si>
  <si>
    <t>19/11/2025 19:45</t>
  </si>
  <si>
    <t>19/11/2025 20:00</t>
  </si>
  <si>
    <t>19/11/2025 20:15</t>
  </si>
  <si>
    <t>19/11/2025 20:30</t>
  </si>
  <si>
    <t>19/11/2025 20:45</t>
  </si>
  <si>
    <t>19/11/2025 21:00</t>
  </si>
  <si>
    <t>19/11/2025 21:15</t>
  </si>
  <si>
    <t>19/11/2025 21:30</t>
  </si>
  <si>
    <t>19/11/2025 21:45</t>
  </si>
  <si>
    <t>19/11/2025 22:00</t>
  </si>
  <si>
    <t>19/11/2025 22:15</t>
  </si>
  <si>
    <t>19/11/2025 22:30</t>
  </si>
  <si>
    <t>19/11/2025 22:45</t>
  </si>
  <si>
    <t>19/11/2025 23:00</t>
  </si>
  <si>
    <t>19/11/2025 23:15</t>
  </si>
  <si>
    <t>19/11/2025 23:30</t>
  </si>
  <si>
    <t>19/11/2025 23:45</t>
  </si>
  <si>
    <t>19/11/2025 24:00</t>
  </si>
  <si>
    <t>20/11/2025 00:15</t>
  </si>
  <si>
    <t>20/11/2025 00:30</t>
  </si>
  <si>
    <t>20/11/2025 00:45</t>
  </si>
  <si>
    <t>20/11/2025 01:00</t>
  </si>
  <si>
    <t>20/11/2025 01:15</t>
  </si>
  <si>
    <t>20/11/2025 01:30</t>
  </si>
  <si>
    <t>20/11/2025 01:45</t>
  </si>
  <si>
    <t>20/11/2025 02:00</t>
  </si>
  <si>
    <t>20/11/2025 02:15</t>
  </si>
  <si>
    <t>20/11/2025 02:30</t>
  </si>
  <si>
    <t>20/11/2025 02:45</t>
  </si>
  <si>
    <t>20/11/2025 03:00</t>
  </si>
  <si>
    <t>20/11/2025 03:15</t>
  </si>
  <si>
    <t>20/11/2025 03:30</t>
  </si>
  <si>
    <t>20/11/2025 03:45</t>
  </si>
  <si>
    <t>20/11/2025 04:00</t>
  </si>
  <si>
    <t>20/11/2025 04:15</t>
  </si>
  <si>
    <t>20/11/2025 04:30</t>
  </si>
  <si>
    <t>20/11/2025 04:45</t>
  </si>
  <si>
    <t>20/11/2025 05:00</t>
  </si>
  <si>
    <t>20/11/2025 05:15</t>
  </si>
  <si>
    <t>20/11/2025 05:30</t>
  </si>
  <si>
    <t>20/11/2025 05:45</t>
  </si>
  <si>
    <t>20/11/2025 06:00</t>
  </si>
  <si>
    <t>20/11/2025 06:15</t>
  </si>
  <si>
    <t>20/11/2025 06:30</t>
  </si>
  <si>
    <t>20/11/2025 06:45</t>
  </si>
  <si>
    <t>20/11/2025 07:00</t>
  </si>
  <si>
    <t>20/11/2025 07:15</t>
  </si>
  <si>
    <t>20/11/2025 07:30</t>
  </si>
  <si>
    <t>20/11/2025 07:45</t>
  </si>
  <si>
    <t>20/11/2025 08:00</t>
  </si>
  <si>
    <t>20/11/2025 08:15</t>
  </si>
  <si>
    <t>20/11/2025 08:30</t>
  </si>
  <si>
    <t>20/11/2025 08:45</t>
  </si>
  <si>
    <t>20/11/2025 09:00</t>
  </si>
  <si>
    <t>20/11/2025 09:15</t>
  </si>
  <si>
    <t>20/11/2025 09:30</t>
  </si>
  <si>
    <t>20/11/2025 09:45</t>
  </si>
  <si>
    <t>20/11/2025 10:00</t>
  </si>
  <si>
    <t>20/11/2025 10:15</t>
  </si>
  <si>
    <t>20/11/2025 10:30</t>
  </si>
  <si>
    <t>20/11/2025 10:45</t>
  </si>
  <si>
    <t>20/11/2025 11:00</t>
  </si>
  <si>
    <t>20/11/2025 11:15</t>
  </si>
  <si>
    <t>20/11/2025 11:30</t>
  </si>
  <si>
    <t>20/11/2025 11:45</t>
  </si>
  <si>
    <t>20/11/2025 12:00</t>
  </si>
  <si>
    <t>20/11/2025 12:15</t>
  </si>
  <si>
    <t>20/11/2025 12:30</t>
  </si>
  <si>
    <t>20/11/2025 12:45</t>
  </si>
  <si>
    <t>20/11/2025 13:00</t>
  </si>
  <si>
    <t>20/11/2025 13:15</t>
  </si>
  <si>
    <t>20/11/2025 13:30</t>
  </si>
  <si>
    <t>20/11/2025 13:45</t>
  </si>
  <si>
    <t>20/11/2025 14:00</t>
  </si>
  <si>
    <t>20/11/2025 14:15</t>
  </si>
  <si>
    <t>20/11/2025 14:30</t>
  </si>
  <si>
    <t>20/11/2025 14:45</t>
  </si>
  <si>
    <t>20/11/2025 15:00</t>
  </si>
  <si>
    <t>20/11/2025 15:15</t>
  </si>
  <si>
    <t>20/11/2025 15:30</t>
  </si>
  <si>
    <t>20/11/2025 15:45</t>
  </si>
  <si>
    <t>20/11/2025 16:00</t>
  </si>
  <si>
    <t>20/11/2025 16:15</t>
  </si>
  <si>
    <t>20/11/2025 16:30</t>
  </si>
  <si>
    <t>20/11/2025 16:45</t>
  </si>
  <si>
    <t>20/11/2025 17:00</t>
  </si>
  <si>
    <t>20/11/2025 17:15</t>
  </si>
  <si>
    <t>20/11/2025 17:30</t>
  </si>
  <si>
    <t>20/11/2025 17:45</t>
  </si>
  <si>
    <t>20/11/2025 18:00</t>
  </si>
  <si>
    <t>20/11/2025 18:15</t>
  </si>
  <si>
    <t>20/11/2025 18:30</t>
  </si>
  <si>
    <t>20/11/2025 18:45</t>
  </si>
  <si>
    <t>20/11/2025 19:00</t>
  </si>
  <si>
    <t>20/11/2025 19:15</t>
  </si>
  <si>
    <t>20/11/2025 19:30</t>
  </si>
  <si>
    <t>20/11/2025 19:45</t>
  </si>
  <si>
    <t>20/11/2025 20:00</t>
  </si>
  <si>
    <t>20/11/2025 20:15</t>
  </si>
  <si>
    <t>20/11/2025 20:30</t>
  </si>
  <si>
    <t>20/11/2025 20:45</t>
  </si>
  <si>
    <t>20/11/2025 21:00</t>
  </si>
  <si>
    <t>20/11/2025 21:15</t>
  </si>
  <si>
    <t>20/11/2025 21:30</t>
  </si>
  <si>
    <t>20/11/2025 21:45</t>
  </si>
  <si>
    <t>20/11/2025 22:00</t>
  </si>
  <si>
    <t>20/11/2025 22:15</t>
  </si>
  <si>
    <t>20/11/2025 22:30</t>
  </si>
  <si>
    <t>20/11/2025 22:45</t>
  </si>
  <si>
    <t>20/11/2025 23:00</t>
  </si>
  <si>
    <t>20/11/2025 23:15</t>
  </si>
  <si>
    <t>20/11/2025 23:30</t>
  </si>
  <si>
    <t>20/11/2025 23:45</t>
  </si>
  <si>
    <t>20/11/2025 24:00</t>
  </si>
  <si>
    <t>21/11/2025 00:15</t>
  </si>
  <si>
    <t>21/11/2025 00:30</t>
  </si>
  <si>
    <t>21/11/2025 00:45</t>
  </si>
  <si>
    <t>21/11/2025 01:00</t>
  </si>
  <si>
    <t>21/11/2025 01:15</t>
  </si>
  <si>
    <t>21/11/2025 01:30</t>
  </si>
  <si>
    <t>21/11/2025 01:45</t>
  </si>
  <si>
    <t>21/11/2025 02:00</t>
  </si>
  <si>
    <t>21/11/2025 02:15</t>
  </si>
  <si>
    <t>21/11/2025 02:30</t>
  </si>
  <si>
    <t>21/11/2025 02:45</t>
  </si>
  <si>
    <t>21/11/2025 03:00</t>
  </si>
  <si>
    <t>21/11/2025 03:15</t>
  </si>
  <si>
    <t>21/11/2025 03:30</t>
  </si>
  <si>
    <t>21/11/2025 03:45</t>
  </si>
  <si>
    <t>21/11/2025 04:00</t>
  </si>
  <si>
    <t>21/11/2025 04:15</t>
  </si>
  <si>
    <t>21/11/2025 04:30</t>
  </si>
  <si>
    <t>21/11/2025 04:45</t>
  </si>
  <si>
    <t>21/11/2025 05:00</t>
  </si>
  <si>
    <t>21/11/2025 05:15</t>
  </si>
  <si>
    <t>21/11/2025 05:30</t>
  </si>
  <si>
    <t>21/11/2025 05:45</t>
  </si>
  <si>
    <t>21/11/2025 06:00</t>
  </si>
  <si>
    <t>21/11/2025 06:15</t>
  </si>
  <si>
    <t>21/11/2025 06:30</t>
  </si>
  <si>
    <t>21/11/2025 06:45</t>
  </si>
  <si>
    <t>21/11/2025 07:00</t>
  </si>
  <si>
    <t>21/11/2025 07:15</t>
  </si>
  <si>
    <t>21/11/2025 07:30</t>
  </si>
  <si>
    <t>21/11/2025 07:45</t>
  </si>
  <si>
    <t>21/11/2025 08:00</t>
  </si>
  <si>
    <t>21/11/2025 08:15</t>
  </si>
  <si>
    <t>21/11/2025 08:30</t>
  </si>
  <si>
    <t>21/11/2025 08:45</t>
  </si>
  <si>
    <t>21/11/2025 09:00</t>
  </si>
  <si>
    <t>21/11/2025 09:15</t>
  </si>
  <si>
    <t>21/11/2025 09:30</t>
  </si>
  <si>
    <t>21/11/2025 09:45</t>
  </si>
  <si>
    <t>21/11/2025 10:00</t>
  </si>
  <si>
    <t>21/11/2025 10:15</t>
  </si>
  <si>
    <t>21/11/2025 10:30</t>
  </si>
  <si>
    <t>21/11/2025 10:45</t>
  </si>
  <si>
    <t>21/11/2025 11:00</t>
  </si>
  <si>
    <t>21/11/2025 11:15</t>
  </si>
  <si>
    <t>21/11/2025 11:30</t>
  </si>
  <si>
    <t>21/11/2025 11:45</t>
  </si>
  <si>
    <t>21/11/2025 12:00</t>
  </si>
  <si>
    <t>21/11/2025 12:15</t>
  </si>
  <si>
    <t>21/11/2025 12:30</t>
  </si>
  <si>
    <t>21/11/2025 12:45</t>
  </si>
  <si>
    <t>21/11/2025 13:00</t>
  </si>
  <si>
    <t>21/11/2025 13:15</t>
  </si>
  <si>
    <t>21/11/2025 13:30</t>
  </si>
  <si>
    <t>21/11/2025 13:45</t>
  </si>
  <si>
    <t>21/11/2025 14:00</t>
  </si>
  <si>
    <t>21/11/2025 14:15</t>
  </si>
  <si>
    <t>21/11/2025 14:30</t>
  </si>
  <si>
    <t>21/11/2025 14:45</t>
  </si>
  <si>
    <t>21/11/2025 15:00</t>
  </si>
  <si>
    <t>21/11/2025 15:15</t>
  </si>
  <si>
    <t>21/11/2025 15:30</t>
  </si>
  <si>
    <t>21/11/2025 15:45</t>
  </si>
  <si>
    <t>21/11/2025 16:00</t>
  </si>
  <si>
    <t>21/11/2025 16:15</t>
  </si>
  <si>
    <t>21/11/2025 16:30</t>
  </si>
  <si>
    <t>21/11/2025 16:45</t>
  </si>
  <si>
    <t>21/11/2025 17:00</t>
  </si>
  <si>
    <t>21/11/2025 17:15</t>
  </si>
  <si>
    <t>21/11/2025 17:30</t>
  </si>
  <si>
    <t>21/11/2025 17:45</t>
  </si>
  <si>
    <t>21/11/2025 18:00</t>
  </si>
  <si>
    <t>21/11/2025 18:15</t>
  </si>
  <si>
    <t>21/11/2025 18:30</t>
  </si>
  <si>
    <t>21/11/2025 18:45</t>
  </si>
  <si>
    <t>21/11/2025 19:00</t>
  </si>
  <si>
    <t>21/11/2025 19:15</t>
  </si>
  <si>
    <t>21/11/2025 19:30</t>
  </si>
  <si>
    <t>21/11/2025 19:45</t>
  </si>
  <si>
    <t>21/11/2025 20:00</t>
  </si>
  <si>
    <t>21/11/2025 20:15</t>
  </si>
  <si>
    <t>21/11/2025 20:30</t>
  </si>
  <si>
    <t>21/11/2025 20:45</t>
  </si>
  <si>
    <t>21/11/2025 21:00</t>
  </si>
  <si>
    <t>21/11/2025 21:15</t>
  </si>
  <si>
    <t>21/11/2025 21:30</t>
  </si>
  <si>
    <t>21/11/2025 21:45</t>
  </si>
  <si>
    <t>21/11/2025 22:00</t>
  </si>
  <si>
    <t>21/11/2025 22:15</t>
  </si>
  <si>
    <t>21/11/2025 22:30</t>
  </si>
  <si>
    <t>21/11/2025 22:45</t>
  </si>
  <si>
    <t>21/11/2025 23:00</t>
  </si>
  <si>
    <t>21/11/2025 23:15</t>
  </si>
  <si>
    <t>21/11/2025 23:30</t>
  </si>
  <si>
    <t>21/11/2025 23:45</t>
  </si>
  <si>
    <t>21/11/2025 24:00</t>
  </si>
  <si>
    <t>22/11/2025 00:15</t>
  </si>
  <si>
    <t>22/11/2025 00:30</t>
  </si>
  <si>
    <t>22/11/2025 00:45</t>
  </si>
  <si>
    <t>22/11/2025 01:00</t>
  </si>
  <si>
    <t>22/11/2025 01:15</t>
  </si>
  <si>
    <t>22/11/2025 01:30</t>
  </si>
  <si>
    <t>22/11/2025 01:45</t>
  </si>
  <si>
    <t>22/11/2025 02:00</t>
  </si>
  <si>
    <t>22/11/2025 02:15</t>
  </si>
  <si>
    <t>22/11/2025 02:30</t>
  </si>
  <si>
    <t>22/11/2025 02:45</t>
  </si>
  <si>
    <t>22/11/2025 03:00</t>
  </si>
  <si>
    <t>22/11/2025 03:15</t>
  </si>
  <si>
    <t>22/11/2025 03:30</t>
  </si>
  <si>
    <t>22/11/2025 03:45</t>
  </si>
  <si>
    <t>22/11/2025 04:00</t>
  </si>
  <si>
    <t>22/11/2025 04:15</t>
  </si>
  <si>
    <t>22/11/2025 04:30</t>
  </si>
  <si>
    <t>22/11/2025 04:45</t>
  </si>
  <si>
    <t>22/11/2025 05:00</t>
  </si>
  <si>
    <t>22/11/2025 05:15</t>
  </si>
  <si>
    <t>22/11/2025 05:30</t>
  </si>
  <si>
    <t>22/11/2025 05:45</t>
  </si>
  <si>
    <t>22/11/2025 06:00</t>
  </si>
  <si>
    <t>22/11/2025 06:15</t>
  </si>
  <si>
    <t>22/11/2025 06:30</t>
  </si>
  <si>
    <t>22/11/2025 06:45</t>
  </si>
  <si>
    <t>22/11/2025 07:00</t>
  </si>
  <si>
    <t>22/11/2025 07:15</t>
  </si>
  <si>
    <t>22/11/2025 07:30</t>
  </si>
  <si>
    <t>22/11/2025 07:45</t>
  </si>
  <si>
    <t>22/11/2025 08:00</t>
  </si>
  <si>
    <t>22/11/2025 08:15</t>
  </si>
  <si>
    <t>22/11/2025 08:30</t>
  </si>
  <si>
    <t>22/11/2025 08:45</t>
  </si>
  <si>
    <t>22/11/2025 09:00</t>
  </si>
  <si>
    <t>22/11/2025 09:15</t>
  </si>
  <si>
    <t>22/11/2025 09:30</t>
  </si>
  <si>
    <t>22/11/2025 09:45</t>
  </si>
  <si>
    <t>22/11/2025 10:00</t>
  </si>
  <si>
    <t>22/11/2025 10:15</t>
  </si>
  <si>
    <t>22/11/2025 10:30</t>
  </si>
  <si>
    <t>22/11/2025 10:45</t>
  </si>
  <si>
    <t>22/11/2025 11:00</t>
  </si>
  <si>
    <t>22/11/2025 11:15</t>
  </si>
  <si>
    <t>22/11/2025 11:30</t>
  </si>
  <si>
    <t>22/11/2025 11:45</t>
  </si>
  <si>
    <t>22/11/2025 12:00</t>
  </si>
  <si>
    <t>22/11/2025 12:15</t>
  </si>
  <si>
    <t>22/11/2025 12:30</t>
  </si>
  <si>
    <t>22/11/2025 12:45</t>
  </si>
  <si>
    <t>22/11/2025 13:00</t>
  </si>
  <si>
    <t>22/11/2025 13:15</t>
  </si>
  <si>
    <t>22/11/2025 13:30</t>
  </si>
  <si>
    <t>22/11/2025 13:45</t>
  </si>
  <si>
    <t>22/11/2025 14:00</t>
  </si>
  <si>
    <t>22/11/2025 14:15</t>
  </si>
  <si>
    <t>22/11/2025 14:30</t>
  </si>
  <si>
    <t>22/11/2025 14:45</t>
  </si>
  <si>
    <t>22/11/2025 15:00</t>
  </si>
  <si>
    <t>22/11/2025 15:15</t>
  </si>
  <si>
    <t>22/11/2025 15:30</t>
  </si>
  <si>
    <t>22/11/2025 15:45</t>
  </si>
  <si>
    <t>22/11/2025 16:00</t>
  </si>
  <si>
    <t>22/11/2025 16:15</t>
  </si>
  <si>
    <t>22/11/2025 16:30</t>
  </si>
  <si>
    <t>22/11/2025 16:45</t>
  </si>
  <si>
    <t>22/11/2025 17:00</t>
  </si>
  <si>
    <t>22/11/2025 17:15</t>
  </si>
  <si>
    <t>22/11/2025 17:30</t>
  </si>
  <si>
    <t>22/11/2025 17:45</t>
  </si>
  <si>
    <t>22/11/2025 18:00</t>
  </si>
  <si>
    <t>22/11/2025 18:15</t>
  </si>
  <si>
    <t>22/11/2025 18:30</t>
  </si>
  <si>
    <t>22/11/2025 18:45</t>
  </si>
  <si>
    <t>22/11/2025 19:00</t>
  </si>
  <si>
    <t>22/11/2025 19:15</t>
  </si>
  <si>
    <t>22/11/2025 19:30</t>
  </si>
  <si>
    <t>22/11/2025 19:45</t>
  </si>
  <si>
    <t>22/11/2025 20:00</t>
  </si>
  <si>
    <t>22/11/2025 20:15</t>
  </si>
  <si>
    <t>22/11/2025 20:30</t>
  </si>
  <si>
    <t>22/11/2025 20:45</t>
  </si>
  <si>
    <t>22/11/2025 21:00</t>
  </si>
  <si>
    <t>22/11/2025 21:15</t>
  </si>
  <si>
    <t>22/11/2025 21:30</t>
  </si>
  <si>
    <t>22/11/2025 21:45</t>
  </si>
  <si>
    <t>22/11/2025 22:00</t>
  </si>
  <si>
    <t>22/11/2025 22:15</t>
  </si>
  <si>
    <t>22/11/2025 22:30</t>
  </si>
  <si>
    <t>22/11/2025 22:45</t>
  </si>
  <si>
    <t>22/11/2025 23:00</t>
  </si>
  <si>
    <t>22/11/2025 23:15</t>
  </si>
  <si>
    <t>22/11/2025 23:30</t>
  </si>
  <si>
    <t>22/11/2025 23:45</t>
  </si>
  <si>
    <t>22/11/2025 24:00</t>
  </si>
  <si>
    <t>23/11/2025 00:15</t>
  </si>
  <si>
    <t>23/11/2025 00:30</t>
  </si>
  <si>
    <t>23/11/2025 00:45</t>
  </si>
  <si>
    <t>23/11/2025 01:00</t>
  </si>
  <si>
    <t>23/11/2025 01:15</t>
  </si>
  <si>
    <t>23/11/2025 01:30</t>
  </si>
  <si>
    <t>23/11/2025 01:45</t>
  </si>
  <si>
    <t>23/11/2025 02:00</t>
  </si>
  <si>
    <t>23/11/2025 02:15</t>
  </si>
  <si>
    <t>23/11/2025 02:30</t>
  </si>
  <si>
    <t>23/11/2025 02:45</t>
  </si>
  <si>
    <t>23/11/2025 03:00</t>
  </si>
  <si>
    <t>23/11/2025 03:15</t>
  </si>
  <si>
    <t>23/11/2025 03:30</t>
  </si>
  <si>
    <t>23/11/2025 03:45</t>
  </si>
  <si>
    <t>23/11/2025 04:00</t>
  </si>
  <si>
    <t>23/11/2025 04:15</t>
  </si>
  <si>
    <t>23/11/2025 04:30</t>
  </si>
  <si>
    <t>23/11/2025 04:45</t>
  </si>
  <si>
    <t>23/11/2025 05:00</t>
  </si>
  <si>
    <t>23/11/2025 05:15</t>
  </si>
  <si>
    <t>23/11/2025 05:30</t>
  </si>
  <si>
    <t>23/11/2025 05:45</t>
  </si>
  <si>
    <t>23/11/2025 06:00</t>
  </si>
  <si>
    <t>23/11/2025 06:15</t>
  </si>
  <si>
    <t>23/11/2025 06:30</t>
  </si>
  <si>
    <t>23/11/2025 06:45</t>
  </si>
  <si>
    <t>23/11/2025 07:00</t>
  </si>
  <si>
    <t>23/11/2025 07:15</t>
  </si>
  <si>
    <t>23/11/2025 07:30</t>
  </si>
  <si>
    <t>23/11/2025 07:45</t>
  </si>
  <si>
    <t>23/11/2025 08:00</t>
  </si>
  <si>
    <t>23/11/2025 08:15</t>
  </si>
  <si>
    <t>23/11/2025 08:30</t>
  </si>
  <si>
    <t>23/11/2025 08:45</t>
  </si>
  <si>
    <t>23/11/2025 09:00</t>
  </si>
  <si>
    <t>23/11/2025 09:15</t>
  </si>
  <si>
    <t>23/11/2025 09:30</t>
  </si>
  <si>
    <t>23/11/2025 09:45</t>
  </si>
  <si>
    <t>23/11/2025 10:00</t>
  </si>
  <si>
    <t>23/11/2025 10:15</t>
  </si>
  <si>
    <t>23/11/2025 10:30</t>
  </si>
  <si>
    <t>23/11/2025 10:45</t>
  </si>
  <si>
    <t>23/11/2025 11:00</t>
  </si>
  <si>
    <t>23/11/2025 11:15</t>
  </si>
  <si>
    <t>23/11/2025 11:30</t>
  </si>
  <si>
    <t>23/11/2025 11:45</t>
  </si>
  <si>
    <t>23/11/2025 12:00</t>
  </si>
  <si>
    <t>23/11/2025 12:15</t>
  </si>
  <si>
    <t>23/11/2025 12:30</t>
  </si>
  <si>
    <t>23/11/2025 12:45</t>
  </si>
  <si>
    <t>23/11/2025 13:00</t>
  </si>
  <si>
    <t>23/11/2025 13:15</t>
  </si>
  <si>
    <t>23/11/2025 13:30</t>
  </si>
  <si>
    <t>23/11/2025 13:45</t>
  </si>
  <si>
    <t>23/11/2025 14:00</t>
  </si>
  <si>
    <t>23/11/2025 14:15</t>
  </si>
  <si>
    <t>23/11/2025 14:30</t>
  </si>
  <si>
    <t>23/11/2025 14:45</t>
  </si>
  <si>
    <t>23/11/2025 15:00</t>
  </si>
  <si>
    <t>23/11/2025 15:15</t>
  </si>
  <si>
    <t>23/11/2025 15:30</t>
  </si>
  <si>
    <t>23/11/2025 15:45</t>
  </si>
  <si>
    <t>23/11/2025 16:00</t>
  </si>
  <si>
    <t>23/11/2025 16:15</t>
  </si>
  <si>
    <t>23/11/2025 16:30</t>
  </si>
  <si>
    <t>23/11/2025 16:45</t>
  </si>
  <si>
    <t>23/11/2025 17:00</t>
  </si>
  <si>
    <t>23/11/2025 17:15</t>
  </si>
  <si>
    <t>23/11/2025 17:30</t>
  </si>
  <si>
    <t>23/11/2025 17:45</t>
  </si>
  <si>
    <t>23/11/2025 18:00</t>
  </si>
  <si>
    <t>23/11/2025 18:15</t>
  </si>
  <si>
    <t>23/11/2025 18:30</t>
  </si>
  <si>
    <t>23/11/2025 18:45</t>
  </si>
  <si>
    <t>23/11/2025 19:00</t>
  </si>
  <si>
    <t>23/11/2025 19:15</t>
  </si>
  <si>
    <t>23/11/2025 19:30</t>
  </si>
  <si>
    <t>23/11/2025 19:45</t>
  </si>
  <si>
    <t>23/11/2025 20:00</t>
  </si>
  <si>
    <t>23/11/2025 20:15</t>
  </si>
  <si>
    <t>23/11/2025 20:30</t>
  </si>
  <si>
    <t>23/11/2025 20:45</t>
  </si>
  <si>
    <t>23/11/2025 21:00</t>
  </si>
  <si>
    <t>23/11/2025 21:15</t>
  </si>
  <si>
    <t>23/11/2025 21:30</t>
  </si>
  <si>
    <t>23/11/2025 21:45</t>
  </si>
  <si>
    <t>23/11/2025 22:00</t>
  </si>
  <si>
    <t>23/11/2025 22:15</t>
  </si>
  <si>
    <t>23/11/2025 22:30</t>
  </si>
  <si>
    <t>23/11/2025 22:45</t>
  </si>
  <si>
    <t>23/11/2025 23:00</t>
  </si>
  <si>
    <t>23/11/2025 23:15</t>
  </si>
  <si>
    <t>23/11/2025 23:30</t>
  </si>
  <si>
    <t>23/11/2025 23:45</t>
  </si>
  <si>
    <t>23/11/2025 24:00</t>
  </si>
  <si>
    <t>24/11/2025 00:15</t>
  </si>
  <si>
    <t>24/11/2025 00:30</t>
  </si>
  <si>
    <t>24/11/2025 00:45</t>
  </si>
  <si>
    <t>24/11/2025 01:00</t>
  </si>
  <si>
    <t>24/11/2025 01:15</t>
  </si>
  <si>
    <t>24/11/2025 01:30</t>
  </si>
  <si>
    <t>24/11/2025 01:45</t>
  </si>
  <si>
    <t>24/11/2025 02:00</t>
  </si>
  <si>
    <t>24/11/2025 02:15</t>
  </si>
  <si>
    <t>24/11/2025 02:30</t>
  </si>
  <si>
    <t>24/11/2025 02:45</t>
  </si>
  <si>
    <t>24/11/2025 03:00</t>
  </si>
  <si>
    <t>24/11/2025 03:15</t>
  </si>
  <si>
    <t>24/11/2025 03:30</t>
  </si>
  <si>
    <t>24/11/2025 03:45</t>
  </si>
  <si>
    <t>24/11/2025 04:00</t>
  </si>
  <si>
    <t>24/11/2025 04:15</t>
  </si>
  <si>
    <t>24/11/2025 04:30</t>
  </si>
  <si>
    <t>24/11/2025 04:45</t>
  </si>
  <si>
    <t>24/11/2025 05:00</t>
  </si>
  <si>
    <t>24/11/2025 05:15</t>
  </si>
  <si>
    <t>24/11/2025 05:30</t>
  </si>
  <si>
    <t>24/11/2025 05:45</t>
  </si>
  <si>
    <t>24/11/2025 06:00</t>
  </si>
  <si>
    <t>24/11/2025 06:15</t>
  </si>
  <si>
    <t>24/11/2025 06:30</t>
  </si>
  <si>
    <t>24/11/2025 06:45</t>
  </si>
  <si>
    <t>24/11/2025 07:00</t>
  </si>
  <si>
    <t>24/11/2025 07:15</t>
  </si>
  <si>
    <t>24/11/2025 07:30</t>
  </si>
  <si>
    <t>24/11/2025 07:45</t>
  </si>
  <si>
    <t>24/11/2025 08:00</t>
  </si>
  <si>
    <t>24/11/2025 08:15</t>
  </si>
  <si>
    <t>24/11/2025 08:30</t>
  </si>
  <si>
    <t>24/11/2025 08:45</t>
  </si>
  <si>
    <t>24/11/2025 09:00</t>
  </si>
  <si>
    <t>24/11/2025 09:15</t>
  </si>
  <si>
    <t>24/11/2025 09:30</t>
  </si>
  <si>
    <t>24/11/2025 09:45</t>
  </si>
  <si>
    <t>24/11/2025 10:00</t>
  </si>
  <si>
    <t>24/11/2025 10:15</t>
  </si>
  <si>
    <t>24/11/2025 10:30</t>
  </si>
  <si>
    <t>24/11/2025 10:45</t>
  </si>
  <si>
    <t>24/11/2025 11:00</t>
  </si>
  <si>
    <t>24/11/2025 11:15</t>
  </si>
  <si>
    <t>24/11/2025 11:30</t>
  </si>
  <si>
    <t>24/11/2025 11:45</t>
  </si>
  <si>
    <t>24/11/2025 12:00</t>
  </si>
  <si>
    <t>24/11/2025 12:15</t>
  </si>
  <si>
    <t>24/11/2025 12:30</t>
  </si>
  <si>
    <t>24/11/2025 12:45</t>
  </si>
  <si>
    <t>24/11/2025 13:00</t>
  </si>
  <si>
    <t>24/11/2025 13:15</t>
  </si>
  <si>
    <t>24/11/2025 13:30</t>
  </si>
  <si>
    <t>24/11/2025 13:45</t>
  </si>
  <si>
    <t>24/11/2025 14:00</t>
  </si>
  <si>
    <t>24/11/2025 14:15</t>
  </si>
  <si>
    <t>24/11/2025 14:30</t>
  </si>
  <si>
    <t>24/11/2025 14:45</t>
  </si>
  <si>
    <t>24/11/2025 15:00</t>
  </si>
  <si>
    <t>24/11/2025 15:15</t>
  </si>
  <si>
    <t>24/11/2025 15:30</t>
  </si>
  <si>
    <t>24/11/2025 15:45</t>
  </si>
  <si>
    <t>24/11/2025 16:00</t>
  </si>
  <si>
    <t>24/11/2025 16:15</t>
  </si>
  <si>
    <t>24/11/2025 16:30</t>
  </si>
  <si>
    <t>24/11/2025 16:45</t>
  </si>
  <si>
    <t>24/11/2025 17:00</t>
  </si>
  <si>
    <t>24/11/2025 17:15</t>
  </si>
  <si>
    <t>24/11/2025 17:30</t>
  </si>
  <si>
    <t>24/11/2025 17:45</t>
  </si>
  <si>
    <t>24/11/2025 18:00</t>
  </si>
  <si>
    <t>24/11/2025 18:15</t>
  </si>
  <si>
    <t>24/11/2025 18:30</t>
  </si>
  <si>
    <t>24/11/2025 18:45</t>
  </si>
  <si>
    <t>24/11/2025 19:00</t>
  </si>
  <si>
    <t>24/11/2025 19:15</t>
  </si>
  <si>
    <t>24/11/2025 19:30</t>
  </si>
  <si>
    <t>24/11/2025 19:45</t>
  </si>
  <si>
    <t>24/11/2025 20:00</t>
  </si>
  <si>
    <t>24/11/2025 20:15</t>
  </si>
  <si>
    <t>24/11/2025 20:30</t>
  </si>
  <si>
    <t>24/11/2025 20:45</t>
  </si>
  <si>
    <t>24/11/2025 21:00</t>
  </si>
  <si>
    <t>24/11/2025 21:15</t>
  </si>
  <si>
    <t>24/11/2025 21:30</t>
  </si>
  <si>
    <t>24/11/2025 21:45</t>
  </si>
  <si>
    <t>24/11/2025 22:00</t>
  </si>
  <si>
    <t>24/11/2025 22:15</t>
  </si>
  <si>
    <t>24/11/2025 22:30</t>
  </si>
  <si>
    <t>24/11/2025 22:45</t>
  </si>
  <si>
    <t>24/11/2025 23:00</t>
  </si>
  <si>
    <t>24/11/2025 23:15</t>
  </si>
  <si>
    <t>24/11/2025 23:30</t>
  </si>
  <si>
    <t>24/11/2025 23:45</t>
  </si>
  <si>
    <t>24/11/2025 24:00</t>
  </si>
  <si>
    <t>25/11/2025 00:15</t>
  </si>
  <si>
    <t>25/11/2025 00:30</t>
  </si>
  <si>
    <t>25/11/2025 00:45</t>
  </si>
  <si>
    <t>25/11/2025 01:00</t>
  </si>
  <si>
    <t>25/11/2025 01:15</t>
  </si>
  <si>
    <t>25/11/2025 01:30</t>
  </si>
  <si>
    <t>25/11/2025 01:45</t>
  </si>
  <si>
    <t>25/11/2025 02:00</t>
  </si>
  <si>
    <t>25/11/2025 02:15</t>
  </si>
  <si>
    <t>25/11/2025 02:30</t>
  </si>
  <si>
    <t>25/11/2025 02:45</t>
  </si>
  <si>
    <t>25/11/2025 03:00</t>
  </si>
  <si>
    <t>25/11/2025 03:15</t>
  </si>
  <si>
    <t>25/11/2025 03:30</t>
  </si>
  <si>
    <t>25/11/2025 03:45</t>
  </si>
  <si>
    <t>25/11/2025 04:00</t>
  </si>
  <si>
    <t>25/11/2025 04:15</t>
  </si>
  <si>
    <t>25/11/2025 04:30</t>
  </si>
  <si>
    <t>25/11/2025 04:45</t>
  </si>
  <si>
    <t>25/11/2025 05:00</t>
  </si>
  <si>
    <t>25/11/2025 05:15</t>
  </si>
  <si>
    <t>25/11/2025 05:30</t>
  </si>
  <si>
    <t>25/11/2025 05:45</t>
  </si>
  <si>
    <t>25/11/2025 06:00</t>
  </si>
  <si>
    <t>25/11/2025 06:15</t>
  </si>
  <si>
    <t>25/11/2025 06:30</t>
  </si>
  <si>
    <t>25/11/2025 06:45</t>
  </si>
  <si>
    <t>25/11/2025 07:00</t>
  </si>
  <si>
    <t>25/11/2025 07:15</t>
  </si>
  <si>
    <t>25/11/2025 07:30</t>
  </si>
  <si>
    <t>25/11/2025 07:45</t>
  </si>
  <si>
    <t>25/11/2025 08:00</t>
  </si>
  <si>
    <t>25/11/2025 08:15</t>
  </si>
  <si>
    <t>25/11/2025 08:30</t>
  </si>
  <si>
    <t>25/11/2025 08:45</t>
  </si>
  <si>
    <t>25/11/2025 09:00</t>
  </si>
  <si>
    <t>25/11/2025 09:15</t>
  </si>
  <si>
    <t>25/11/2025 09:30</t>
  </si>
  <si>
    <t>25/11/2025 09:45</t>
  </si>
  <si>
    <t>25/11/2025 10:00</t>
  </si>
  <si>
    <t>25/11/2025 10:15</t>
  </si>
  <si>
    <t>25/11/2025 10:30</t>
  </si>
  <si>
    <t>25/11/2025 10:45</t>
  </si>
  <si>
    <t>25/11/2025 11:00</t>
  </si>
  <si>
    <t>25/11/2025 11:15</t>
  </si>
  <si>
    <t>25/11/2025 11:30</t>
  </si>
  <si>
    <t>25/11/2025 11:45</t>
  </si>
  <si>
    <t>25/11/2025 12:00</t>
  </si>
  <si>
    <t>25/11/2025 12:15</t>
  </si>
  <si>
    <t>25/11/2025 12:30</t>
  </si>
  <si>
    <t>25/11/2025 12:45</t>
  </si>
  <si>
    <t>25/11/2025 13:00</t>
  </si>
  <si>
    <t>25/11/2025 13:15</t>
  </si>
  <si>
    <t>25/11/2025 13:30</t>
  </si>
  <si>
    <t>25/11/2025 13:45</t>
  </si>
  <si>
    <t>25/11/2025 14:00</t>
  </si>
  <si>
    <t>25/11/2025 14:15</t>
  </si>
  <si>
    <t>25/11/2025 14:30</t>
  </si>
  <si>
    <t>25/11/2025 14:45</t>
  </si>
  <si>
    <t>25/11/2025 15:00</t>
  </si>
  <si>
    <t>25/11/2025 15:15</t>
  </si>
  <si>
    <t>25/11/2025 15:30</t>
  </si>
  <si>
    <t>25/11/2025 15:45</t>
  </si>
  <si>
    <t>25/11/2025 16:00</t>
  </si>
  <si>
    <t>25/11/2025 16:15</t>
  </si>
  <si>
    <t>25/11/2025 16:30</t>
  </si>
  <si>
    <t>25/11/2025 16:45</t>
  </si>
  <si>
    <t>25/11/2025 17:00</t>
  </si>
  <si>
    <t>25/11/2025 17:15</t>
  </si>
  <si>
    <t>25/11/2025 17:30</t>
  </si>
  <si>
    <t>25/11/2025 17:45</t>
  </si>
  <si>
    <t>25/11/2025 18:00</t>
  </si>
  <si>
    <t>25/11/2025 18:15</t>
  </si>
  <si>
    <t>25/11/2025 18:30</t>
  </si>
  <si>
    <t>25/11/2025 18:45</t>
  </si>
  <si>
    <t>25/11/2025 19:00</t>
  </si>
  <si>
    <t>25/11/2025 19:15</t>
  </si>
  <si>
    <t>25/11/2025 19:30</t>
  </si>
  <si>
    <t>25/11/2025 19:45</t>
  </si>
  <si>
    <t>25/11/2025 20:00</t>
  </si>
  <si>
    <t>25/11/2025 20:15</t>
  </si>
  <si>
    <t>25/11/2025 20:30</t>
  </si>
  <si>
    <t>25/11/2025 20:45</t>
  </si>
  <si>
    <t>25/11/2025 21:00</t>
  </si>
  <si>
    <t>25/11/2025 21:15</t>
  </si>
  <si>
    <t>25/11/2025 21:30</t>
  </si>
  <si>
    <t>25/11/2025 21:45</t>
  </si>
  <si>
    <t>25/11/2025 22:00</t>
  </si>
  <si>
    <t>25/11/2025 22:15</t>
  </si>
  <si>
    <t>25/11/2025 22:30</t>
  </si>
  <si>
    <t>25/11/2025 22:45</t>
  </si>
  <si>
    <t>25/11/2025 23:00</t>
  </si>
  <si>
    <t>25/11/2025 23:15</t>
  </si>
  <si>
    <t>25/11/2025 23:30</t>
  </si>
  <si>
    <t>25/11/2025 23:45</t>
  </si>
  <si>
    <t>25/11/2025 24:00</t>
  </si>
  <si>
    <t>26/11/2025 00:15</t>
  </si>
  <si>
    <t>26/11/2025 00:30</t>
  </si>
  <si>
    <t>26/11/2025 00:45</t>
  </si>
  <si>
    <t>26/11/2025 01:00</t>
  </si>
  <si>
    <t>26/11/2025 01:15</t>
  </si>
  <si>
    <t>26/11/2025 01:30</t>
  </si>
  <si>
    <t>26/11/2025 01:45</t>
  </si>
  <si>
    <t>26/11/2025 02:00</t>
  </si>
  <si>
    <t>26/11/2025 02:15</t>
  </si>
  <si>
    <t>26/11/2025 02:30</t>
  </si>
  <si>
    <t>26/11/2025 02:45</t>
  </si>
  <si>
    <t>26/11/2025 03:00</t>
  </si>
  <si>
    <t>26/11/2025 03:15</t>
  </si>
  <si>
    <t>26/11/2025 03:30</t>
  </si>
  <si>
    <t>26/11/2025 03:45</t>
  </si>
  <si>
    <t>26/11/2025 04:00</t>
  </si>
  <si>
    <t>26/11/2025 04:15</t>
  </si>
  <si>
    <t>26/11/2025 04:30</t>
  </si>
  <si>
    <t>26/11/2025 04:45</t>
  </si>
  <si>
    <t>26/11/2025 05:00</t>
  </si>
  <si>
    <t>26/11/2025 05:15</t>
  </si>
  <si>
    <t>26/11/2025 05:30</t>
  </si>
  <si>
    <t>26/11/2025 05:45</t>
  </si>
  <si>
    <t>26/11/2025 06:00</t>
  </si>
  <si>
    <t>26/11/2025 06:15</t>
  </si>
  <si>
    <t>26/11/2025 06:30</t>
  </si>
  <si>
    <t>26/11/2025 06:45</t>
  </si>
  <si>
    <t>26/11/2025 07:00</t>
  </si>
  <si>
    <t>26/11/2025 07:15</t>
  </si>
  <si>
    <t>26/11/2025 07:30</t>
  </si>
  <si>
    <t>26/11/2025 07:45</t>
  </si>
  <si>
    <t>26/11/2025 08:00</t>
  </si>
  <si>
    <t>26/11/2025 08:15</t>
  </si>
  <si>
    <t>26/11/2025 08:30</t>
  </si>
  <si>
    <t>26/11/2025 08:45</t>
  </si>
  <si>
    <t>26/11/2025 09:00</t>
  </si>
  <si>
    <t>26/11/2025 09:15</t>
  </si>
  <si>
    <t>26/11/2025 09:30</t>
  </si>
  <si>
    <t>26/11/2025 09:45</t>
  </si>
  <si>
    <t>26/11/2025 10:00</t>
  </si>
  <si>
    <t>26/11/2025 10:15</t>
  </si>
  <si>
    <t>26/11/2025 10:30</t>
  </si>
  <si>
    <t>26/11/2025 10:45</t>
  </si>
  <si>
    <t>26/11/2025 11:00</t>
  </si>
  <si>
    <t>26/11/2025 11:15</t>
  </si>
  <si>
    <t>26/11/2025 11:30</t>
  </si>
  <si>
    <t>26/11/2025 11:45</t>
  </si>
  <si>
    <t>26/11/2025 12:00</t>
  </si>
  <si>
    <t>26/11/2025 12:15</t>
  </si>
  <si>
    <t>26/11/2025 12:30</t>
  </si>
  <si>
    <t>26/11/2025 12:45</t>
  </si>
  <si>
    <t>26/11/2025 13:00</t>
  </si>
  <si>
    <t>26/11/2025 13:15</t>
  </si>
  <si>
    <t>26/11/2025 13:30</t>
  </si>
  <si>
    <t>26/11/2025 13:45</t>
  </si>
  <si>
    <t>26/11/2025 14:00</t>
  </si>
  <si>
    <t>26/11/2025 14:15</t>
  </si>
  <si>
    <t>26/11/2025 14:30</t>
  </si>
  <si>
    <t>26/11/2025 14:45</t>
  </si>
  <si>
    <t>26/11/2025 15:00</t>
  </si>
  <si>
    <t>26/11/2025 15:15</t>
  </si>
  <si>
    <t>26/11/2025 15:30</t>
  </si>
  <si>
    <t>26/11/2025 15:45</t>
  </si>
  <si>
    <t>26/11/2025 16:00</t>
  </si>
  <si>
    <t>26/11/2025 16:15</t>
  </si>
  <si>
    <t>26/11/2025 16:30</t>
  </si>
  <si>
    <t>26/11/2025 16:45</t>
  </si>
  <si>
    <t>26/11/2025 17:00</t>
  </si>
  <si>
    <t>26/11/2025 17:15</t>
  </si>
  <si>
    <t>26/11/2025 17:30</t>
  </si>
  <si>
    <t>26/11/2025 17:45</t>
  </si>
  <si>
    <t>26/11/2025 18:00</t>
  </si>
  <si>
    <t>26/11/2025 18:15</t>
  </si>
  <si>
    <t>26/11/2025 18:30</t>
  </si>
  <si>
    <t>26/11/2025 18:45</t>
  </si>
  <si>
    <t>26/11/2025 19:00</t>
  </si>
  <si>
    <t>26/11/2025 19:15</t>
  </si>
  <si>
    <t>26/11/2025 19:30</t>
  </si>
  <si>
    <t>26/11/2025 19:45</t>
  </si>
  <si>
    <t>26/11/2025 20:00</t>
  </si>
  <si>
    <t>26/11/2025 20:15</t>
  </si>
  <si>
    <t>26/11/2025 20:30</t>
  </si>
  <si>
    <t>26/11/2025 20:45</t>
  </si>
  <si>
    <t>26/11/2025 21:00</t>
  </si>
  <si>
    <t>26/11/2025 21:15</t>
  </si>
  <si>
    <t>26/11/2025 21:30</t>
  </si>
  <si>
    <t>26/11/2025 21:45</t>
  </si>
  <si>
    <t>26/11/2025 22:00</t>
  </si>
  <si>
    <t>26/11/2025 22:15</t>
  </si>
  <si>
    <t>26/11/2025 22:30</t>
  </si>
  <si>
    <t>26/11/2025 22:45</t>
  </si>
  <si>
    <t>26/11/2025 23:00</t>
  </si>
  <si>
    <t>26/11/2025 23:15</t>
  </si>
  <si>
    <t>26/11/2025 23:30</t>
  </si>
  <si>
    <t>26/11/2025 23:45</t>
  </si>
  <si>
    <t>26/11/2025 24:00</t>
  </si>
  <si>
    <t>27/11/2025 00:15</t>
  </si>
  <si>
    <t>27/11/2025 00:30</t>
  </si>
  <si>
    <t>27/11/2025 00:45</t>
  </si>
  <si>
    <t>27/11/2025 01:00</t>
  </si>
  <si>
    <t>27/11/2025 01:15</t>
  </si>
  <si>
    <t>27/11/2025 01:30</t>
  </si>
  <si>
    <t>27/11/2025 01:45</t>
  </si>
  <si>
    <t>27/11/2025 02:00</t>
  </si>
  <si>
    <t>27/11/2025 02:15</t>
  </si>
  <si>
    <t>27/11/2025 02:30</t>
  </si>
  <si>
    <t>27/11/2025 02:45</t>
  </si>
  <si>
    <t>27/11/2025 03:00</t>
  </si>
  <si>
    <t>27/11/2025 03:15</t>
  </si>
  <si>
    <t>27/11/2025 03:30</t>
  </si>
  <si>
    <t>27/11/2025 03:45</t>
  </si>
  <si>
    <t>27/11/2025 04:00</t>
  </si>
  <si>
    <t>27/11/2025 04:15</t>
  </si>
  <si>
    <t>27/11/2025 04:30</t>
  </si>
  <si>
    <t>27/11/2025 04:45</t>
  </si>
  <si>
    <t>27/11/2025 05:00</t>
  </si>
  <si>
    <t>27/11/2025 05:15</t>
  </si>
  <si>
    <t>27/11/2025 05:30</t>
  </si>
  <si>
    <t>27/11/2025 05:45</t>
  </si>
  <si>
    <t>27/11/2025 06:00</t>
  </si>
  <si>
    <t>27/11/2025 06:15</t>
  </si>
  <si>
    <t>27/11/2025 06:30</t>
  </si>
  <si>
    <t>27/11/2025 06:45</t>
  </si>
  <si>
    <t>27/11/2025 07:00</t>
  </si>
  <si>
    <t>27/11/2025 07:15</t>
  </si>
  <si>
    <t>27/11/2025 07:30</t>
  </si>
  <si>
    <t>27/11/2025 07:45</t>
  </si>
  <si>
    <t>27/11/2025 08:00</t>
  </si>
  <si>
    <t>27/11/2025 08:15</t>
  </si>
  <si>
    <t>27/11/2025 08:30</t>
  </si>
  <si>
    <t>27/11/2025 08:45</t>
  </si>
  <si>
    <t>27/11/2025 09:00</t>
  </si>
  <si>
    <t>27/11/2025 09:15</t>
  </si>
  <si>
    <t>27/11/2025 09:30</t>
  </si>
  <si>
    <t>27/11/2025 09:45</t>
  </si>
  <si>
    <t>27/11/2025 10:00</t>
  </si>
  <si>
    <t>27/11/2025 10:15</t>
  </si>
  <si>
    <t>27/11/2025 10:30</t>
  </si>
  <si>
    <t>27/11/2025 10:45</t>
  </si>
  <si>
    <t>27/11/2025 11:00</t>
  </si>
  <si>
    <t>27/11/2025 11:15</t>
  </si>
  <si>
    <t>27/11/2025 11:30</t>
  </si>
  <si>
    <t>27/11/2025 11:45</t>
  </si>
  <si>
    <t>27/11/2025 12:00</t>
  </si>
  <si>
    <t>27/11/2025 12:15</t>
  </si>
  <si>
    <t>27/11/2025 12:30</t>
  </si>
  <si>
    <t>27/11/2025 12:45</t>
  </si>
  <si>
    <t>27/11/2025 13:00</t>
  </si>
  <si>
    <t>27/11/2025 13:15</t>
  </si>
  <si>
    <t>27/11/2025 13:30</t>
  </si>
  <si>
    <t>27/11/2025 13:45</t>
  </si>
  <si>
    <t>27/11/2025 14:00</t>
  </si>
  <si>
    <t>27/11/2025 14:15</t>
  </si>
  <si>
    <t>27/11/2025 14:30</t>
  </si>
  <si>
    <t>27/11/2025 14:45</t>
  </si>
  <si>
    <t>27/11/2025 15:00</t>
  </si>
  <si>
    <t>27/11/2025 15:15</t>
  </si>
  <si>
    <t>27/11/2025 15:30</t>
  </si>
  <si>
    <t>27/11/2025 15:45</t>
  </si>
  <si>
    <t>27/11/2025 16:00</t>
  </si>
  <si>
    <t>27/11/2025 16:15</t>
  </si>
  <si>
    <t>27/11/2025 16:30</t>
  </si>
  <si>
    <t>27/11/2025 16:45</t>
  </si>
  <si>
    <t>27/11/2025 17:00</t>
  </si>
  <si>
    <t>27/11/2025 17:15</t>
  </si>
  <si>
    <t>27/11/2025 17:30</t>
  </si>
  <si>
    <t>27/11/2025 17:45</t>
  </si>
  <si>
    <t>27/11/2025 18:00</t>
  </si>
  <si>
    <t>27/11/2025 18:15</t>
  </si>
  <si>
    <t>27/11/2025 18:30</t>
  </si>
  <si>
    <t>27/11/2025 18:45</t>
  </si>
  <si>
    <t>27/11/2025 19:00</t>
  </si>
  <si>
    <t>27/11/2025 19:15</t>
  </si>
  <si>
    <t>27/11/2025 19:30</t>
  </si>
  <si>
    <t>27/11/2025 19:45</t>
  </si>
  <si>
    <t>27/11/2025 20:00</t>
  </si>
  <si>
    <t>27/11/2025 20:15</t>
  </si>
  <si>
    <t>27/11/2025 20:30</t>
  </si>
  <si>
    <t>27/11/2025 20:45</t>
  </si>
  <si>
    <t>27/11/2025 21:00</t>
  </si>
  <si>
    <t>27/11/2025 21:15</t>
  </si>
  <si>
    <t>27/11/2025 21:30</t>
  </si>
  <si>
    <t>27/11/2025 21:45</t>
  </si>
  <si>
    <t>27/11/2025 22:00</t>
  </si>
  <si>
    <t>27/11/2025 22:15</t>
  </si>
  <si>
    <t>27/11/2025 22:30</t>
  </si>
  <si>
    <t>27/11/2025 22:45</t>
  </si>
  <si>
    <t>27/11/2025 23:00</t>
  </si>
  <si>
    <t>27/11/2025 23:15</t>
  </si>
  <si>
    <t>27/11/2025 23:30</t>
  </si>
  <si>
    <t>27/11/2025 23:45</t>
  </si>
  <si>
    <t>27/11/2025 24:00</t>
  </si>
  <si>
    <t>28/11/2025 00:15</t>
  </si>
  <si>
    <t>28/11/2025 00:30</t>
  </si>
  <si>
    <t>28/11/2025 00:45</t>
  </si>
  <si>
    <t>28/11/2025 01:00</t>
  </si>
  <si>
    <t>28/11/2025 01:15</t>
  </si>
  <si>
    <t>28/11/2025 01:30</t>
  </si>
  <si>
    <t>28/11/2025 01:45</t>
  </si>
  <si>
    <t>28/11/2025 02:00</t>
  </si>
  <si>
    <t>28/11/2025 02:15</t>
  </si>
  <si>
    <t>28/11/2025 02:30</t>
  </si>
  <si>
    <t>28/11/2025 02:45</t>
  </si>
  <si>
    <t>28/11/2025 03:00</t>
  </si>
  <si>
    <t>28/11/2025 03:15</t>
  </si>
  <si>
    <t>28/11/2025 03:30</t>
  </si>
  <si>
    <t>28/11/2025 03:45</t>
  </si>
  <si>
    <t>28/11/2025 04:00</t>
  </si>
  <si>
    <t>28/11/2025 04:15</t>
  </si>
  <si>
    <t>28/11/2025 04:30</t>
  </si>
  <si>
    <t>28/11/2025 04:45</t>
  </si>
  <si>
    <t>28/11/2025 05:00</t>
  </si>
  <si>
    <t>28/11/2025 05:15</t>
  </si>
  <si>
    <t>28/11/2025 05:30</t>
  </si>
  <si>
    <t>28/11/2025 05:45</t>
  </si>
  <si>
    <t>28/11/2025 06:00</t>
  </si>
  <si>
    <t>28/11/2025 06:15</t>
  </si>
  <si>
    <t>28/11/2025 06:30</t>
  </si>
  <si>
    <t>28/11/2025 06:45</t>
  </si>
  <si>
    <t>28/11/2025 07:00</t>
  </si>
  <si>
    <t>28/11/2025 07:15</t>
  </si>
  <si>
    <t>28/11/2025 07:30</t>
  </si>
  <si>
    <t>28/11/2025 07:45</t>
  </si>
  <si>
    <t>28/11/2025 08:00</t>
  </si>
  <si>
    <t>28/11/2025 08:15</t>
  </si>
  <si>
    <t>28/11/2025 08:30</t>
  </si>
  <si>
    <t>28/11/2025 08:45</t>
  </si>
  <si>
    <t>28/11/2025 09:00</t>
  </si>
  <si>
    <t>28/11/2025 09:15</t>
  </si>
  <si>
    <t>28/11/2025 09:30</t>
  </si>
  <si>
    <t>28/11/2025 09:45</t>
  </si>
  <si>
    <t>28/11/2025 10:00</t>
  </si>
  <si>
    <t>28/11/2025 10:15</t>
  </si>
  <si>
    <t>28/11/2025 10:30</t>
  </si>
  <si>
    <t>28/11/2025 10:45</t>
  </si>
  <si>
    <t>28/11/2025 11:00</t>
  </si>
  <si>
    <t>28/11/2025 11:15</t>
  </si>
  <si>
    <t>28/11/2025 11:30</t>
  </si>
  <si>
    <t>28/11/2025 11:45</t>
  </si>
  <si>
    <t>28/11/2025 12:00</t>
  </si>
  <si>
    <t>28/11/2025 12:15</t>
  </si>
  <si>
    <t>28/11/2025 12:30</t>
  </si>
  <si>
    <t>28/11/2025 12:45</t>
  </si>
  <si>
    <t>28/11/2025 13:00</t>
  </si>
  <si>
    <t>28/11/2025 13:15</t>
  </si>
  <si>
    <t>28/11/2025 13:30</t>
  </si>
  <si>
    <t>28/11/2025 13:45</t>
  </si>
  <si>
    <t>28/11/2025 14:00</t>
  </si>
  <si>
    <t>28/11/2025 14:15</t>
  </si>
  <si>
    <t>28/11/2025 14:30</t>
  </si>
  <si>
    <t>28/11/2025 14:45</t>
  </si>
  <si>
    <t>28/11/2025 15:00</t>
  </si>
  <si>
    <t>28/11/2025 15:15</t>
  </si>
  <si>
    <t>28/11/2025 15:30</t>
  </si>
  <si>
    <t>28/11/2025 15:45</t>
  </si>
  <si>
    <t>28/11/2025 16:00</t>
  </si>
  <si>
    <t>28/11/2025 16:15</t>
  </si>
  <si>
    <t>28/11/2025 16:30</t>
  </si>
  <si>
    <t>28/11/2025 16:45</t>
  </si>
  <si>
    <t>28/11/2025 17:00</t>
  </si>
  <si>
    <t>28/11/2025 17:15</t>
  </si>
  <si>
    <t>28/11/2025 17:30</t>
  </si>
  <si>
    <t>28/11/2025 17:45</t>
  </si>
  <si>
    <t>28/11/2025 18:00</t>
  </si>
  <si>
    <t>28/11/2025 18:15</t>
  </si>
  <si>
    <t>28/11/2025 18:30</t>
  </si>
  <si>
    <t>28/11/2025 18:45</t>
  </si>
  <si>
    <t>28/11/2025 19:00</t>
  </si>
  <si>
    <t>28/11/2025 19:15</t>
  </si>
  <si>
    <t>28/11/2025 19:30</t>
  </si>
  <si>
    <t>28/11/2025 19:45</t>
  </si>
  <si>
    <t>28/11/2025 20:00</t>
  </si>
  <si>
    <t>28/11/2025 20:15</t>
  </si>
  <si>
    <t>28/11/2025 20:30</t>
  </si>
  <si>
    <t>28/11/2025 20:45</t>
  </si>
  <si>
    <t>28/11/2025 21:00</t>
  </si>
  <si>
    <t>28/11/2025 21:15</t>
  </si>
  <si>
    <t>28/11/2025 21:30</t>
  </si>
  <si>
    <t>28/11/2025 21:45</t>
  </si>
  <si>
    <t>28/11/2025 22:00</t>
  </si>
  <si>
    <t>28/11/2025 22:15</t>
  </si>
  <si>
    <t>28/11/2025 22:30</t>
  </si>
  <si>
    <t>28/11/2025 22:45</t>
  </si>
  <si>
    <t>28/11/2025 23:00</t>
  </si>
  <si>
    <t>28/11/2025 23:15</t>
  </si>
  <si>
    <t>28/11/2025 23:30</t>
  </si>
  <si>
    <t>28/11/2025 23:45</t>
  </si>
  <si>
    <t>28/11/2025 24:00</t>
  </si>
  <si>
    <t>29/11/2025 00:15</t>
  </si>
  <si>
    <t>29/11/2025 00:30</t>
  </si>
  <si>
    <t>29/11/2025 00:45</t>
  </si>
  <si>
    <t>29/11/2025 01:00</t>
  </si>
  <si>
    <t>29/11/2025 01:15</t>
  </si>
  <si>
    <t>29/11/2025 01:30</t>
  </si>
  <si>
    <t>29/11/2025 01:45</t>
  </si>
  <si>
    <t>29/11/2025 02:00</t>
  </si>
  <si>
    <t>29/11/2025 02:15</t>
  </si>
  <si>
    <t>29/11/2025 02:30</t>
  </si>
  <si>
    <t>29/11/2025 02:45</t>
  </si>
  <si>
    <t>29/11/2025 03:00</t>
  </si>
  <si>
    <t>29/11/2025 03:15</t>
  </si>
  <si>
    <t>29/11/2025 03:30</t>
  </si>
  <si>
    <t>29/11/2025 03:45</t>
  </si>
  <si>
    <t>29/11/2025 04:00</t>
  </si>
  <si>
    <t>29/11/2025 04:15</t>
  </si>
  <si>
    <t>29/11/2025 04:30</t>
  </si>
  <si>
    <t>29/11/2025 04:45</t>
  </si>
  <si>
    <t>29/11/2025 05:00</t>
  </si>
  <si>
    <t>29/11/2025 05:15</t>
  </si>
  <si>
    <t>29/11/2025 05:30</t>
  </si>
  <si>
    <t>29/11/2025 05:45</t>
  </si>
  <si>
    <t>29/11/2025 06:00</t>
  </si>
  <si>
    <t>29/11/2025 06:15</t>
  </si>
  <si>
    <t>29/11/2025 06:30</t>
  </si>
  <si>
    <t>29/11/2025 06:45</t>
  </si>
  <si>
    <t>29/11/2025 07:00</t>
  </si>
  <si>
    <t>29/11/2025 07:15</t>
  </si>
  <si>
    <t>29/11/2025 07:30</t>
  </si>
  <si>
    <t>29/11/2025 07:45</t>
  </si>
  <si>
    <t>29/11/2025 08:00</t>
  </si>
  <si>
    <t>29/11/2025 08:15</t>
  </si>
  <si>
    <t>29/11/2025 08:30</t>
  </si>
  <si>
    <t>29/11/2025 08:45</t>
  </si>
  <si>
    <t>29/11/2025 09:00</t>
  </si>
  <si>
    <t>29/11/2025 09:15</t>
  </si>
  <si>
    <t>29/11/2025 09:30</t>
  </si>
  <si>
    <t>29/11/2025 09:45</t>
  </si>
  <si>
    <t>29/11/2025 10:00</t>
  </si>
  <si>
    <t>29/11/2025 10:15</t>
  </si>
  <si>
    <t>29/11/2025 10:30</t>
  </si>
  <si>
    <t>29/11/2025 10:45</t>
  </si>
  <si>
    <t>29/11/2025 11:00</t>
  </si>
  <si>
    <t>29/11/2025 11:15</t>
  </si>
  <si>
    <t>29/11/2025 11:30</t>
  </si>
  <si>
    <t>29/11/2025 11:45</t>
  </si>
  <si>
    <t>29/11/2025 12:00</t>
  </si>
  <si>
    <t>29/11/2025 12:15</t>
  </si>
  <si>
    <t>29/11/2025 12:30</t>
  </si>
  <si>
    <t>29/11/2025 12:45</t>
  </si>
  <si>
    <t>29/11/2025 13:00</t>
  </si>
  <si>
    <t>29/11/2025 13:15</t>
  </si>
  <si>
    <t>29/11/2025 13:30</t>
  </si>
  <si>
    <t>29/11/2025 13:45</t>
  </si>
  <si>
    <t>29/11/2025 14:00</t>
  </si>
  <si>
    <t>29/11/2025 14:15</t>
  </si>
  <si>
    <t>29/11/2025 14:30</t>
  </si>
  <si>
    <t>29/11/2025 14:45</t>
  </si>
  <si>
    <t>29/11/2025 15:00</t>
  </si>
  <si>
    <t>29/11/2025 15:15</t>
  </si>
  <si>
    <t>29/11/2025 15:30</t>
  </si>
  <si>
    <t>29/11/2025 15:45</t>
  </si>
  <si>
    <t>29/11/2025 16:00</t>
  </si>
  <si>
    <t>29/11/2025 16:15</t>
  </si>
  <si>
    <t>29/11/2025 16:30</t>
  </si>
  <si>
    <t>29/11/2025 16:45</t>
  </si>
  <si>
    <t>29/11/2025 17:00</t>
  </si>
  <si>
    <t>29/11/2025 17:15</t>
  </si>
  <si>
    <t>29/11/2025 17:30</t>
  </si>
  <si>
    <t>29/11/2025 17:45</t>
  </si>
  <si>
    <t>29/11/2025 18:00</t>
  </si>
  <si>
    <t>29/11/2025 18:15</t>
  </si>
  <si>
    <t>29/11/2025 18:30</t>
  </si>
  <si>
    <t>29/11/2025 18:45</t>
  </si>
  <si>
    <t>29/11/2025 19:00</t>
  </si>
  <si>
    <t>29/11/2025 19:15</t>
  </si>
  <si>
    <t>29/11/2025 19:30</t>
  </si>
  <si>
    <t>29/11/2025 19:45</t>
  </si>
  <si>
    <t>29/11/2025 20:00</t>
  </si>
  <si>
    <t>29/11/2025 20:15</t>
  </si>
  <si>
    <t>29/11/2025 20:30</t>
  </si>
  <si>
    <t>29/11/2025 20:45</t>
  </si>
  <si>
    <t>29/11/2025 21:00</t>
  </si>
  <si>
    <t>29/11/2025 21:15</t>
  </si>
  <si>
    <t>29/11/2025 21:30</t>
  </si>
  <si>
    <t>29/11/2025 21:45</t>
  </si>
  <si>
    <t>29/11/2025 22:00</t>
  </si>
  <si>
    <t>29/11/2025 22:15</t>
  </si>
  <si>
    <t>29/11/2025 22:30</t>
  </si>
  <si>
    <t>29/11/2025 22:45</t>
  </si>
  <si>
    <t>29/11/2025 23:00</t>
  </si>
  <si>
    <t>29/11/2025 23:15</t>
  </si>
  <si>
    <t>29/11/2025 23:30</t>
  </si>
  <si>
    <t>29/11/2025 23:45</t>
  </si>
  <si>
    <t>29/11/2025 24:00</t>
  </si>
  <si>
    <t>30/11/2025 00:15</t>
  </si>
  <si>
    <t>30/11/2025 00:30</t>
  </si>
  <si>
    <t>30/11/2025 00:45</t>
  </si>
  <si>
    <t>30/11/2025 01:00</t>
  </si>
  <si>
    <t>30/11/2025 01:15</t>
  </si>
  <si>
    <t>30/11/2025 01:30</t>
  </si>
  <si>
    <t>30/11/2025 01:45</t>
  </si>
  <si>
    <t>30/11/2025 02:00</t>
  </si>
  <si>
    <t>30/11/2025 02:15</t>
  </si>
  <si>
    <t>30/11/2025 02:30</t>
  </si>
  <si>
    <t>30/11/2025 02:45</t>
  </si>
  <si>
    <t>30/11/2025 03:00</t>
  </si>
  <si>
    <t>30/11/2025 03:15</t>
  </si>
  <si>
    <t>30/11/2025 03:30</t>
  </si>
  <si>
    <t>30/11/2025 03:45</t>
  </si>
  <si>
    <t>30/11/2025 04:00</t>
  </si>
  <si>
    <t>30/11/2025 04:15</t>
  </si>
  <si>
    <t>30/11/2025 04:30</t>
  </si>
  <si>
    <t>30/11/2025 04:45</t>
  </si>
  <si>
    <t>30/11/2025 05:00</t>
  </si>
  <si>
    <t>30/11/2025 05:15</t>
  </si>
  <si>
    <t>30/11/2025 05:30</t>
  </si>
  <si>
    <t>30/11/2025 05:45</t>
  </si>
  <si>
    <t>30/11/2025 06:00</t>
  </si>
  <si>
    <t>30/11/2025 06:15</t>
  </si>
  <si>
    <t>30/11/2025 06:30</t>
  </si>
  <si>
    <t>30/11/2025 06:45</t>
  </si>
  <si>
    <t>30/11/2025 07:00</t>
  </si>
  <si>
    <t>30/11/2025 07:15</t>
  </si>
  <si>
    <t>30/11/2025 07:30</t>
  </si>
  <si>
    <t>30/11/2025 07:45</t>
  </si>
  <si>
    <t>30/11/2025 08:00</t>
  </si>
  <si>
    <t>30/11/2025 08:15</t>
  </si>
  <si>
    <t>30/11/2025 08:30</t>
  </si>
  <si>
    <t>30/11/2025 08:45</t>
  </si>
  <si>
    <t>30/11/2025 09:00</t>
  </si>
  <si>
    <t>30/11/2025 09:15</t>
  </si>
  <si>
    <t>30/11/2025 09:30</t>
  </si>
  <si>
    <t>30/11/2025 09:45</t>
  </si>
  <si>
    <t>30/11/2025 10:00</t>
  </si>
  <si>
    <t>30/11/2025 10:15</t>
  </si>
  <si>
    <t>30/11/2025 10:30</t>
  </si>
  <si>
    <t>30/11/2025 10:45</t>
  </si>
  <si>
    <t>30/11/2025 11:00</t>
  </si>
  <si>
    <t>30/11/2025 11:15</t>
  </si>
  <si>
    <t>30/11/2025 11:30</t>
  </si>
  <si>
    <t>30/11/2025 11:45</t>
  </si>
  <si>
    <t>30/11/2025 12:00</t>
  </si>
  <si>
    <t>30/11/2025 12:15</t>
  </si>
  <si>
    <t>30/11/2025 12:30</t>
  </si>
  <si>
    <t>30/11/2025 12:45</t>
  </si>
  <si>
    <t>30/11/2025 13:00</t>
  </si>
  <si>
    <t>30/11/2025 13:15</t>
  </si>
  <si>
    <t>30/11/2025 13:30</t>
  </si>
  <si>
    <t>30/11/2025 13:45</t>
  </si>
  <si>
    <t>30/11/2025 14:00</t>
  </si>
  <si>
    <t>30/11/2025 14:15</t>
  </si>
  <si>
    <t>30/11/2025 14:30</t>
  </si>
  <si>
    <t>30/11/2025 14:45</t>
  </si>
  <si>
    <t>30/11/2025 15:00</t>
  </si>
  <si>
    <t>30/11/2025 15:15</t>
  </si>
  <si>
    <t>30/11/2025 15:30</t>
  </si>
  <si>
    <t>30/11/2025 15:45</t>
  </si>
  <si>
    <t>30/11/2025 16:00</t>
  </si>
  <si>
    <t>30/11/2025 16:15</t>
  </si>
  <si>
    <t>30/11/2025 16:30</t>
  </si>
  <si>
    <t>30/11/2025 16:45</t>
  </si>
  <si>
    <t>30/11/2025 17:00</t>
  </si>
  <si>
    <t>30/11/2025 17:15</t>
  </si>
  <si>
    <t>30/11/2025 17:30</t>
  </si>
  <si>
    <t>30/11/2025 17:45</t>
  </si>
  <si>
    <t>30/11/2025 18:00</t>
  </si>
  <si>
    <t>30/11/2025 18:15</t>
  </si>
  <si>
    <t>30/11/2025 18:30</t>
  </si>
  <si>
    <t>30/11/2025 18:45</t>
  </si>
  <si>
    <t>30/11/2025 19:00</t>
  </si>
  <si>
    <t>30/11/2025 19:15</t>
  </si>
  <si>
    <t>30/11/2025 19:30</t>
  </si>
  <si>
    <t>30/11/2025 19:45</t>
  </si>
  <si>
    <t>30/11/2025 20:00</t>
  </si>
  <si>
    <t>30/11/2025 20:15</t>
  </si>
  <si>
    <t>30/11/2025 20:30</t>
  </si>
  <si>
    <t>30/11/2025 20:45</t>
  </si>
  <si>
    <t>30/11/2025 21:00</t>
  </si>
  <si>
    <t>30/11/2025 21:15</t>
  </si>
  <si>
    <t>30/11/2025 21:30</t>
  </si>
  <si>
    <t>30/11/2025 21:45</t>
  </si>
  <si>
    <t>30/11/2025 22:00</t>
  </si>
  <si>
    <t>30/11/2025 22:15</t>
  </si>
  <si>
    <t>30/11/2025 22:30</t>
  </si>
  <si>
    <t>30/11/2025 22:45</t>
  </si>
  <si>
    <t>30/11/2025 23:00</t>
  </si>
  <si>
    <t>30/11/2025 23:15</t>
  </si>
  <si>
    <t>30/11/2025 23:30</t>
  </si>
  <si>
    <t>30/11/2025 23:45</t>
  </si>
  <si>
    <t>30/11/2025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</si>
</sst>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4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  <font>
      <sz val="8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0" activePane="bottomRight" state="frozen"/>
      <selection pane="topRight"/>
      <selection pane="bottomLeft"/>
      <selection pane="bottomRight" activeCell="D14" sqref="D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244</v>
      </c>
      <c r="B9" s="100">
        <v>5.08</v>
      </c>
      <c r="C9" s="100">
        <v>5.17</v>
      </c>
      <c r="D9" s="100">
        <v>6.77</v>
      </c>
      <c r="E9" s="100">
        <v>6.63</v>
      </c>
      <c r="F9" s="100">
        <v>2</v>
      </c>
      <c r="G9" s="100">
        <v>20.09</v>
      </c>
      <c r="H9" s="100">
        <v>9.14</v>
      </c>
      <c r="I9" s="100">
        <v>4.26</v>
      </c>
      <c r="J9" s="100">
        <v>0.08</v>
      </c>
      <c r="K9" s="100">
        <v>228.57</v>
      </c>
      <c r="L9" s="100">
        <v>20.6</v>
      </c>
      <c r="M9" s="100">
        <v>33.729999999999997</v>
      </c>
      <c r="N9" s="100">
        <v>2.2000000000000002</v>
      </c>
      <c r="O9" s="100">
        <v>0</v>
      </c>
      <c r="P9" s="100">
        <v>0.25</v>
      </c>
      <c r="Q9" s="100">
        <v>9.32</v>
      </c>
      <c r="R9" s="6"/>
      <c r="S9" s="6"/>
      <c r="T9" s="156"/>
      <c r="U9" s="6"/>
    </row>
    <row r="10" spans="1:21" customFormat="1">
      <c r="A10" s="201" t="s">
        <v>245</v>
      </c>
      <c r="B10" s="100">
        <v>5.07</v>
      </c>
      <c r="C10" s="100">
        <v>5.2</v>
      </c>
      <c r="D10" s="100">
        <v>6.79</v>
      </c>
      <c r="E10" s="100">
        <v>6.57</v>
      </c>
      <c r="F10" s="100">
        <v>2</v>
      </c>
      <c r="G10" s="100">
        <v>20.09</v>
      </c>
      <c r="H10" s="100">
        <v>9.14</v>
      </c>
      <c r="I10" s="100">
        <v>4.22</v>
      </c>
      <c r="J10" s="100">
        <v>0.06</v>
      </c>
      <c r="K10" s="100">
        <v>215.14</v>
      </c>
      <c r="L10" s="100">
        <v>19.3</v>
      </c>
      <c r="M10" s="100">
        <v>30.58</v>
      </c>
      <c r="N10" s="100">
        <v>2.2000000000000002</v>
      </c>
      <c r="O10" s="100">
        <v>0</v>
      </c>
      <c r="P10" s="100">
        <v>0.25</v>
      </c>
      <c r="Q10" s="100">
        <v>9.32</v>
      </c>
      <c r="R10" s="6"/>
      <c r="S10" s="6"/>
      <c r="T10" s="156"/>
      <c r="U10" s="6"/>
    </row>
    <row r="11" spans="1:21" customFormat="1">
      <c r="A11" s="201" t="s">
        <v>246</v>
      </c>
      <c r="B11" s="100">
        <v>5.13</v>
      </c>
      <c r="C11" s="100">
        <v>5.25</v>
      </c>
      <c r="D11" s="100">
        <v>6.86</v>
      </c>
      <c r="E11" s="100">
        <v>6.65</v>
      </c>
      <c r="F11" s="100">
        <v>2</v>
      </c>
      <c r="G11" s="100">
        <v>17.920000000000002</v>
      </c>
      <c r="H11" s="100">
        <v>10.01</v>
      </c>
      <c r="I11" s="100">
        <v>4.18</v>
      </c>
      <c r="J11" s="100">
        <v>0.09</v>
      </c>
      <c r="K11" s="100">
        <v>154.74</v>
      </c>
      <c r="L11" s="100">
        <v>15.54</v>
      </c>
      <c r="M11" s="100">
        <v>21.16</v>
      </c>
      <c r="N11" s="100">
        <v>2.4</v>
      </c>
      <c r="O11" s="100">
        <v>0</v>
      </c>
      <c r="P11" s="100">
        <v>0.25</v>
      </c>
      <c r="Q11" s="100">
        <v>9.32</v>
      </c>
      <c r="R11" s="6"/>
      <c r="S11" s="6"/>
      <c r="T11" s="156"/>
      <c r="U11" s="6"/>
    </row>
    <row r="12" spans="1:21" customFormat="1">
      <c r="A12" s="201" t="s">
        <v>247</v>
      </c>
      <c r="B12" s="100">
        <v>5.13</v>
      </c>
      <c r="C12" s="100">
        <v>5.26</v>
      </c>
      <c r="D12" s="100">
        <v>6.86</v>
      </c>
      <c r="E12" s="100">
        <v>6.64</v>
      </c>
      <c r="F12" s="100">
        <v>2</v>
      </c>
      <c r="G12" s="100">
        <v>17.13</v>
      </c>
      <c r="H12" s="100">
        <v>10.02</v>
      </c>
      <c r="I12" s="100">
        <v>4.1399999999999997</v>
      </c>
      <c r="J12" s="100">
        <v>0.06</v>
      </c>
      <c r="K12" s="100">
        <v>158.12</v>
      </c>
      <c r="L12" s="100">
        <v>14.94</v>
      </c>
      <c r="M12" s="100">
        <v>19.68</v>
      </c>
      <c r="N12" s="100">
        <v>2.2999999999999998</v>
      </c>
      <c r="O12" s="100">
        <v>0</v>
      </c>
      <c r="P12" s="100">
        <v>0.25</v>
      </c>
      <c r="Q12" s="100">
        <v>9.32</v>
      </c>
      <c r="R12" s="6"/>
      <c r="S12" s="6"/>
      <c r="T12" s="156"/>
      <c r="U12" s="6"/>
    </row>
    <row r="13" spans="1:21" customFormat="1">
      <c r="A13" s="201" t="s">
        <v>248</v>
      </c>
      <c r="B13" s="100">
        <v>5.13</v>
      </c>
      <c r="C13" s="100">
        <v>5.22</v>
      </c>
      <c r="D13" s="100">
        <v>6.84</v>
      </c>
      <c r="E13" s="100">
        <v>6.49</v>
      </c>
      <c r="F13" s="100">
        <v>2</v>
      </c>
      <c r="G13" s="100">
        <v>17.13</v>
      </c>
      <c r="H13" s="100">
        <v>10.02</v>
      </c>
      <c r="I13" s="100">
        <v>4.18</v>
      </c>
      <c r="J13" s="100">
        <v>0.1</v>
      </c>
      <c r="K13" s="100">
        <v>179.14</v>
      </c>
      <c r="L13" s="100">
        <v>16.91</v>
      </c>
      <c r="M13" s="100">
        <v>24.62</v>
      </c>
      <c r="N13" s="100">
        <v>2.2000000000000002</v>
      </c>
      <c r="O13" s="100">
        <v>0</v>
      </c>
      <c r="P13" s="100">
        <v>0.25</v>
      </c>
      <c r="Q13" s="100">
        <v>9.32</v>
      </c>
      <c r="R13" s="6"/>
      <c r="S13" s="6"/>
      <c r="T13" s="156"/>
      <c r="U13" s="6"/>
    </row>
    <row r="14" spans="1:21" customFormat="1">
      <c r="A14" s="201" t="s">
        <v>249</v>
      </c>
      <c r="B14" s="100">
        <v>5.13</v>
      </c>
      <c r="C14" s="100">
        <v>5.17</v>
      </c>
      <c r="D14" s="100">
        <v>6.82</v>
      </c>
      <c r="E14" s="100">
        <v>6.67</v>
      </c>
      <c r="F14" s="100">
        <v>2</v>
      </c>
      <c r="G14" s="100">
        <v>17.13</v>
      </c>
      <c r="H14" s="100">
        <v>10.02</v>
      </c>
      <c r="I14" s="100">
        <v>4.18</v>
      </c>
      <c r="J14" s="100">
        <v>0.08</v>
      </c>
      <c r="K14" s="100">
        <v>154.16999999999999</v>
      </c>
      <c r="L14" s="100">
        <v>15.77</v>
      </c>
      <c r="M14" s="100">
        <v>21.76</v>
      </c>
      <c r="N14" s="100">
        <v>2.2999999999999998</v>
      </c>
      <c r="O14" s="100">
        <v>0</v>
      </c>
      <c r="P14" s="100">
        <v>0.25</v>
      </c>
      <c r="Q14" s="100">
        <v>9.32</v>
      </c>
      <c r="R14" s="6"/>
      <c r="S14" s="6"/>
      <c r="T14" s="156"/>
      <c r="U14" s="6"/>
    </row>
    <row r="15" spans="1:21" customFormat="1">
      <c r="A15" s="201" t="s">
        <v>250</v>
      </c>
      <c r="B15" s="100">
        <v>5.17</v>
      </c>
      <c r="C15" s="100">
        <v>5.13</v>
      </c>
      <c r="D15" s="100">
        <v>6.83</v>
      </c>
      <c r="E15" s="100">
        <v>6.59</v>
      </c>
      <c r="F15" s="100">
        <v>2</v>
      </c>
      <c r="G15" s="100">
        <v>19.420000000000002</v>
      </c>
      <c r="H15" s="100">
        <v>10.91</v>
      </c>
      <c r="I15" s="100">
        <v>4.12</v>
      </c>
      <c r="J15" s="100">
        <v>0.18</v>
      </c>
      <c r="K15" s="100">
        <v>244.97</v>
      </c>
      <c r="L15" s="100">
        <v>21.59</v>
      </c>
      <c r="M15" s="100">
        <v>36.25</v>
      </c>
      <c r="N15" s="100">
        <v>2.2000000000000002</v>
      </c>
      <c r="O15" s="100">
        <v>0</v>
      </c>
      <c r="P15" s="100">
        <v>0.25</v>
      </c>
      <c r="Q15" s="100">
        <v>9.32</v>
      </c>
      <c r="R15" s="6"/>
      <c r="S15" s="6"/>
      <c r="T15" s="156"/>
      <c r="U15" s="6"/>
    </row>
    <row r="16" spans="1:21" customFormat="1">
      <c r="A16" s="201" t="s">
        <v>251</v>
      </c>
      <c r="B16" s="100">
        <v>5.21</v>
      </c>
      <c r="C16" s="100">
        <v>5.0999999999999996</v>
      </c>
      <c r="D16" s="100">
        <v>6.84</v>
      </c>
      <c r="E16" s="100">
        <v>6.53</v>
      </c>
      <c r="F16" s="100">
        <v>2</v>
      </c>
      <c r="G16" s="100">
        <v>20.3</v>
      </c>
      <c r="H16" s="100">
        <v>10.96</v>
      </c>
      <c r="I16" s="100">
        <v>4.13</v>
      </c>
      <c r="J16" s="100">
        <v>0.21</v>
      </c>
      <c r="K16" s="100">
        <v>248.23</v>
      </c>
      <c r="L16" s="100">
        <v>21.88</v>
      </c>
      <c r="M16" s="100">
        <v>36.950000000000003</v>
      </c>
      <c r="N16" s="100">
        <v>2.4</v>
      </c>
      <c r="O16" s="100">
        <v>0</v>
      </c>
      <c r="P16" s="100">
        <v>0.25</v>
      </c>
      <c r="Q16" s="100">
        <v>9.32</v>
      </c>
      <c r="R16" s="6"/>
      <c r="S16" s="6"/>
      <c r="T16" s="156"/>
      <c r="U16" s="6"/>
    </row>
    <row r="17" spans="1:21" customFormat="1">
      <c r="A17" s="201" t="s">
        <v>252</v>
      </c>
      <c r="B17" s="100">
        <v>5.23</v>
      </c>
      <c r="C17" s="100">
        <v>5.0999999999999996</v>
      </c>
      <c r="D17" s="100">
        <v>6.86</v>
      </c>
      <c r="E17" s="100">
        <v>4.43</v>
      </c>
      <c r="F17" s="100">
        <v>2</v>
      </c>
      <c r="G17" s="100">
        <v>20.3</v>
      </c>
      <c r="H17" s="100">
        <v>10.96</v>
      </c>
      <c r="I17" s="100">
        <v>4.0599999999999996</v>
      </c>
      <c r="J17" s="100">
        <v>0.18</v>
      </c>
      <c r="K17" s="100">
        <v>263.33999999999997</v>
      </c>
      <c r="L17" s="100">
        <v>23.22</v>
      </c>
      <c r="M17" s="100">
        <v>40.29</v>
      </c>
      <c r="N17" s="100">
        <v>2.4</v>
      </c>
      <c r="O17" s="100">
        <v>0</v>
      </c>
      <c r="P17" s="100">
        <v>0.26</v>
      </c>
      <c r="Q17" s="100">
        <v>9.32</v>
      </c>
      <c r="R17" s="6"/>
      <c r="S17" s="6"/>
      <c r="T17" s="156"/>
      <c r="U17" s="6"/>
    </row>
    <row r="18" spans="1:21" customFormat="1">
      <c r="A18" s="201" t="s">
        <v>253</v>
      </c>
      <c r="B18" s="100">
        <v>5.17</v>
      </c>
      <c r="C18" s="100">
        <v>5.12</v>
      </c>
      <c r="D18" s="100">
        <v>6.82</v>
      </c>
      <c r="E18" s="100">
        <v>5.4</v>
      </c>
      <c r="F18" s="100">
        <v>2</v>
      </c>
      <c r="G18" s="100">
        <v>20.3</v>
      </c>
      <c r="H18" s="100">
        <v>10.96</v>
      </c>
      <c r="I18" s="100">
        <v>4.0999999999999996</v>
      </c>
      <c r="J18" s="100">
        <v>0.21</v>
      </c>
      <c r="K18" s="100">
        <v>247.83</v>
      </c>
      <c r="L18" s="100">
        <v>22.08</v>
      </c>
      <c r="M18" s="100">
        <v>37.450000000000003</v>
      </c>
      <c r="N18" s="100">
        <v>2.2000000000000002</v>
      </c>
      <c r="O18" s="100">
        <v>0</v>
      </c>
      <c r="P18" s="100">
        <v>0.24</v>
      </c>
      <c r="Q18" s="100">
        <v>9.32</v>
      </c>
      <c r="R18" s="6"/>
      <c r="S18" s="6"/>
      <c r="T18" s="156"/>
      <c r="U18" s="6"/>
    </row>
    <row r="19" spans="1:21" customFormat="1">
      <c r="A19" s="201" t="s">
        <v>254</v>
      </c>
      <c r="B19" s="100">
        <v>5.1100000000000003</v>
      </c>
      <c r="C19" s="100">
        <v>5.07</v>
      </c>
      <c r="D19" s="100">
        <v>6.74</v>
      </c>
      <c r="E19" s="100">
        <v>5.56</v>
      </c>
      <c r="F19" s="100">
        <v>2</v>
      </c>
      <c r="G19" s="100">
        <v>19.010000000000002</v>
      </c>
      <c r="H19" s="100">
        <v>7.96</v>
      </c>
      <c r="I19" s="100">
        <v>4.05</v>
      </c>
      <c r="J19" s="100">
        <v>0.3</v>
      </c>
      <c r="K19" s="100">
        <v>253.47</v>
      </c>
      <c r="L19" s="100">
        <v>22.69</v>
      </c>
      <c r="M19" s="100">
        <v>38.92</v>
      </c>
      <c r="N19" s="100">
        <v>2.2000000000000002</v>
      </c>
      <c r="O19" s="100">
        <v>0</v>
      </c>
      <c r="P19" s="100">
        <v>0.24</v>
      </c>
      <c r="Q19" s="100">
        <v>9.32</v>
      </c>
      <c r="R19" s="6"/>
      <c r="S19" s="6"/>
      <c r="T19" s="156"/>
      <c r="U19" s="6"/>
    </row>
    <row r="20" spans="1:21" customFormat="1">
      <c r="A20" s="201" t="s">
        <v>255</v>
      </c>
      <c r="B20" s="100">
        <v>5.05</v>
      </c>
      <c r="C20" s="100">
        <v>5.0999999999999996</v>
      </c>
      <c r="D20" s="100">
        <v>6.71</v>
      </c>
      <c r="E20" s="100">
        <v>5.42</v>
      </c>
      <c r="F20" s="100">
        <v>2</v>
      </c>
      <c r="G20" s="100">
        <v>18.510000000000002</v>
      </c>
      <c r="H20" s="100">
        <v>7.87</v>
      </c>
      <c r="I20" s="100">
        <v>4.0199999999999996</v>
      </c>
      <c r="J20" s="100">
        <v>0.28999999999999998</v>
      </c>
      <c r="K20" s="100">
        <v>252.38</v>
      </c>
      <c r="L20" s="100">
        <v>22.6</v>
      </c>
      <c r="M20" s="100">
        <v>38.72</v>
      </c>
      <c r="N20" s="100">
        <v>2.2000000000000002</v>
      </c>
      <c r="O20" s="100">
        <v>0</v>
      </c>
      <c r="P20" s="100">
        <v>0.24</v>
      </c>
      <c r="Q20" s="100">
        <v>9.32</v>
      </c>
      <c r="R20" s="6"/>
      <c r="S20" s="6"/>
      <c r="T20" s="156"/>
      <c r="U20" s="6"/>
    </row>
    <row r="21" spans="1:21" customFormat="1">
      <c r="A21" s="201" t="s">
        <v>256</v>
      </c>
      <c r="B21" s="100">
        <v>5.03</v>
      </c>
      <c r="C21" s="100">
        <v>5.0999999999999996</v>
      </c>
      <c r="D21" s="100">
        <v>6.7</v>
      </c>
      <c r="E21" s="100">
        <v>5.48</v>
      </c>
      <c r="F21" s="100">
        <v>2</v>
      </c>
      <c r="G21" s="100">
        <v>18.510000000000002</v>
      </c>
      <c r="H21" s="100">
        <v>7.87</v>
      </c>
      <c r="I21" s="100">
        <v>4.03</v>
      </c>
      <c r="J21" s="100">
        <v>0.34</v>
      </c>
      <c r="K21" s="100">
        <v>253.5</v>
      </c>
      <c r="L21" s="100">
        <v>22.52</v>
      </c>
      <c r="M21" s="100">
        <v>38.56</v>
      </c>
      <c r="N21" s="100">
        <v>2.4</v>
      </c>
      <c r="O21" s="100">
        <v>0</v>
      </c>
      <c r="P21" s="100">
        <v>0.24</v>
      </c>
      <c r="Q21" s="100">
        <v>9.32</v>
      </c>
      <c r="R21" s="6"/>
      <c r="S21" s="6"/>
      <c r="T21" s="156"/>
      <c r="U21" s="6"/>
    </row>
    <row r="22" spans="1:21" customFormat="1">
      <c r="A22" s="201" t="s">
        <v>257</v>
      </c>
      <c r="B22" s="100">
        <v>4.96</v>
      </c>
      <c r="C22" s="100">
        <v>5.08</v>
      </c>
      <c r="D22" s="100">
        <v>6.63</v>
      </c>
      <c r="E22" s="100">
        <v>5.59</v>
      </c>
      <c r="F22" s="100">
        <v>2</v>
      </c>
      <c r="G22" s="100">
        <v>18.510000000000002</v>
      </c>
      <c r="H22" s="100">
        <v>7.87</v>
      </c>
      <c r="I22" s="100">
        <v>3.94</v>
      </c>
      <c r="J22" s="100">
        <v>0.32</v>
      </c>
      <c r="K22" s="100">
        <v>253.71</v>
      </c>
      <c r="L22" s="100">
        <v>22.39</v>
      </c>
      <c r="M22" s="100">
        <v>38.25</v>
      </c>
      <c r="N22" s="100">
        <v>2.2000000000000002</v>
      </c>
      <c r="O22" s="100">
        <v>0</v>
      </c>
      <c r="P22" s="100">
        <v>0.24</v>
      </c>
      <c r="Q22" s="100">
        <v>9.32</v>
      </c>
      <c r="R22" s="6"/>
      <c r="S22" s="6"/>
      <c r="T22" s="156"/>
      <c r="U22" s="6"/>
    </row>
    <row r="23" spans="1:21" customFormat="1">
      <c r="A23" s="201" t="s">
        <v>258</v>
      </c>
      <c r="B23" s="100">
        <v>4.95</v>
      </c>
      <c r="C23" s="100">
        <v>5.01</v>
      </c>
      <c r="D23" s="100">
        <v>6.59</v>
      </c>
      <c r="E23" s="100">
        <v>5.55</v>
      </c>
      <c r="F23" s="100">
        <v>2</v>
      </c>
      <c r="G23" s="100">
        <v>18.43</v>
      </c>
      <c r="H23" s="100">
        <v>6.99</v>
      </c>
      <c r="I23" s="100">
        <v>3.86</v>
      </c>
      <c r="J23" s="100">
        <v>0.35</v>
      </c>
      <c r="K23" s="100">
        <v>252.91</v>
      </c>
      <c r="L23" s="100">
        <v>22.6</v>
      </c>
      <c r="M23" s="100">
        <v>38.74</v>
      </c>
      <c r="N23" s="100">
        <v>2.1</v>
      </c>
      <c r="O23" s="100">
        <v>0</v>
      </c>
      <c r="P23" s="100">
        <v>0.23</v>
      </c>
      <c r="Q23" s="100">
        <v>9.32</v>
      </c>
      <c r="R23" s="6"/>
      <c r="S23" s="6"/>
      <c r="T23" s="156"/>
      <c r="U23" s="6"/>
    </row>
    <row r="24" spans="1:21" customFormat="1">
      <c r="A24" s="201" t="s">
        <v>259</v>
      </c>
      <c r="B24" s="100">
        <v>4.96</v>
      </c>
      <c r="C24" s="100">
        <v>5.03</v>
      </c>
      <c r="D24" s="100">
        <v>6.6</v>
      </c>
      <c r="E24" s="100">
        <v>5.53</v>
      </c>
      <c r="F24" s="100">
        <v>2</v>
      </c>
      <c r="G24" s="100">
        <v>18.399999999999999</v>
      </c>
      <c r="H24" s="100">
        <v>6.97</v>
      </c>
      <c r="I24" s="100">
        <v>3.82</v>
      </c>
      <c r="J24" s="100">
        <v>0.24</v>
      </c>
      <c r="K24" s="100">
        <v>247.53</v>
      </c>
      <c r="L24" s="100">
        <v>21.68</v>
      </c>
      <c r="M24" s="100">
        <v>36.49</v>
      </c>
      <c r="N24" s="100">
        <v>2.2000000000000002</v>
      </c>
      <c r="O24" s="100">
        <v>0</v>
      </c>
      <c r="P24" s="100">
        <v>0.26</v>
      </c>
      <c r="Q24" s="100">
        <v>9.32</v>
      </c>
      <c r="R24" s="6"/>
      <c r="S24" s="6"/>
      <c r="T24" s="156"/>
      <c r="U24" s="6"/>
    </row>
    <row r="25" spans="1:21" customFormat="1">
      <c r="A25" s="201" t="s">
        <v>260</v>
      </c>
      <c r="B25" s="100">
        <v>5.01</v>
      </c>
      <c r="C25" s="100">
        <v>4.87</v>
      </c>
      <c r="D25" s="100">
        <v>6.56</v>
      </c>
      <c r="E25" s="100">
        <v>5.76</v>
      </c>
      <c r="F25" s="100">
        <v>2</v>
      </c>
      <c r="G25" s="100">
        <v>18.399999999999999</v>
      </c>
      <c r="H25" s="100">
        <v>6.97</v>
      </c>
      <c r="I25" s="100">
        <v>3.81</v>
      </c>
      <c r="J25" s="100">
        <v>0.18</v>
      </c>
      <c r="K25" s="100">
        <v>251.28</v>
      </c>
      <c r="L25" s="100">
        <v>22.3</v>
      </c>
      <c r="M25" s="100">
        <v>38.06</v>
      </c>
      <c r="N25" s="100">
        <v>2.2999999999999998</v>
      </c>
      <c r="O25" s="100">
        <v>0</v>
      </c>
      <c r="P25" s="100">
        <v>0.26</v>
      </c>
      <c r="Q25" s="100">
        <v>9.32</v>
      </c>
      <c r="R25" s="6"/>
      <c r="S25" s="6"/>
      <c r="T25" s="156"/>
      <c r="U25" s="6"/>
    </row>
    <row r="26" spans="1:21" customFormat="1">
      <c r="A26" s="201" t="s">
        <v>261</v>
      </c>
      <c r="B26" s="100">
        <v>5.13</v>
      </c>
      <c r="C26" s="100">
        <v>4.9000000000000004</v>
      </c>
      <c r="D26" s="100">
        <v>6.67</v>
      </c>
      <c r="E26" s="100">
        <v>5.2</v>
      </c>
      <c r="F26" s="100">
        <v>2</v>
      </c>
      <c r="G26" s="100">
        <v>18.399999999999999</v>
      </c>
      <c r="H26" s="100">
        <v>6.97</v>
      </c>
      <c r="I26" s="100">
        <v>3.82</v>
      </c>
      <c r="J26" s="100">
        <v>0.09</v>
      </c>
      <c r="K26" s="100">
        <v>213.13</v>
      </c>
      <c r="L26" s="100">
        <v>18.21</v>
      </c>
      <c r="M26" s="100">
        <v>27.8</v>
      </c>
      <c r="N26" s="100">
        <v>2.4</v>
      </c>
      <c r="O26" s="100">
        <v>0</v>
      </c>
      <c r="P26" s="100">
        <v>0.27</v>
      </c>
      <c r="Q26" s="100">
        <v>9.32</v>
      </c>
      <c r="R26" s="6"/>
      <c r="S26" s="6"/>
      <c r="T26" s="156"/>
      <c r="U26" s="6"/>
    </row>
    <row r="27" spans="1:21" customFormat="1">
      <c r="A27" s="201" t="s">
        <v>262</v>
      </c>
      <c r="B27" s="100">
        <v>5.25</v>
      </c>
      <c r="C27" s="100">
        <v>4.96</v>
      </c>
      <c r="D27" s="100">
        <v>6.8</v>
      </c>
      <c r="E27" s="100">
        <v>5.35</v>
      </c>
      <c r="F27" s="100">
        <v>2</v>
      </c>
      <c r="G27" s="100">
        <v>19.73</v>
      </c>
      <c r="H27" s="100">
        <v>6.24</v>
      </c>
      <c r="I27" s="100">
        <v>3.84</v>
      </c>
      <c r="J27" s="100">
        <v>0.13</v>
      </c>
      <c r="K27" s="100">
        <v>226.29</v>
      </c>
      <c r="L27" s="100">
        <v>19.68</v>
      </c>
      <c r="M27" s="100">
        <v>31.5</v>
      </c>
      <c r="N27" s="100">
        <v>2.2999999999999998</v>
      </c>
      <c r="O27" s="100">
        <v>0</v>
      </c>
      <c r="P27" s="100">
        <v>0.26</v>
      </c>
      <c r="Q27" s="100">
        <v>9.32</v>
      </c>
      <c r="R27" s="6"/>
      <c r="S27" s="6"/>
      <c r="T27" s="156"/>
      <c r="U27" s="6"/>
    </row>
    <row r="28" spans="1:21" customFormat="1">
      <c r="A28" s="201" t="s">
        <v>263</v>
      </c>
      <c r="B28" s="100">
        <v>5.43</v>
      </c>
      <c r="C28" s="100">
        <v>5.04</v>
      </c>
      <c r="D28" s="100">
        <v>6.98</v>
      </c>
      <c r="E28" s="100">
        <v>5.03</v>
      </c>
      <c r="F28" s="100">
        <v>2</v>
      </c>
      <c r="G28" s="100">
        <v>20.21</v>
      </c>
      <c r="H28" s="100">
        <v>6.22</v>
      </c>
      <c r="I28" s="100">
        <v>3.88</v>
      </c>
      <c r="J28" s="100">
        <v>0.09</v>
      </c>
      <c r="K28" s="100">
        <v>157.6</v>
      </c>
      <c r="L28" s="100">
        <v>14.42</v>
      </c>
      <c r="M28" s="100">
        <v>18.41</v>
      </c>
      <c r="N28" s="100">
        <v>2.2000000000000002</v>
      </c>
      <c r="O28" s="100">
        <v>0</v>
      </c>
      <c r="P28" s="100">
        <v>0.27</v>
      </c>
      <c r="Q28" s="100">
        <v>9.32</v>
      </c>
      <c r="R28" s="6"/>
      <c r="S28" s="6"/>
      <c r="T28" s="156"/>
      <c r="U28" s="6"/>
    </row>
    <row r="29" spans="1:21" customFormat="1">
      <c r="A29" s="201" t="s">
        <v>264</v>
      </c>
      <c r="B29" s="100">
        <v>5.57</v>
      </c>
      <c r="C29" s="100">
        <v>5.0999999999999996</v>
      </c>
      <c r="D29" s="100">
        <v>7.13</v>
      </c>
      <c r="E29" s="100">
        <v>5.38</v>
      </c>
      <c r="F29" s="100">
        <v>2</v>
      </c>
      <c r="G29" s="100">
        <v>20.21</v>
      </c>
      <c r="H29" s="100">
        <v>6.22</v>
      </c>
      <c r="I29" s="100">
        <v>3.95</v>
      </c>
      <c r="J29" s="100">
        <v>0.1</v>
      </c>
      <c r="K29" s="100">
        <v>149.44999999999999</v>
      </c>
      <c r="L29" s="100">
        <v>14.17</v>
      </c>
      <c r="M29" s="100">
        <v>17.79</v>
      </c>
      <c r="N29" s="100">
        <v>2.2999999999999998</v>
      </c>
      <c r="O29" s="100">
        <v>0</v>
      </c>
      <c r="P29" s="100">
        <v>0.27</v>
      </c>
      <c r="Q29" s="100">
        <v>9.32</v>
      </c>
      <c r="R29" s="6"/>
      <c r="S29" s="6"/>
      <c r="T29" s="156"/>
      <c r="U29" s="6"/>
    </row>
    <row r="30" spans="1:21" customFormat="1">
      <c r="A30" s="201" t="s">
        <v>265</v>
      </c>
      <c r="B30" s="100">
        <v>5.75</v>
      </c>
      <c r="C30" s="100">
        <v>5.08</v>
      </c>
      <c r="D30" s="100">
        <v>7.26</v>
      </c>
      <c r="E30" s="100">
        <v>5.26</v>
      </c>
      <c r="F30" s="100">
        <v>2</v>
      </c>
      <c r="G30" s="100">
        <v>20.21</v>
      </c>
      <c r="H30" s="100">
        <v>6.22</v>
      </c>
      <c r="I30" s="100">
        <v>3.98</v>
      </c>
      <c r="J30" s="100">
        <v>0.1</v>
      </c>
      <c r="K30" s="100">
        <v>204.36</v>
      </c>
      <c r="L30" s="100">
        <v>18.68</v>
      </c>
      <c r="M30" s="100">
        <v>29.05</v>
      </c>
      <c r="N30" s="100">
        <v>2.2999999999999998</v>
      </c>
      <c r="O30" s="100">
        <v>0</v>
      </c>
      <c r="P30" s="100">
        <v>0.27</v>
      </c>
      <c r="Q30" s="100">
        <v>9.32</v>
      </c>
      <c r="R30" s="6"/>
      <c r="S30" s="6"/>
      <c r="T30" s="156"/>
      <c r="U30" s="6"/>
    </row>
    <row r="31" spans="1:21" customFormat="1">
      <c r="A31" s="201" t="s">
        <v>266</v>
      </c>
      <c r="B31" s="100">
        <v>5.87</v>
      </c>
      <c r="C31" s="100">
        <v>5.16</v>
      </c>
      <c r="D31" s="100">
        <v>7.4</v>
      </c>
      <c r="E31" s="100">
        <v>5.1100000000000003</v>
      </c>
      <c r="F31" s="100">
        <v>2</v>
      </c>
      <c r="G31" s="100">
        <v>16.739999999999998</v>
      </c>
      <c r="H31" s="100">
        <v>8.5</v>
      </c>
      <c r="I31" s="100">
        <v>3.99</v>
      </c>
      <c r="J31" s="100">
        <v>7.0000000000000007E-2</v>
      </c>
      <c r="K31" s="100">
        <v>196.41</v>
      </c>
      <c r="L31" s="100">
        <v>17.04</v>
      </c>
      <c r="M31" s="100">
        <v>25.12</v>
      </c>
      <c r="N31" s="100">
        <v>2.4</v>
      </c>
      <c r="O31" s="100">
        <v>0</v>
      </c>
      <c r="P31" s="100">
        <v>0.27</v>
      </c>
      <c r="Q31" s="100">
        <v>9.32</v>
      </c>
      <c r="R31" s="6"/>
      <c r="S31" s="6"/>
      <c r="T31" s="156"/>
      <c r="U31" s="6"/>
    </row>
    <row r="32" spans="1:21" customFormat="1">
      <c r="A32" s="201" t="s">
        <v>267</v>
      </c>
      <c r="B32" s="100">
        <v>6.04</v>
      </c>
      <c r="C32" s="100">
        <v>5.22</v>
      </c>
      <c r="D32" s="100">
        <v>7.57</v>
      </c>
      <c r="E32" s="100">
        <v>5.46</v>
      </c>
      <c r="F32" s="100">
        <v>2</v>
      </c>
      <c r="G32" s="100">
        <v>15.41</v>
      </c>
      <c r="H32" s="100">
        <v>8.57</v>
      </c>
      <c r="I32" s="100">
        <v>4.0599999999999996</v>
      </c>
      <c r="J32" s="100">
        <v>0.1</v>
      </c>
      <c r="K32" s="100">
        <v>174.59</v>
      </c>
      <c r="L32" s="100">
        <v>17.09</v>
      </c>
      <c r="M32" s="100">
        <v>25.03</v>
      </c>
      <c r="N32" s="100">
        <v>2.5</v>
      </c>
      <c r="O32" s="100">
        <v>0</v>
      </c>
      <c r="P32" s="100">
        <v>0.27</v>
      </c>
      <c r="Q32" s="100">
        <v>9.32</v>
      </c>
      <c r="R32" s="6"/>
      <c r="S32" s="6"/>
      <c r="T32" s="156"/>
      <c r="U32" s="6"/>
    </row>
    <row r="33" spans="1:21" customFormat="1">
      <c r="A33" s="201" t="s">
        <v>268</v>
      </c>
      <c r="B33" s="100">
        <v>6.17</v>
      </c>
      <c r="C33" s="100">
        <v>5.29</v>
      </c>
      <c r="D33" s="100">
        <v>7.71</v>
      </c>
      <c r="E33" s="100">
        <v>5.52</v>
      </c>
      <c r="F33" s="100">
        <v>2</v>
      </c>
      <c r="G33" s="100">
        <v>15.41</v>
      </c>
      <c r="H33" s="100">
        <v>8.57</v>
      </c>
      <c r="I33" s="100">
        <v>4.08</v>
      </c>
      <c r="J33" s="100">
        <v>0.06</v>
      </c>
      <c r="K33" s="100">
        <v>211.88</v>
      </c>
      <c r="L33" s="100">
        <v>18.329999999999998</v>
      </c>
      <c r="M33" s="100">
        <v>28.11</v>
      </c>
      <c r="N33" s="100">
        <v>4.5</v>
      </c>
      <c r="O33" s="100">
        <v>0</v>
      </c>
      <c r="P33" s="100">
        <v>0.27</v>
      </c>
      <c r="Q33" s="100">
        <v>9.32</v>
      </c>
      <c r="R33" s="6"/>
      <c r="S33" s="6"/>
      <c r="T33" s="156"/>
      <c r="U33" s="6"/>
    </row>
    <row r="34" spans="1:21" customFormat="1">
      <c r="A34" s="201" t="s">
        <v>269</v>
      </c>
      <c r="B34" s="100">
        <v>6.34</v>
      </c>
      <c r="C34" s="100">
        <v>5.32</v>
      </c>
      <c r="D34" s="100">
        <v>7.86</v>
      </c>
      <c r="E34" s="100">
        <v>5.04</v>
      </c>
      <c r="F34" s="100">
        <v>2</v>
      </c>
      <c r="G34" s="100">
        <v>15.41</v>
      </c>
      <c r="H34" s="100">
        <v>8.57</v>
      </c>
      <c r="I34" s="100">
        <v>4.08</v>
      </c>
      <c r="J34" s="100">
        <v>0.09</v>
      </c>
      <c r="K34" s="100">
        <v>184.85</v>
      </c>
      <c r="L34" s="100">
        <v>16.89</v>
      </c>
      <c r="M34" s="100">
        <v>24.41</v>
      </c>
      <c r="N34" s="100">
        <v>10.6</v>
      </c>
      <c r="O34" s="100">
        <v>0</v>
      </c>
      <c r="P34" s="100">
        <v>0.27</v>
      </c>
      <c r="Q34" s="100">
        <v>9.32</v>
      </c>
      <c r="R34" s="6"/>
      <c r="S34" s="6"/>
      <c r="T34" s="156"/>
      <c r="U34" s="6"/>
    </row>
    <row r="35" spans="1:21" customFormat="1">
      <c r="A35" s="201" t="s">
        <v>270</v>
      </c>
      <c r="B35" s="100">
        <v>6.45</v>
      </c>
      <c r="C35" s="100">
        <v>5.27</v>
      </c>
      <c r="D35" s="100">
        <v>7.93</v>
      </c>
      <c r="E35" s="100">
        <v>4.83</v>
      </c>
      <c r="F35" s="100">
        <v>2</v>
      </c>
      <c r="G35" s="100">
        <v>12.85</v>
      </c>
      <c r="H35" s="100">
        <v>9.6</v>
      </c>
      <c r="I35" s="100">
        <v>4.0999999999999996</v>
      </c>
      <c r="J35" s="100">
        <v>0.11</v>
      </c>
      <c r="K35" s="100">
        <v>211.11</v>
      </c>
      <c r="L35" s="100">
        <v>19.600000000000001</v>
      </c>
      <c r="M35" s="100">
        <v>30.99</v>
      </c>
      <c r="N35" s="100">
        <v>21.1</v>
      </c>
      <c r="O35" s="100">
        <v>0</v>
      </c>
      <c r="P35" s="100">
        <v>0.26</v>
      </c>
      <c r="Q35" s="100">
        <v>9.32</v>
      </c>
      <c r="R35" s="6"/>
      <c r="S35" s="6"/>
      <c r="T35" s="156"/>
      <c r="U35" s="6"/>
    </row>
    <row r="36" spans="1:21" customFormat="1">
      <c r="A36" s="201" t="s">
        <v>271</v>
      </c>
      <c r="B36" s="100">
        <v>6.56</v>
      </c>
      <c r="C36" s="100">
        <v>5.35</v>
      </c>
      <c r="D36" s="100">
        <v>8.0500000000000007</v>
      </c>
      <c r="E36" s="100">
        <v>5</v>
      </c>
      <c r="F36" s="100">
        <v>2</v>
      </c>
      <c r="G36" s="100">
        <v>11.87</v>
      </c>
      <c r="H36" s="100">
        <v>9.6300000000000008</v>
      </c>
      <c r="I36" s="100">
        <v>4.16</v>
      </c>
      <c r="J36" s="100">
        <v>0.16</v>
      </c>
      <c r="K36" s="100">
        <v>249.02</v>
      </c>
      <c r="L36" s="100">
        <v>21.65</v>
      </c>
      <c r="M36" s="100">
        <v>35.44</v>
      </c>
      <c r="N36" s="100">
        <v>44</v>
      </c>
      <c r="O36" s="100">
        <v>0</v>
      </c>
      <c r="P36" s="100">
        <v>0.27</v>
      </c>
      <c r="Q36" s="100">
        <v>9.32</v>
      </c>
      <c r="R36" s="6"/>
      <c r="S36" s="6"/>
      <c r="T36" s="156"/>
      <c r="U36" s="6"/>
    </row>
    <row r="37" spans="1:21" customFormat="1">
      <c r="A37" s="201" t="s">
        <v>272</v>
      </c>
      <c r="B37" s="100">
        <v>6.64</v>
      </c>
      <c r="C37" s="100">
        <v>5.37</v>
      </c>
      <c r="D37" s="100">
        <v>8.1300000000000008</v>
      </c>
      <c r="E37" s="100">
        <v>4.93</v>
      </c>
      <c r="F37" s="100">
        <v>2</v>
      </c>
      <c r="G37" s="100">
        <v>11.87</v>
      </c>
      <c r="H37" s="100">
        <v>9.6300000000000008</v>
      </c>
      <c r="I37" s="100">
        <v>4.21</v>
      </c>
      <c r="J37" s="100">
        <v>0.19</v>
      </c>
      <c r="K37" s="100">
        <v>252.95</v>
      </c>
      <c r="L37" s="100">
        <v>21.58</v>
      </c>
      <c r="M37" s="100">
        <v>35.33</v>
      </c>
      <c r="N37" s="100">
        <v>38.1</v>
      </c>
      <c r="O37" s="100">
        <v>0</v>
      </c>
      <c r="P37" s="100">
        <v>0.27</v>
      </c>
      <c r="Q37" s="100">
        <v>9.32</v>
      </c>
      <c r="R37" s="6"/>
      <c r="S37" s="6"/>
      <c r="T37" s="156"/>
      <c r="U37" s="6"/>
    </row>
    <row r="38" spans="1:21" customFormat="1">
      <c r="A38" s="201" t="s">
        <v>273</v>
      </c>
      <c r="B38" s="100">
        <v>6.66</v>
      </c>
      <c r="C38" s="100">
        <v>5.4</v>
      </c>
      <c r="D38" s="100">
        <v>8.17</v>
      </c>
      <c r="E38" s="100">
        <v>4.54</v>
      </c>
      <c r="F38" s="100">
        <v>2</v>
      </c>
      <c r="G38" s="100">
        <v>11.87</v>
      </c>
      <c r="H38" s="100">
        <v>9.6300000000000008</v>
      </c>
      <c r="I38" s="100">
        <v>4.21</v>
      </c>
      <c r="J38" s="100">
        <v>0.3</v>
      </c>
      <c r="K38" s="100">
        <v>252.54</v>
      </c>
      <c r="L38" s="100">
        <v>22.66</v>
      </c>
      <c r="M38" s="100">
        <v>38.03</v>
      </c>
      <c r="N38" s="100">
        <v>41.3</v>
      </c>
      <c r="O38" s="100">
        <v>0</v>
      </c>
      <c r="P38" s="100">
        <v>0.27</v>
      </c>
      <c r="Q38" s="100">
        <v>9.32</v>
      </c>
      <c r="R38" s="6"/>
      <c r="S38" s="6"/>
      <c r="T38" s="156"/>
      <c r="U38" s="6"/>
    </row>
    <row r="39" spans="1:21" customFormat="1">
      <c r="A39" s="201" t="s">
        <v>274</v>
      </c>
      <c r="B39" s="100">
        <v>6.72</v>
      </c>
      <c r="C39" s="100">
        <v>5.47</v>
      </c>
      <c r="D39" s="100">
        <v>8.25</v>
      </c>
      <c r="E39" s="100">
        <v>3.3</v>
      </c>
      <c r="F39" s="100">
        <v>2</v>
      </c>
      <c r="G39" s="100">
        <v>14.52</v>
      </c>
      <c r="H39" s="100">
        <v>10.48</v>
      </c>
      <c r="I39" s="100">
        <v>4.28</v>
      </c>
      <c r="J39" s="100">
        <v>0.35</v>
      </c>
      <c r="K39" s="100">
        <v>256.02</v>
      </c>
      <c r="L39" s="100">
        <v>22.6</v>
      </c>
      <c r="M39" s="100">
        <v>36.69</v>
      </c>
      <c r="N39" s="100">
        <v>88.9</v>
      </c>
      <c r="O39" s="100">
        <v>0</v>
      </c>
      <c r="P39" s="100">
        <v>0.28000000000000003</v>
      </c>
      <c r="Q39" s="100">
        <v>9.32</v>
      </c>
      <c r="R39" s="6"/>
      <c r="S39" s="6"/>
      <c r="T39" s="156"/>
      <c r="U39" s="6"/>
    </row>
    <row r="40" spans="1:21" customFormat="1">
      <c r="A40" s="201" t="s">
        <v>275</v>
      </c>
      <c r="B40" s="100">
        <v>6.76</v>
      </c>
      <c r="C40" s="100">
        <v>5.5</v>
      </c>
      <c r="D40" s="100">
        <v>8.3000000000000007</v>
      </c>
      <c r="E40" s="100">
        <v>4.7699999999999996</v>
      </c>
      <c r="F40" s="100">
        <v>2</v>
      </c>
      <c r="G40" s="100">
        <v>15.48</v>
      </c>
      <c r="H40" s="100">
        <v>10.52</v>
      </c>
      <c r="I40" s="100">
        <v>4.3899999999999997</v>
      </c>
      <c r="J40" s="100">
        <v>0.33</v>
      </c>
      <c r="K40" s="100">
        <v>262.45999999999998</v>
      </c>
      <c r="L40" s="100">
        <v>23.81</v>
      </c>
      <c r="M40" s="100">
        <v>40.380000000000003</v>
      </c>
      <c r="N40" s="100">
        <v>60.2</v>
      </c>
      <c r="O40" s="100">
        <v>0</v>
      </c>
      <c r="P40" s="100">
        <v>0.27</v>
      </c>
      <c r="Q40" s="100">
        <v>9.32</v>
      </c>
      <c r="R40" s="6"/>
      <c r="S40" s="6"/>
      <c r="T40" s="156"/>
      <c r="U40" s="6"/>
    </row>
    <row r="41" spans="1:21" customFormat="1">
      <c r="A41" s="201" t="s">
        <v>276</v>
      </c>
      <c r="B41" s="100">
        <v>6.76</v>
      </c>
      <c r="C41" s="100">
        <v>5.57</v>
      </c>
      <c r="D41" s="100">
        <v>8.33</v>
      </c>
      <c r="E41" s="100">
        <v>4.75</v>
      </c>
      <c r="F41" s="100">
        <v>2</v>
      </c>
      <c r="G41" s="100">
        <v>15.48</v>
      </c>
      <c r="H41" s="100">
        <v>10.52</v>
      </c>
      <c r="I41" s="100">
        <v>4.5</v>
      </c>
      <c r="J41" s="100">
        <v>0.42</v>
      </c>
      <c r="K41" s="100">
        <v>250.28</v>
      </c>
      <c r="L41" s="100">
        <v>22.49</v>
      </c>
      <c r="M41" s="100">
        <v>36.92</v>
      </c>
      <c r="N41" s="100">
        <v>68.8</v>
      </c>
      <c r="O41" s="100">
        <v>0</v>
      </c>
      <c r="P41" s="100">
        <v>0.28000000000000003</v>
      </c>
      <c r="Q41" s="100">
        <v>9.32</v>
      </c>
      <c r="R41" s="6"/>
      <c r="S41" s="6"/>
      <c r="T41" s="156"/>
      <c r="U41" s="6"/>
    </row>
    <row r="42" spans="1:21" customFormat="1">
      <c r="A42" s="201" t="s">
        <v>277</v>
      </c>
      <c r="B42" s="100">
        <v>6.77</v>
      </c>
      <c r="C42" s="100">
        <v>5.55</v>
      </c>
      <c r="D42" s="100">
        <v>8.33</v>
      </c>
      <c r="E42" s="100">
        <v>4.79</v>
      </c>
      <c r="F42" s="100">
        <v>2</v>
      </c>
      <c r="G42" s="100">
        <v>15.48</v>
      </c>
      <c r="H42" s="100">
        <v>10.52</v>
      </c>
      <c r="I42" s="100">
        <v>4.6900000000000004</v>
      </c>
      <c r="J42" s="100">
        <v>0.51</v>
      </c>
      <c r="K42" s="100">
        <v>254.82</v>
      </c>
      <c r="L42" s="100">
        <v>23.28</v>
      </c>
      <c r="M42" s="100">
        <v>38.53</v>
      </c>
      <c r="N42" s="100">
        <v>84.9</v>
      </c>
      <c r="O42" s="100">
        <v>0</v>
      </c>
      <c r="P42" s="100">
        <v>0.3</v>
      </c>
      <c r="Q42" s="100">
        <v>9.32</v>
      </c>
      <c r="R42" s="6"/>
      <c r="S42" s="6"/>
      <c r="T42" s="156"/>
      <c r="U42" s="6"/>
    </row>
    <row r="43" spans="1:21" customFormat="1">
      <c r="A43" s="201" t="s">
        <v>278</v>
      </c>
      <c r="B43" s="100">
        <v>6.73</v>
      </c>
      <c r="C43" s="100">
        <v>5.69</v>
      </c>
      <c r="D43" s="100">
        <v>8.3699999999999992</v>
      </c>
      <c r="E43" s="100">
        <v>4.78</v>
      </c>
      <c r="F43" s="100">
        <v>2</v>
      </c>
      <c r="G43" s="100">
        <v>21.54</v>
      </c>
      <c r="H43" s="100">
        <v>10.84</v>
      </c>
      <c r="I43" s="100">
        <v>4.9000000000000004</v>
      </c>
      <c r="J43" s="100">
        <v>0.36</v>
      </c>
      <c r="K43" s="100">
        <v>259.42</v>
      </c>
      <c r="L43" s="100">
        <v>23.66</v>
      </c>
      <c r="M43" s="100">
        <v>39.340000000000003</v>
      </c>
      <c r="N43" s="100">
        <v>91.4</v>
      </c>
      <c r="O43" s="100">
        <v>0</v>
      </c>
      <c r="P43" s="100">
        <v>0.28999999999999998</v>
      </c>
      <c r="Q43" s="100">
        <v>9.32</v>
      </c>
      <c r="R43" s="6"/>
      <c r="S43" s="6"/>
      <c r="T43" s="156"/>
      <c r="U43" s="6"/>
    </row>
    <row r="44" spans="1:21" customFormat="1">
      <c r="A44" s="201" t="s">
        <v>279</v>
      </c>
      <c r="B44" s="100">
        <v>6.66</v>
      </c>
      <c r="C44" s="100">
        <v>5.76</v>
      </c>
      <c r="D44" s="100">
        <v>8.35</v>
      </c>
      <c r="E44" s="100">
        <v>4.71</v>
      </c>
      <c r="F44" s="100">
        <v>2</v>
      </c>
      <c r="G44" s="100">
        <v>23.74</v>
      </c>
      <c r="H44" s="100">
        <v>10.84</v>
      </c>
      <c r="I44" s="100">
        <v>5.14</v>
      </c>
      <c r="J44" s="100">
        <v>0.38</v>
      </c>
      <c r="K44" s="100">
        <v>261.31</v>
      </c>
      <c r="L44" s="100">
        <v>23.81</v>
      </c>
      <c r="M44" s="100">
        <v>39.4</v>
      </c>
      <c r="N44" s="100">
        <v>100.4</v>
      </c>
      <c r="O44" s="100">
        <v>0</v>
      </c>
      <c r="P44" s="100">
        <v>0.28000000000000003</v>
      </c>
      <c r="Q44" s="100">
        <v>9.32</v>
      </c>
      <c r="R44" s="6"/>
      <c r="S44" s="6"/>
      <c r="T44" s="156"/>
      <c r="U44" s="6"/>
    </row>
    <row r="45" spans="1:21" customFormat="1">
      <c r="A45" s="201" t="s">
        <v>280</v>
      </c>
      <c r="B45" s="100">
        <v>6.51</v>
      </c>
      <c r="C45" s="100">
        <v>5.97</v>
      </c>
      <c r="D45" s="100">
        <v>8.34</v>
      </c>
      <c r="E45" s="100">
        <v>4.62</v>
      </c>
      <c r="F45" s="100">
        <v>2</v>
      </c>
      <c r="G45" s="100">
        <v>23.74</v>
      </c>
      <c r="H45" s="100">
        <v>10.84</v>
      </c>
      <c r="I45" s="100">
        <v>5.45</v>
      </c>
      <c r="J45" s="100">
        <v>0.35</v>
      </c>
      <c r="K45" s="100">
        <v>259.87</v>
      </c>
      <c r="L45" s="100">
        <v>23.72</v>
      </c>
      <c r="M45" s="100">
        <v>38.6</v>
      </c>
      <c r="N45" s="100">
        <v>127.3</v>
      </c>
      <c r="O45" s="100">
        <v>0</v>
      </c>
      <c r="P45" s="100">
        <v>0.28999999999999998</v>
      </c>
      <c r="Q45" s="100">
        <v>9.32</v>
      </c>
      <c r="R45" s="6"/>
      <c r="S45" s="6"/>
      <c r="T45" s="156"/>
      <c r="U45" s="6"/>
    </row>
    <row r="46" spans="1:21" customFormat="1">
      <c r="A46" s="201" t="s">
        <v>281</v>
      </c>
      <c r="B46" s="100">
        <v>6.37</v>
      </c>
      <c r="C46" s="100">
        <v>6.13</v>
      </c>
      <c r="D46" s="100">
        <v>8.31</v>
      </c>
      <c r="E46" s="100">
        <v>4.67</v>
      </c>
      <c r="F46" s="100">
        <v>2</v>
      </c>
      <c r="G46" s="100">
        <v>23.74</v>
      </c>
      <c r="H46" s="100">
        <v>10.84</v>
      </c>
      <c r="I46" s="100">
        <v>5.83</v>
      </c>
      <c r="J46" s="100">
        <v>0.12</v>
      </c>
      <c r="K46" s="100">
        <v>291.64999999999998</v>
      </c>
      <c r="L46" s="100">
        <v>22.24</v>
      </c>
      <c r="M46" s="100">
        <v>33.549999999999997</v>
      </c>
      <c r="N46" s="100">
        <v>180.5</v>
      </c>
      <c r="O46" s="100">
        <v>0</v>
      </c>
      <c r="P46" s="100">
        <v>0.3</v>
      </c>
      <c r="Q46" s="100">
        <v>9.32</v>
      </c>
      <c r="R46" s="6"/>
      <c r="S46" s="6"/>
      <c r="T46" s="156"/>
      <c r="U46" s="6"/>
    </row>
    <row r="47" spans="1:21" customFormat="1">
      <c r="A47" s="201" t="s">
        <v>282</v>
      </c>
      <c r="B47" s="100">
        <v>6.26</v>
      </c>
      <c r="C47" s="100">
        <v>6.23</v>
      </c>
      <c r="D47" s="100">
        <v>8.27</v>
      </c>
      <c r="E47" s="100">
        <v>4.97</v>
      </c>
      <c r="F47" s="100">
        <v>2</v>
      </c>
      <c r="G47" s="100">
        <v>28.98</v>
      </c>
      <c r="H47" s="100">
        <v>13.2</v>
      </c>
      <c r="I47" s="100">
        <v>6.31</v>
      </c>
      <c r="J47" s="100">
        <v>0.01</v>
      </c>
      <c r="K47" s="100">
        <v>294.25</v>
      </c>
      <c r="L47" s="100">
        <v>19.96</v>
      </c>
      <c r="M47" s="100">
        <v>27.58</v>
      </c>
      <c r="N47" s="100">
        <v>191.8</v>
      </c>
      <c r="O47" s="100">
        <v>0</v>
      </c>
      <c r="P47" s="100">
        <v>0.32</v>
      </c>
      <c r="Q47" s="100">
        <v>9.32</v>
      </c>
      <c r="R47" s="6"/>
      <c r="S47" s="6"/>
      <c r="T47" s="156"/>
      <c r="U47" s="6"/>
    </row>
    <row r="48" spans="1:21" customFormat="1">
      <c r="A48" s="201" t="s">
        <v>283</v>
      </c>
      <c r="B48" s="100">
        <v>6.08</v>
      </c>
      <c r="C48" s="100">
        <v>6.29</v>
      </c>
      <c r="D48" s="100">
        <v>8.16</v>
      </c>
      <c r="E48" s="100">
        <v>4.68</v>
      </c>
      <c r="F48" s="100">
        <v>2</v>
      </c>
      <c r="G48" s="100">
        <v>30.89</v>
      </c>
      <c r="H48" s="100">
        <v>13.24</v>
      </c>
      <c r="I48" s="100">
        <v>6.7</v>
      </c>
      <c r="J48" s="100">
        <v>0.23</v>
      </c>
      <c r="K48" s="100">
        <v>67.22</v>
      </c>
      <c r="L48" s="100">
        <v>15.01</v>
      </c>
      <c r="M48" s="100">
        <v>15.49</v>
      </c>
      <c r="N48" s="100">
        <v>174.5</v>
      </c>
      <c r="O48" s="100">
        <v>0</v>
      </c>
      <c r="P48" s="100">
        <v>0.32</v>
      </c>
      <c r="Q48" s="100">
        <v>9.32</v>
      </c>
      <c r="R48" s="6"/>
      <c r="S48" s="6"/>
      <c r="T48" s="156"/>
      <c r="U48" s="6"/>
    </row>
    <row r="49" spans="1:21" customFormat="1">
      <c r="A49" s="201" t="s">
        <v>284</v>
      </c>
      <c r="B49" s="100">
        <v>5.98</v>
      </c>
      <c r="C49" s="100">
        <v>6.5</v>
      </c>
      <c r="D49" s="100">
        <v>8.19</v>
      </c>
      <c r="E49" s="100">
        <v>5.19</v>
      </c>
      <c r="F49" s="100">
        <v>2</v>
      </c>
      <c r="G49" s="100">
        <v>30.89</v>
      </c>
      <c r="H49" s="100">
        <v>13.24</v>
      </c>
      <c r="I49" s="100">
        <v>7.06</v>
      </c>
      <c r="J49" s="100">
        <v>0.09</v>
      </c>
      <c r="K49" s="100">
        <v>26.65</v>
      </c>
      <c r="L49" s="100">
        <v>17.690000000000001</v>
      </c>
      <c r="M49" s="100">
        <v>21.83</v>
      </c>
      <c r="N49" s="100">
        <v>190.3</v>
      </c>
      <c r="O49" s="100">
        <v>0</v>
      </c>
      <c r="P49" s="100">
        <v>0.34</v>
      </c>
      <c r="Q49" s="100">
        <v>9.32</v>
      </c>
      <c r="R49" s="6"/>
      <c r="S49" s="6"/>
      <c r="T49" s="156"/>
      <c r="U49" s="6"/>
    </row>
    <row r="50" spans="1:21" customFormat="1">
      <c r="A50" s="201" t="s">
        <v>285</v>
      </c>
      <c r="B50" s="100">
        <v>5.79</v>
      </c>
      <c r="C50" s="100">
        <v>6.61</v>
      </c>
      <c r="D50" s="100">
        <v>8.1</v>
      </c>
      <c r="E50" s="100">
        <v>6.26</v>
      </c>
      <c r="F50" s="100">
        <v>2</v>
      </c>
      <c r="G50" s="100">
        <v>30.89</v>
      </c>
      <c r="H50" s="100">
        <v>13.24</v>
      </c>
      <c r="I50" s="100">
        <v>7.52</v>
      </c>
      <c r="J50" s="100">
        <v>0.43</v>
      </c>
      <c r="K50" s="100">
        <v>4.99</v>
      </c>
      <c r="L50" s="100">
        <v>16.89</v>
      </c>
      <c r="M50" s="100">
        <v>20.13</v>
      </c>
      <c r="N50" s="100">
        <v>175.2</v>
      </c>
      <c r="O50" s="100">
        <v>0</v>
      </c>
      <c r="P50" s="100">
        <v>0.36</v>
      </c>
      <c r="Q50" s="100">
        <v>9.32</v>
      </c>
      <c r="R50" s="6"/>
      <c r="S50" s="6"/>
      <c r="T50" s="156"/>
      <c r="U50" s="6"/>
    </row>
    <row r="51" spans="1:21" customFormat="1">
      <c r="A51" s="201" t="s">
        <v>286</v>
      </c>
      <c r="B51" s="100">
        <v>6.64</v>
      </c>
      <c r="C51" s="100">
        <v>10.38</v>
      </c>
      <c r="D51" s="100">
        <v>10.75</v>
      </c>
      <c r="E51" s="100">
        <v>6.22</v>
      </c>
      <c r="F51" s="100">
        <v>2.89</v>
      </c>
      <c r="G51" s="100">
        <v>33.049999999999997</v>
      </c>
      <c r="H51" s="100">
        <v>14.31</v>
      </c>
      <c r="I51" s="100">
        <v>7.94</v>
      </c>
      <c r="J51" s="100">
        <v>0.51</v>
      </c>
      <c r="K51" s="100">
        <v>38.93</v>
      </c>
      <c r="L51" s="100">
        <v>10.63</v>
      </c>
      <c r="M51" s="100">
        <v>4.51</v>
      </c>
      <c r="N51" s="100">
        <v>169</v>
      </c>
      <c r="O51" s="100">
        <v>0</v>
      </c>
      <c r="P51" s="100">
        <v>0.42</v>
      </c>
      <c r="Q51" s="100">
        <v>9.32</v>
      </c>
      <c r="R51" s="6"/>
      <c r="S51" s="6"/>
      <c r="T51" s="156"/>
      <c r="U51" s="6"/>
    </row>
    <row r="52" spans="1:21" customFormat="1">
      <c r="A52" s="201" t="s">
        <v>287</v>
      </c>
      <c r="B52" s="100">
        <v>7.23</v>
      </c>
      <c r="C52" s="100">
        <v>18.14</v>
      </c>
      <c r="D52" s="100">
        <v>15.27</v>
      </c>
      <c r="E52" s="100">
        <v>6.53</v>
      </c>
      <c r="F52" s="100">
        <v>7.92</v>
      </c>
      <c r="G52" s="100">
        <v>33.840000000000003</v>
      </c>
      <c r="H52" s="100">
        <v>14.34</v>
      </c>
      <c r="I52" s="100">
        <v>8.39</v>
      </c>
      <c r="J52" s="100">
        <v>0.33</v>
      </c>
      <c r="K52" s="100">
        <v>22.84</v>
      </c>
      <c r="L52" s="100">
        <v>14.86</v>
      </c>
      <c r="M52" s="100">
        <v>15.55</v>
      </c>
      <c r="N52" s="100">
        <v>131.5</v>
      </c>
      <c r="O52" s="100">
        <v>0</v>
      </c>
      <c r="P52" s="100">
        <v>0.45</v>
      </c>
      <c r="Q52" s="100">
        <v>9.32</v>
      </c>
      <c r="R52" s="6"/>
      <c r="S52" s="6"/>
      <c r="T52" s="156"/>
      <c r="U52" s="6"/>
    </row>
    <row r="53" spans="1:21" customFormat="1">
      <c r="A53" s="201" t="s">
        <v>288</v>
      </c>
      <c r="B53" s="100">
        <v>6.28</v>
      </c>
      <c r="C53" s="100">
        <v>17.89</v>
      </c>
      <c r="D53" s="100">
        <v>14.38</v>
      </c>
      <c r="E53" s="100">
        <v>7.11</v>
      </c>
      <c r="F53" s="100">
        <v>7.07</v>
      </c>
      <c r="G53" s="100">
        <v>33.840000000000003</v>
      </c>
      <c r="H53" s="100">
        <v>14.34</v>
      </c>
      <c r="I53" s="100">
        <v>10.57</v>
      </c>
      <c r="J53" s="100">
        <v>0.2</v>
      </c>
      <c r="K53" s="100">
        <v>5.05</v>
      </c>
      <c r="L53" s="100">
        <v>20.61</v>
      </c>
      <c r="M53" s="100">
        <v>26.47</v>
      </c>
      <c r="N53" s="100">
        <v>280.3</v>
      </c>
      <c r="O53" s="100">
        <v>0</v>
      </c>
      <c r="P53" s="100">
        <v>0.43</v>
      </c>
      <c r="Q53" s="100">
        <v>9.32</v>
      </c>
      <c r="R53" s="6"/>
      <c r="S53" s="6"/>
      <c r="T53" s="156"/>
      <c r="U53" s="6"/>
    </row>
    <row r="54" spans="1:21" customFormat="1">
      <c r="A54" s="201" t="s">
        <v>289</v>
      </c>
      <c r="B54" s="100">
        <v>4.72</v>
      </c>
      <c r="C54" s="100">
        <v>16.09</v>
      </c>
      <c r="D54" s="100">
        <v>12.19</v>
      </c>
      <c r="E54" s="100">
        <v>7.32</v>
      </c>
      <c r="F54" s="100">
        <v>3.15</v>
      </c>
      <c r="G54" s="100">
        <v>33.840000000000003</v>
      </c>
      <c r="H54" s="100">
        <v>14.34</v>
      </c>
      <c r="I54" s="100">
        <v>11.69</v>
      </c>
      <c r="J54" s="100">
        <v>0.41</v>
      </c>
      <c r="K54" s="100">
        <v>38.799999999999997</v>
      </c>
      <c r="L54" s="100">
        <v>14.45</v>
      </c>
      <c r="M54" s="100">
        <v>7.15</v>
      </c>
      <c r="N54" s="100">
        <v>454.6</v>
      </c>
      <c r="O54" s="100">
        <v>0</v>
      </c>
      <c r="P54" s="100">
        <v>0</v>
      </c>
      <c r="Q54" s="100">
        <v>9.32</v>
      </c>
      <c r="R54" s="6"/>
      <c r="S54" s="6"/>
      <c r="T54" s="156"/>
      <c r="U54" s="6"/>
    </row>
    <row r="55" spans="1:21" customFormat="1">
      <c r="A55" s="201" t="s">
        <v>290</v>
      </c>
      <c r="B55" s="100">
        <v>4.08</v>
      </c>
      <c r="C55" s="100">
        <v>13.9</v>
      </c>
      <c r="D55" s="100">
        <v>10.53</v>
      </c>
      <c r="E55" s="100">
        <v>6.51</v>
      </c>
      <c r="F55" s="100">
        <v>8.51</v>
      </c>
      <c r="G55" s="100">
        <v>42.84</v>
      </c>
      <c r="H55" s="100">
        <v>16.43</v>
      </c>
      <c r="I55" s="100">
        <v>10.24</v>
      </c>
      <c r="J55" s="100">
        <v>0.43</v>
      </c>
      <c r="K55" s="100">
        <v>343.28</v>
      </c>
      <c r="L55" s="100">
        <v>24.21</v>
      </c>
      <c r="M55" s="100">
        <v>30.79</v>
      </c>
      <c r="N55" s="100">
        <v>485.9</v>
      </c>
      <c r="O55" s="100">
        <v>0</v>
      </c>
      <c r="P55" s="100">
        <v>0</v>
      </c>
      <c r="Q55" s="100">
        <v>9.32</v>
      </c>
      <c r="R55" s="6"/>
      <c r="S55" s="6"/>
      <c r="T55" s="156"/>
      <c r="U55" s="6"/>
    </row>
    <row r="56" spans="1:21" customFormat="1">
      <c r="A56" s="201" t="s">
        <v>291</v>
      </c>
      <c r="B56" s="100">
        <v>3.73</v>
      </c>
      <c r="C56" s="100">
        <v>13</v>
      </c>
      <c r="D56" s="100">
        <v>9.7799999999999994</v>
      </c>
      <c r="E56" s="100">
        <v>6.88</v>
      </c>
      <c r="F56" s="100">
        <v>8.1999999999999993</v>
      </c>
      <c r="G56" s="100">
        <v>46.3</v>
      </c>
      <c r="H56" s="100">
        <v>16.46</v>
      </c>
      <c r="I56" s="100">
        <v>9.0399999999999991</v>
      </c>
      <c r="J56" s="100">
        <v>-0.03</v>
      </c>
      <c r="K56" s="100">
        <v>0.35</v>
      </c>
      <c r="L56" s="100">
        <v>19.940000000000001</v>
      </c>
      <c r="M56" s="100">
        <v>24.25</v>
      </c>
      <c r="N56" s="100">
        <v>310.2</v>
      </c>
      <c r="O56" s="100">
        <v>0</v>
      </c>
      <c r="P56" s="100">
        <v>0</v>
      </c>
      <c r="Q56" s="100">
        <v>9.32</v>
      </c>
      <c r="R56" s="6"/>
      <c r="S56" s="6"/>
      <c r="T56" s="156"/>
      <c r="U56" s="6"/>
    </row>
    <row r="57" spans="1:21" customFormat="1">
      <c r="A57" s="201" t="s">
        <v>292</v>
      </c>
      <c r="B57" s="100">
        <v>3.04</v>
      </c>
      <c r="C57" s="100">
        <v>11.87</v>
      </c>
      <c r="D57" s="100">
        <v>8.64</v>
      </c>
      <c r="E57" s="100">
        <v>6.92</v>
      </c>
      <c r="F57" s="100">
        <v>12.06</v>
      </c>
      <c r="G57" s="100">
        <v>46.3</v>
      </c>
      <c r="H57" s="100">
        <v>16.46</v>
      </c>
      <c r="I57" s="100">
        <v>8.06</v>
      </c>
      <c r="J57" s="100">
        <v>0.26</v>
      </c>
      <c r="K57" s="100">
        <v>294.02</v>
      </c>
      <c r="L57" s="100">
        <v>26.62</v>
      </c>
      <c r="M57" s="100">
        <v>39.85</v>
      </c>
      <c r="N57" s="100">
        <v>363.2</v>
      </c>
      <c r="O57" s="100">
        <v>0</v>
      </c>
      <c r="P57" s="100">
        <v>0</v>
      </c>
      <c r="Q57" s="100">
        <v>9.32</v>
      </c>
      <c r="R57" s="6"/>
      <c r="S57" s="6"/>
      <c r="T57" s="156"/>
      <c r="U57" s="6"/>
    </row>
    <row r="58" spans="1:21" customFormat="1">
      <c r="A58" s="201" t="s">
        <v>293</v>
      </c>
      <c r="B58" s="100">
        <v>2.68</v>
      </c>
      <c r="C58" s="100">
        <v>11.6</v>
      </c>
      <c r="D58" s="100">
        <v>8.2100000000000009</v>
      </c>
      <c r="E58" s="100">
        <v>6.76</v>
      </c>
      <c r="F58" s="100">
        <v>12.15</v>
      </c>
      <c r="G58" s="100">
        <v>46.3</v>
      </c>
      <c r="H58" s="100">
        <v>16.46</v>
      </c>
      <c r="I58" s="100">
        <v>7.43</v>
      </c>
      <c r="J58" s="100">
        <v>0.15</v>
      </c>
      <c r="K58" s="100">
        <v>285.20999999999998</v>
      </c>
      <c r="L58" s="100">
        <v>20.04</v>
      </c>
      <c r="M58" s="100">
        <v>30.24</v>
      </c>
      <c r="N58" s="100">
        <v>70.099999999999994</v>
      </c>
      <c r="O58" s="100">
        <v>0</v>
      </c>
      <c r="P58" s="100">
        <v>0</v>
      </c>
      <c r="Q58" s="100">
        <v>9.32</v>
      </c>
      <c r="R58" s="6"/>
      <c r="S58" s="6"/>
      <c r="T58" s="156"/>
      <c r="U58" s="6"/>
    </row>
    <row r="59" spans="1:21" customFormat="1">
      <c r="A59" s="201" t="s">
        <v>294</v>
      </c>
      <c r="B59" s="100">
        <v>1.91</v>
      </c>
      <c r="C59" s="100">
        <v>11.25</v>
      </c>
      <c r="D59" s="100">
        <v>7.4</v>
      </c>
      <c r="E59" s="100">
        <v>5.88</v>
      </c>
      <c r="F59" s="100">
        <v>8.06</v>
      </c>
      <c r="G59" s="100">
        <v>49.46</v>
      </c>
      <c r="H59" s="100">
        <v>16.64</v>
      </c>
      <c r="I59" s="100">
        <v>6.85</v>
      </c>
      <c r="J59" s="100">
        <v>0.06</v>
      </c>
      <c r="K59" s="100">
        <v>136.69999999999999</v>
      </c>
      <c r="L59" s="100">
        <v>17.809999999999999</v>
      </c>
      <c r="M59" s="100">
        <v>25.31</v>
      </c>
      <c r="N59" s="100">
        <v>64.599999999999994</v>
      </c>
      <c r="O59" s="100">
        <v>0</v>
      </c>
      <c r="P59" s="100">
        <v>0</v>
      </c>
      <c r="Q59" s="100">
        <v>9.32</v>
      </c>
      <c r="R59" s="6"/>
      <c r="S59" s="6"/>
      <c r="T59" s="156"/>
      <c r="U59" s="6"/>
    </row>
    <row r="60" spans="1:21" customFormat="1">
      <c r="A60" s="201" t="s">
        <v>295</v>
      </c>
      <c r="B60" s="100">
        <v>1.66</v>
      </c>
      <c r="C60" s="100">
        <v>9.73</v>
      </c>
      <c r="D60" s="100">
        <v>6.42</v>
      </c>
      <c r="E60" s="100">
        <v>4.96</v>
      </c>
      <c r="F60" s="100">
        <v>16.57</v>
      </c>
      <c r="G60" s="100">
        <v>50.67</v>
      </c>
      <c r="H60" s="100">
        <v>16.64</v>
      </c>
      <c r="I60" s="100">
        <v>5.99</v>
      </c>
      <c r="J60" s="100">
        <v>0.25</v>
      </c>
      <c r="K60" s="100">
        <v>147.93</v>
      </c>
      <c r="L60" s="100">
        <v>20.21</v>
      </c>
      <c r="M60" s="100">
        <v>22.81</v>
      </c>
      <c r="N60" s="100">
        <v>410.8</v>
      </c>
      <c r="O60" s="100">
        <v>0</v>
      </c>
      <c r="P60" s="100">
        <v>0.43</v>
      </c>
      <c r="Q60" s="100">
        <v>9.32</v>
      </c>
      <c r="R60" s="6"/>
      <c r="S60" s="6"/>
      <c r="T60" s="156"/>
      <c r="U60" s="6"/>
    </row>
    <row r="61" spans="1:21" customFormat="1">
      <c r="A61" s="201" t="s">
        <v>296</v>
      </c>
      <c r="B61" s="100">
        <v>1.55</v>
      </c>
      <c r="C61" s="100">
        <v>7.78</v>
      </c>
      <c r="D61" s="100">
        <v>5.31</v>
      </c>
      <c r="E61" s="100">
        <v>5.13</v>
      </c>
      <c r="F61" s="100">
        <v>35.25</v>
      </c>
      <c r="G61" s="100">
        <v>50.67</v>
      </c>
      <c r="H61" s="100">
        <v>16.64</v>
      </c>
      <c r="I61" s="100">
        <v>5.47</v>
      </c>
      <c r="J61" s="100">
        <v>0.21</v>
      </c>
      <c r="K61" s="100">
        <v>145.77000000000001</v>
      </c>
      <c r="L61" s="100">
        <v>14.87</v>
      </c>
      <c r="M61" s="100">
        <v>17.850000000000001</v>
      </c>
      <c r="N61" s="100">
        <v>53</v>
      </c>
      <c r="O61" s="100">
        <v>0</v>
      </c>
      <c r="P61" s="100">
        <v>0.26</v>
      </c>
      <c r="Q61" s="100">
        <v>9.32</v>
      </c>
      <c r="R61" s="6"/>
      <c r="S61" s="6"/>
      <c r="T61" s="156"/>
      <c r="U61" s="6"/>
    </row>
    <row r="62" spans="1:21" customFormat="1">
      <c r="A62" s="201" t="s">
        <v>297</v>
      </c>
      <c r="B62" s="100">
        <v>1.56</v>
      </c>
      <c r="C62" s="100">
        <v>6.98</v>
      </c>
      <c r="D62" s="100">
        <v>4.9000000000000004</v>
      </c>
      <c r="E62" s="100">
        <v>5.17</v>
      </c>
      <c r="F62" s="100">
        <v>26.42</v>
      </c>
      <c r="G62" s="100">
        <v>50.67</v>
      </c>
      <c r="H62" s="100">
        <v>16.64</v>
      </c>
      <c r="I62" s="100">
        <v>5.19</v>
      </c>
      <c r="J62" s="100">
        <v>0.23</v>
      </c>
      <c r="K62" s="100">
        <v>175.84</v>
      </c>
      <c r="L62" s="100">
        <v>17.34</v>
      </c>
      <c r="M62" s="100">
        <v>23.13</v>
      </c>
      <c r="N62" s="100">
        <v>88.2</v>
      </c>
      <c r="O62" s="100">
        <v>0</v>
      </c>
      <c r="P62" s="100">
        <v>0.37</v>
      </c>
      <c r="Q62" s="100">
        <v>9.32</v>
      </c>
      <c r="R62" s="6"/>
      <c r="S62" s="6"/>
      <c r="T62" s="156"/>
      <c r="U62" s="6"/>
    </row>
    <row r="63" spans="1:21" customFormat="1">
      <c r="A63" s="201" t="s">
        <v>298</v>
      </c>
      <c r="B63" s="100">
        <v>1.62</v>
      </c>
      <c r="C63" s="100">
        <v>6.66</v>
      </c>
      <c r="D63" s="100">
        <v>4.78</v>
      </c>
      <c r="E63" s="100">
        <v>5.0599999999999996</v>
      </c>
      <c r="F63" s="100">
        <v>24.82</v>
      </c>
      <c r="G63" s="100">
        <v>46.67</v>
      </c>
      <c r="H63" s="100">
        <v>17.03</v>
      </c>
      <c r="I63" s="100">
        <v>4.58</v>
      </c>
      <c r="J63" s="100">
        <v>0.22</v>
      </c>
      <c r="K63" s="100">
        <v>162.33000000000001</v>
      </c>
      <c r="L63" s="100">
        <v>17.329999999999998</v>
      </c>
      <c r="M63" s="100">
        <v>23.11</v>
      </c>
      <c r="N63" s="100">
        <v>90.7</v>
      </c>
      <c r="O63" s="100">
        <v>0</v>
      </c>
      <c r="P63" s="100">
        <v>0.38</v>
      </c>
      <c r="Q63" s="100">
        <v>9.32</v>
      </c>
      <c r="R63" s="6"/>
      <c r="S63" s="6"/>
      <c r="T63" s="156"/>
      <c r="U63" s="6"/>
    </row>
    <row r="64" spans="1:21" customFormat="1">
      <c r="A64" s="201" t="s">
        <v>299</v>
      </c>
      <c r="B64" s="100">
        <v>2.57</v>
      </c>
      <c r="C64" s="100">
        <v>7.91</v>
      </c>
      <c r="D64" s="100">
        <v>6.19</v>
      </c>
      <c r="E64" s="100">
        <v>5.78</v>
      </c>
      <c r="F64" s="100">
        <v>17.690000000000001</v>
      </c>
      <c r="G64" s="100">
        <v>45.21</v>
      </c>
      <c r="H64" s="100">
        <v>17.05</v>
      </c>
      <c r="I64" s="100">
        <v>4.37</v>
      </c>
      <c r="J64" s="100">
        <v>7.0000000000000007E-2</v>
      </c>
      <c r="K64" s="100">
        <v>292.57</v>
      </c>
      <c r="L64" s="100">
        <v>18.440000000000001</v>
      </c>
      <c r="M64" s="100">
        <v>26.75</v>
      </c>
      <c r="N64" s="100">
        <v>54.8</v>
      </c>
      <c r="O64" s="100">
        <v>0</v>
      </c>
      <c r="P64" s="100">
        <v>0.43</v>
      </c>
      <c r="Q64" s="100">
        <v>9.32</v>
      </c>
      <c r="R64" s="6"/>
      <c r="S64" s="6"/>
      <c r="T64" s="156"/>
      <c r="U64" s="6"/>
    </row>
    <row r="65" spans="1:21" customFormat="1">
      <c r="A65" s="201" t="s">
        <v>300</v>
      </c>
      <c r="B65" s="100">
        <v>5.31</v>
      </c>
      <c r="C65" s="100">
        <v>14</v>
      </c>
      <c r="D65" s="100">
        <v>11.57</v>
      </c>
      <c r="E65" s="100">
        <v>5.6</v>
      </c>
      <c r="F65" s="100">
        <v>8.33</v>
      </c>
      <c r="G65" s="100">
        <v>45.21</v>
      </c>
      <c r="H65" s="100">
        <v>17.05</v>
      </c>
      <c r="I65" s="100">
        <v>4.4400000000000004</v>
      </c>
      <c r="J65" s="100">
        <v>0.38</v>
      </c>
      <c r="K65" s="100">
        <v>28.59</v>
      </c>
      <c r="L65" s="100">
        <v>12.57</v>
      </c>
      <c r="M65" s="100">
        <v>9.8800000000000008</v>
      </c>
      <c r="N65" s="100">
        <v>112.4</v>
      </c>
      <c r="O65" s="100">
        <v>0</v>
      </c>
      <c r="P65" s="100">
        <v>0.48</v>
      </c>
      <c r="Q65" s="100">
        <v>9.32</v>
      </c>
      <c r="R65" s="6"/>
      <c r="S65" s="6"/>
      <c r="T65" s="156"/>
      <c r="U65" s="6"/>
    </row>
    <row r="66" spans="1:21" customFormat="1">
      <c r="A66" s="201" t="s">
        <v>301</v>
      </c>
      <c r="B66" s="100">
        <v>4.1500000000000004</v>
      </c>
      <c r="C66" s="100">
        <v>14.22</v>
      </c>
      <c r="D66" s="100">
        <v>10.76</v>
      </c>
      <c r="E66" s="100">
        <v>5.34</v>
      </c>
      <c r="F66" s="100">
        <v>11.79</v>
      </c>
      <c r="G66" s="100">
        <v>45.21</v>
      </c>
      <c r="H66" s="100">
        <v>17.05</v>
      </c>
      <c r="I66" s="100">
        <v>4.7300000000000004</v>
      </c>
      <c r="J66" s="100">
        <v>0.14000000000000001</v>
      </c>
      <c r="K66" s="100">
        <v>27.51</v>
      </c>
      <c r="L66" s="100">
        <v>18.239999999999998</v>
      </c>
      <c r="M66" s="100">
        <v>25.65</v>
      </c>
      <c r="N66" s="100">
        <v>86</v>
      </c>
      <c r="O66" s="100">
        <v>0</v>
      </c>
      <c r="P66" s="100">
        <v>0.48</v>
      </c>
      <c r="Q66" s="100">
        <v>9.32</v>
      </c>
      <c r="R66" s="6"/>
      <c r="S66" s="6"/>
      <c r="T66" s="156"/>
      <c r="U66" s="6"/>
    </row>
    <row r="67" spans="1:21" customFormat="1">
      <c r="A67" s="201" t="s">
        <v>302</v>
      </c>
      <c r="B67" s="100">
        <v>4.8600000000000003</v>
      </c>
      <c r="C67" s="100">
        <v>14.34</v>
      </c>
      <c r="D67" s="100">
        <v>11.39</v>
      </c>
      <c r="E67" s="100">
        <v>5.73</v>
      </c>
      <c r="F67" s="100">
        <v>11.31</v>
      </c>
      <c r="G67" s="100">
        <v>44.66</v>
      </c>
      <c r="H67" s="100">
        <v>12.31</v>
      </c>
      <c r="I67" s="100">
        <v>4.76</v>
      </c>
      <c r="J67" s="100">
        <v>0.27</v>
      </c>
      <c r="K67" s="100">
        <v>52.43</v>
      </c>
      <c r="L67" s="100">
        <v>12.33</v>
      </c>
      <c r="M67" s="100">
        <v>11.39</v>
      </c>
      <c r="N67" s="100">
        <v>60.4</v>
      </c>
      <c r="O67" s="100">
        <v>0</v>
      </c>
      <c r="P67" s="100">
        <v>0.47</v>
      </c>
      <c r="Q67" s="100">
        <v>9.32</v>
      </c>
      <c r="R67" s="6"/>
      <c r="S67" s="6"/>
      <c r="T67" s="156"/>
      <c r="U67" s="6"/>
    </row>
    <row r="68" spans="1:21" customFormat="1">
      <c r="A68" s="201" t="s">
        <v>303</v>
      </c>
      <c r="B68" s="100">
        <v>5.55</v>
      </c>
      <c r="C68" s="100">
        <v>15.51</v>
      </c>
      <c r="D68" s="100">
        <v>12.56</v>
      </c>
      <c r="E68" s="100">
        <v>5.95</v>
      </c>
      <c r="F68" s="100">
        <v>7.56</v>
      </c>
      <c r="G68" s="100">
        <v>44.44</v>
      </c>
      <c r="H68" s="100">
        <v>12.16</v>
      </c>
      <c r="I68" s="100">
        <v>4.3099999999999996</v>
      </c>
      <c r="J68" s="100">
        <v>0.13</v>
      </c>
      <c r="K68" s="100">
        <v>23.81</v>
      </c>
      <c r="L68" s="100">
        <v>13.59</v>
      </c>
      <c r="M68" s="100">
        <v>14.78</v>
      </c>
      <c r="N68" s="100">
        <v>46.2</v>
      </c>
      <c r="O68" s="100">
        <v>0</v>
      </c>
      <c r="P68" s="100">
        <v>0.5</v>
      </c>
      <c r="Q68" s="100">
        <v>9.32</v>
      </c>
      <c r="R68" s="6"/>
      <c r="S68" s="6"/>
      <c r="T68" s="156"/>
      <c r="U68" s="6"/>
    </row>
    <row r="69" spans="1:21" customFormat="1">
      <c r="A69" s="201" t="s">
        <v>304</v>
      </c>
      <c r="B69" s="100">
        <v>4.59</v>
      </c>
      <c r="C69" s="100">
        <v>16.14</v>
      </c>
      <c r="D69" s="100">
        <v>12.11</v>
      </c>
      <c r="E69" s="100">
        <v>5.96</v>
      </c>
      <c r="F69" s="100">
        <v>6.29</v>
      </c>
      <c r="G69" s="100">
        <v>44.44</v>
      </c>
      <c r="H69" s="100">
        <v>12.16</v>
      </c>
      <c r="I69" s="100">
        <v>4.24</v>
      </c>
      <c r="J69" s="100">
        <v>0.13</v>
      </c>
      <c r="K69" s="100">
        <v>31.27</v>
      </c>
      <c r="L69" s="100">
        <v>10.74</v>
      </c>
      <c r="M69" s="100">
        <v>7.83</v>
      </c>
      <c r="N69" s="100">
        <v>39.299999999999997</v>
      </c>
      <c r="O69" s="100">
        <v>0</v>
      </c>
      <c r="P69" s="100">
        <v>0.5</v>
      </c>
      <c r="Q69" s="100">
        <v>9.32</v>
      </c>
      <c r="R69" s="6"/>
      <c r="S69" s="6"/>
      <c r="T69" s="156"/>
      <c r="U69" s="6"/>
    </row>
    <row r="70" spans="1:21" customFormat="1">
      <c r="A70" s="201" t="s">
        <v>305</v>
      </c>
      <c r="B70" s="100">
        <v>3.65</v>
      </c>
      <c r="C70" s="100">
        <v>18.28</v>
      </c>
      <c r="D70" s="100">
        <v>12.47</v>
      </c>
      <c r="E70" s="100">
        <v>5.43</v>
      </c>
      <c r="F70" s="100">
        <v>2.06</v>
      </c>
      <c r="G70" s="100">
        <v>44.44</v>
      </c>
      <c r="H70" s="100">
        <v>12.16</v>
      </c>
      <c r="I70" s="100">
        <v>4.54</v>
      </c>
      <c r="J70" s="100">
        <v>0.09</v>
      </c>
      <c r="K70" s="100">
        <v>163.38</v>
      </c>
      <c r="L70" s="100">
        <v>18.14</v>
      </c>
      <c r="M70" s="100">
        <v>27.01</v>
      </c>
      <c r="N70" s="100">
        <v>22.7</v>
      </c>
      <c r="O70" s="100">
        <v>0</v>
      </c>
      <c r="P70" s="100">
        <v>0.5</v>
      </c>
      <c r="Q70" s="100">
        <v>9.32</v>
      </c>
      <c r="R70" s="6"/>
      <c r="S70" s="6"/>
      <c r="T70" s="156"/>
      <c r="U70" s="6"/>
    </row>
    <row r="71" spans="1:21" customFormat="1">
      <c r="A71" s="201" t="s">
        <v>306</v>
      </c>
      <c r="B71" s="100">
        <v>2.99</v>
      </c>
      <c r="C71" s="100">
        <v>16.95</v>
      </c>
      <c r="D71" s="100">
        <v>11.26</v>
      </c>
      <c r="E71" s="100">
        <v>4.3</v>
      </c>
      <c r="F71" s="100">
        <v>2</v>
      </c>
      <c r="G71" s="100">
        <v>42.46</v>
      </c>
      <c r="H71" s="100">
        <v>9.44</v>
      </c>
      <c r="I71" s="100">
        <v>4.3499999999999996</v>
      </c>
      <c r="J71" s="100">
        <v>0.08</v>
      </c>
      <c r="K71" s="100">
        <v>216.77</v>
      </c>
      <c r="L71" s="100">
        <v>19.55</v>
      </c>
      <c r="M71" s="100">
        <v>30.89</v>
      </c>
      <c r="N71" s="100">
        <v>16</v>
      </c>
      <c r="O71" s="100">
        <v>0.2</v>
      </c>
      <c r="P71" s="100">
        <v>0.5</v>
      </c>
      <c r="Q71" s="100">
        <v>9.32</v>
      </c>
      <c r="R71" s="6"/>
      <c r="S71" s="6"/>
      <c r="T71" s="156"/>
      <c r="U71" s="6"/>
    </row>
    <row r="72" spans="1:21" customFormat="1">
      <c r="A72" s="201" t="s">
        <v>307</v>
      </c>
      <c r="B72" s="100">
        <v>2.92</v>
      </c>
      <c r="C72" s="100">
        <v>14.16</v>
      </c>
      <c r="D72" s="100">
        <v>9.74</v>
      </c>
      <c r="E72" s="100">
        <v>3.71</v>
      </c>
      <c r="F72" s="100">
        <v>2</v>
      </c>
      <c r="G72" s="100">
        <v>41.74</v>
      </c>
      <c r="H72" s="100">
        <v>9.36</v>
      </c>
      <c r="I72" s="100">
        <v>4.12</v>
      </c>
      <c r="J72" s="100">
        <v>0.22</v>
      </c>
      <c r="K72" s="100">
        <v>167.07</v>
      </c>
      <c r="L72" s="100">
        <v>16.43</v>
      </c>
      <c r="M72" s="100">
        <v>22.75</v>
      </c>
      <c r="N72" s="100">
        <v>28</v>
      </c>
      <c r="O72" s="100">
        <v>0</v>
      </c>
      <c r="P72" s="100">
        <v>0.49</v>
      </c>
      <c r="Q72" s="100">
        <v>9.32</v>
      </c>
      <c r="R72" s="6"/>
      <c r="S72" s="6"/>
      <c r="T72" s="156"/>
      <c r="U72" s="6"/>
    </row>
    <row r="73" spans="1:21" customFormat="1">
      <c r="A73" s="201" t="s">
        <v>308</v>
      </c>
      <c r="B73" s="100">
        <v>2.88</v>
      </c>
      <c r="C73" s="100">
        <v>11.63</v>
      </c>
      <c r="D73" s="100">
        <v>8.39</v>
      </c>
      <c r="E73" s="100">
        <v>3.77</v>
      </c>
      <c r="F73" s="100">
        <v>2</v>
      </c>
      <c r="G73" s="100">
        <v>41.74</v>
      </c>
      <c r="H73" s="100">
        <v>9.36</v>
      </c>
      <c r="I73" s="100">
        <v>4.37</v>
      </c>
      <c r="J73" s="100">
        <v>0.22</v>
      </c>
      <c r="K73" s="100">
        <v>164.74</v>
      </c>
      <c r="L73" s="100">
        <v>16.48</v>
      </c>
      <c r="M73" s="100">
        <v>22.8</v>
      </c>
      <c r="N73" s="100">
        <v>30.3</v>
      </c>
      <c r="O73" s="100">
        <v>0</v>
      </c>
      <c r="P73" s="100">
        <v>0.46</v>
      </c>
      <c r="Q73" s="100">
        <v>9.32</v>
      </c>
      <c r="R73" s="6"/>
      <c r="S73" s="6"/>
      <c r="T73" s="156"/>
      <c r="U73" s="6"/>
    </row>
    <row r="74" spans="1:21" customFormat="1">
      <c r="A74" s="201" t="s">
        <v>309</v>
      </c>
      <c r="B74" s="100">
        <v>2.97</v>
      </c>
      <c r="C74" s="100">
        <v>10.16</v>
      </c>
      <c r="D74" s="100">
        <v>7.69</v>
      </c>
      <c r="E74" s="100">
        <v>3.58</v>
      </c>
      <c r="F74" s="100">
        <v>2</v>
      </c>
      <c r="G74" s="100">
        <v>41.74</v>
      </c>
      <c r="H74" s="100">
        <v>9.36</v>
      </c>
      <c r="I74" s="100">
        <v>4.5</v>
      </c>
      <c r="J74" s="100">
        <v>0.21</v>
      </c>
      <c r="K74" s="100">
        <v>151.34</v>
      </c>
      <c r="L74" s="100">
        <v>15.34</v>
      </c>
      <c r="M74" s="100">
        <v>20.09</v>
      </c>
      <c r="N74" s="100">
        <v>21.6</v>
      </c>
      <c r="O74" s="100">
        <v>0</v>
      </c>
      <c r="P74" s="100">
        <v>0.47</v>
      </c>
      <c r="Q74" s="100">
        <v>9.32</v>
      </c>
      <c r="R74" s="6"/>
      <c r="S74" s="6"/>
      <c r="T74" s="156"/>
      <c r="U74" s="6"/>
    </row>
    <row r="75" spans="1:21" customFormat="1">
      <c r="A75" s="201" t="s">
        <v>310</v>
      </c>
      <c r="B75" s="100">
        <v>3.57</v>
      </c>
      <c r="C75" s="100">
        <v>9.6999999999999993</v>
      </c>
      <c r="D75" s="100">
        <v>7.93</v>
      </c>
      <c r="E75" s="100">
        <v>3.57</v>
      </c>
      <c r="F75" s="100">
        <v>2</v>
      </c>
      <c r="G75" s="100">
        <v>37.17</v>
      </c>
      <c r="H75" s="100">
        <v>11.79</v>
      </c>
      <c r="I75" s="100">
        <v>4.51</v>
      </c>
      <c r="J75" s="100">
        <v>0.17</v>
      </c>
      <c r="K75" s="100">
        <v>99.75</v>
      </c>
      <c r="L75" s="100">
        <v>11.23</v>
      </c>
      <c r="M75" s="100">
        <v>9.85</v>
      </c>
      <c r="N75" s="100">
        <v>15.9</v>
      </c>
      <c r="O75" s="100">
        <v>0</v>
      </c>
      <c r="P75" s="100">
        <v>0.51</v>
      </c>
      <c r="Q75" s="100">
        <v>9.32</v>
      </c>
      <c r="R75" s="6"/>
      <c r="S75" s="6"/>
      <c r="T75" s="156"/>
      <c r="U75" s="6"/>
    </row>
    <row r="76" spans="1:21" customFormat="1">
      <c r="A76" s="201" t="s">
        <v>311</v>
      </c>
      <c r="B76" s="100">
        <v>6.85</v>
      </c>
      <c r="C76" s="100">
        <v>11.68</v>
      </c>
      <c r="D76" s="100">
        <v>11.6</v>
      </c>
      <c r="E76" s="100">
        <v>4.2</v>
      </c>
      <c r="F76" s="100">
        <v>2</v>
      </c>
      <c r="G76" s="100">
        <v>35.51</v>
      </c>
      <c r="H76" s="100">
        <v>11.83</v>
      </c>
      <c r="I76" s="100">
        <v>3.95</v>
      </c>
      <c r="J76" s="100">
        <v>0.5</v>
      </c>
      <c r="K76" s="100">
        <v>42.83</v>
      </c>
      <c r="L76" s="100">
        <v>6.81</v>
      </c>
      <c r="M76" s="100">
        <v>-1.23</v>
      </c>
      <c r="N76" s="100">
        <v>5.9</v>
      </c>
      <c r="O76" s="100">
        <v>0</v>
      </c>
      <c r="P76" s="100">
        <v>0.53</v>
      </c>
      <c r="Q76" s="100">
        <v>9.32</v>
      </c>
      <c r="R76" s="6"/>
      <c r="S76" s="6"/>
      <c r="T76" s="156"/>
      <c r="U76" s="6"/>
    </row>
    <row r="77" spans="1:21" customFormat="1">
      <c r="A77" s="201" t="s">
        <v>312</v>
      </c>
      <c r="B77" s="100">
        <v>6.53</v>
      </c>
      <c r="C77" s="100">
        <v>9.4600000000000009</v>
      </c>
      <c r="D77" s="100">
        <v>10.17</v>
      </c>
      <c r="E77" s="100">
        <v>3.92</v>
      </c>
      <c r="F77" s="100">
        <v>2</v>
      </c>
      <c r="G77" s="100">
        <v>35.51</v>
      </c>
      <c r="H77" s="100">
        <v>11.83</v>
      </c>
      <c r="I77" s="100">
        <v>3.48</v>
      </c>
      <c r="J77" s="100">
        <v>0.62</v>
      </c>
      <c r="K77" s="100">
        <v>39.93</v>
      </c>
      <c r="L77" s="100">
        <v>7.55</v>
      </c>
      <c r="M77" s="100">
        <v>0.66</v>
      </c>
      <c r="N77" s="100">
        <v>4.5</v>
      </c>
      <c r="O77" s="100">
        <v>0</v>
      </c>
      <c r="P77" s="100">
        <v>0.5</v>
      </c>
      <c r="Q77" s="100">
        <v>9.3800000000000008</v>
      </c>
      <c r="R77" s="6"/>
      <c r="S77" s="6"/>
      <c r="T77" s="156"/>
      <c r="U77" s="6"/>
    </row>
    <row r="78" spans="1:21" customFormat="1">
      <c r="A78" s="201" t="s">
        <v>313</v>
      </c>
      <c r="B78" s="100">
        <v>7.14</v>
      </c>
      <c r="C78" s="100">
        <v>9.8000000000000007</v>
      </c>
      <c r="D78" s="100">
        <v>10.85</v>
      </c>
      <c r="E78" s="100">
        <v>4.38</v>
      </c>
      <c r="F78" s="100">
        <v>2</v>
      </c>
      <c r="G78" s="100">
        <v>35.51</v>
      </c>
      <c r="H78" s="100">
        <v>11.83</v>
      </c>
      <c r="I78" s="100">
        <v>4.17</v>
      </c>
      <c r="J78" s="100">
        <v>0.47</v>
      </c>
      <c r="K78" s="100">
        <v>39.28</v>
      </c>
      <c r="L78" s="100">
        <v>7.19</v>
      </c>
      <c r="M78" s="100">
        <v>-0.23</v>
      </c>
      <c r="N78" s="100">
        <v>3.5</v>
      </c>
      <c r="O78" s="100">
        <v>0</v>
      </c>
      <c r="P78" s="100">
        <v>0.52</v>
      </c>
      <c r="Q78" s="100">
        <v>9.33</v>
      </c>
      <c r="R78" s="6"/>
      <c r="S78" s="6"/>
      <c r="T78" s="156"/>
      <c r="U78" s="6"/>
    </row>
    <row r="79" spans="1:21" customFormat="1">
      <c r="A79" s="201" t="s">
        <v>314</v>
      </c>
      <c r="B79" s="100">
        <v>7.8</v>
      </c>
      <c r="C79" s="100">
        <v>9.51</v>
      </c>
      <c r="D79" s="100">
        <v>11.23</v>
      </c>
      <c r="E79" s="100">
        <v>4.55</v>
      </c>
      <c r="F79" s="100">
        <v>2</v>
      </c>
      <c r="G79" s="100">
        <v>46.65</v>
      </c>
      <c r="H79" s="100">
        <v>14.04</v>
      </c>
      <c r="I79" s="100">
        <v>4.72</v>
      </c>
      <c r="J79" s="100">
        <v>0.53</v>
      </c>
      <c r="K79" s="100">
        <v>40.69</v>
      </c>
      <c r="L79" s="100">
        <v>7.99</v>
      </c>
      <c r="M79" s="100">
        <v>1.82</v>
      </c>
      <c r="N79" s="100">
        <v>2.9</v>
      </c>
      <c r="O79" s="100">
        <v>0</v>
      </c>
      <c r="P79" s="100">
        <v>0.51</v>
      </c>
      <c r="Q79" s="100">
        <v>9.32</v>
      </c>
      <c r="R79" s="6"/>
      <c r="S79" s="6"/>
      <c r="T79" s="156"/>
      <c r="U79" s="6"/>
    </row>
    <row r="80" spans="1:21" customFormat="1">
      <c r="A80" s="201" t="s">
        <v>315</v>
      </c>
      <c r="B80" s="100">
        <v>10.97</v>
      </c>
      <c r="C80" s="100">
        <v>10.29</v>
      </c>
      <c r="D80" s="100">
        <v>14.17</v>
      </c>
      <c r="E80" s="100">
        <v>6.87</v>
      </c>
      <c r="F80" s="100">
        <v>2</v>
      </c>
      <c r="G80" s="100">
        <v>50.71</v>
      </c>
      <c r="H80" s="100">
        <v>14.11</v>
      </c>
      <c r="I80" s="100">
        <v>4.75</v>
      </c>
      <c r="J80" s="100">
        <v>0.36</v>
      </c>
      <c r="K80" s="100">
        <v>30.62</v>
      </c>
      <c r="L80" s="100">
        <v>8.83</v>
      </c>
      <c r="M80" s="100">
        <v>3.98</v>
      </c>
      <c r="N80" s="100">
        <v>2.7</v>
      </c>
      <c r="O80" s="100">
        <v>0</v>
      </c>
      <c r="P80" s="100">
        <v>0.52</v>
      </c>
      <c r="Q80" s="100">
        <v>9.32</v>
      </c>
      <c r="R80" s="6"/>
      <c r="S80" s="6"/>
      <c r="T80" s="156"/>
      <c r="U80" s="6"/>
    </row>
    <row r="81" spans="1:21" customFormat="1">
      <c r="A81" s="201" t="s">
        <v>316</v>
      </c>
      <c r="B81" s="100">
        <v>10.29</v>
      </c>
      <c r="C81" s="100">
        <v>9.1999999999999993</v>
      </c>
      <c r="D81" s="100">
        <v>13.05</v>
      </c>
      <c r="E81" s="100">
        <v>4.7</v>
      </c>
      <c r="F81" s="100">
        <v>2</v>
      </c>
      <c r="G81" s="100">
        <v>50.71</v>
      </c>
      <c r="H81" s="100">
        <v>14.11</v>
      </c>
      <c r="I81" s="100">
        <v>4.84</v>
      </c>
      <c r="J81" s="100">
        <v>0.4</v>
      </c>
      <c r="K81" s="100">
        <v>37.659999999999997</v>
      </c>
      <c r="L81" s="100">
        <v>7.62</v>
      </c>
      <c r="M81" s="100">
        <v>0.83</v>
      </c>
      <c r="N81" s="100">
        <v>2.7</v>
      </c>
      <c r="O81" s="100">
        <v>0</v>
      </c>
      <c r="P81" s="100">
        <v>0.51</v>
      </c>
      <c r="Q81" s="100">
        <v>9.32</v>
      </c>
      <c r="R81" s="6"/>
      <c r="S81" s="6"/>
      <c r="T81" s="156"/>
      <c r="U81" s="6"/>
    </row>
    <row r="82" spans="1:21" customFormat="1">
      <c r="A82" s="201" t="s">
        <v>317</v>
      </c>
      <c r="B82" s="100">
        <v>9.49</v>
      </c>
      <c r="C82" s="100">
        <v>8.69</v>
      </c>
      <c r="D82" s="100">
        <v>12.15</v>
      </c>
      <c r="E82" s="100">
        <v>4.8600000000000003</v>
      </c>
      <c r="F82" s="100">
        <v>2</v>
      </c>
      <c r="G82" s="100">
        <v>50.71</v>
      </c>
      <c r="H82" s="100">
        <v>14.11</v>
      </c>
      <c r="I82" s="100">
        <v>4.92</v>
      </c>
      <c r="J82" s="100">
        <v>0.36</v>
      </c>
      <c r="K82" s="100">
        <v>33.79</v>
      </c>
      <c r="L82" s="100">
        <v>7.67</v>
      </c>
      <c r="M82" s="100">
        <v>1</v>
      </c>
      <c r="N82" s="100">
        <v>2.8</v>
      </c>
      <c r="O82" s="100">
        <v>0</v>
      </c>
      <c r="P82" s="100">
        <v>0.53</v>
      </c>
      <c r="Q82" s="100">
        <v>9.32</v>
      </c>
      <c r="R82" s="6"/>
      <c r="S82" s="6"/>
      <c r="T82" s="156"/>
      <c r="U82" s="6"/>
    </row>
    <row r="83" spans="1:21" customFormat="1">
      <c r="A83" s="201" t="s">
        <v>318</v>
      </c>
      <c r="B83" s="100">
        <v>12.01</v>
      </c>
      <c r="C83" s="100">
        <v>11.2</v>
      </c>
      <c r="D83" s="100">
        <v>15.48</v>
      </c>
      <c r="E83" s="100">
        <v>5.19</v>
      </c>
      <c r="F83" s="100">
        <v>2</v>
      </c>
      <c r="G83" s="100">
        <v>72.44</v>
      </c>
      <c r="H83" s="100">
        <v>18.440000000000001</v>
      </c>
      <c r="I83" s="100">
        <v>4.95</v>
      </c>
      <c r="J83" s="100">
        <v>0.45</v>
      </c>
      <c r="K83" s="100">
        <v>28.92</v>
      </c>
      <c r="L83" s="100">
        <v>8.27</v>
      </c>
      <c r="M83" s="100">
        <v>1.81</v>
      </c>
      <c r="N83" s="100">
        <v>2.6</v>
      </c>
      <c r="O83" s="100">
        <v>0</v>
      </c>
      <c r="P83" s="100">
        <v>0.51</v>
      </c>
      <c r="Q83" s="100">
        <v>9.32</v>
      </c>
      <c r="R83" s="6"/>
      <c r="S83" s="6"/>
      <c r="T83" s="156"/>
      <c r="U83" s="6"/>
    </row>
    <row r="84" spans="1:21" customFormat="1">
      <c r="A84" s="201" t="s">
        <v>319</v>
      </c>
      <c r="B84" s="100">
        <v>10.66</v>
      </c>
      <c r="C84" s="100">
        <v>9.75</v>
      </c>
      <c r="D84" s="100">
        <v>13.65</v>
      </c>
      <c r="E84" s="100">
        <v>5.53</v>
      </c>
      <c r="F84" s="100">
        <v>2</v>
      </c>
      <c r="G84" s="100">
        <v>80.34</v>
      </c>
      <c r="H84" s="100">
        <v>18.510000000000002</v>
      </c>
      <c r="I84" s="100">
        <v>5.05</v>
      </c>
      <c r="J84" s="100">
        <v>0.62</v>
      </c>
      <c r="K84" s="100">
        <v>352.54</v>
      </c>
      <c r="L84" s="100">
        <v>16.95</v>
      </c>
      <c r="M84" s="100">
        <v>24.14</v>
      </c>
      <c r="N84" s="100">
        <v>3</v>
      </c>
      <c r="O84" s="100">
        <v>0</v>
      </c>
      <c r="P84" s="100">
        <v>0.49</v>
      </c>
      <c r="Q84" s="100">
        <v>9.32</v>
      </c>
      <c r="R84" s="6"/>
      <c r="S84" s="6"/>
      <c r="T84" s="156"/>
      <c r="U84" s="6"/>
    </row>
    <row r="85" spans="1:21" customFormat="1">
      <c r="A85" s="201" t="s">
        <v>320</v>
      </c>
      <c r="B85" s="100">
        <v>9.84</v>
      </c>
      <c r="C85" s="100">
        <v>8.85</v>
      </c>
      <c r="D85" s="100">
        <v>12.51</v>
      </c>
      <c r="E85" s="100">
        <v>6.32</v>
      </c>
      <c r="F85" s="100">
        <v>2</v>
      </c>
      <c r="G85" s="100">
        <v>80.34</v>
      </c>
      <c r="H85" s="100">
        <v>18.510000000000002</v>
      </c>
      <c r="I85" s="100">
        <v>5.22</v>
      </c>
      <c r="J85" s="100">
        <v>0.55000000000000004</v>
      </c>
      <c r="K85" s="100">
        <v>5.38</v>
      </c>
      <c r="L85" s="100">
        <v>15.68</v>
      </c>
      <c r="M85" s="100">
        <v>21.63</v>
      </c>
      <c r="N85" s="100">
        <v>3.3</v>
      </c>
      <c r="O85" s="100">
        <v>0</v>
      </c>
      <c r="P85" s="100">
        <v>0.48</v>
      </c>
      <c r="Q85" s="100">
        <v>9.32</v>
      </c>
      <c r="R85" s="6"/>
      <c r="S85" s="6"/>
      <c r="T85" s="156"/>
      <c r="U85" s="6"/>
    </row>
    <row r="86" spans="1:21" customFormat="1">
      <c r="A86" s="201" t="s">
        <v>321</v>
      </c>
      <c r="B86" s="100">
        <v>9.4600000000000009</v>
      </c>
      <c r="C86" s="100">
        <v>8.7799999999999994</v>
      </c>
      <c r="D86" s="100">
        <v>12.18</v>
      </c>
      <c r="E86" s="100">
        <v>6.72</v>
      </c>
      <c r="F86" s="100">
        <v>2</v>
      </c>
      <c r="G86" s="100">
        <v>80.34</v>
      </c>
      <c r="H86" s="100">
        <v>18.510000000000002</v>
      </c>
      <c r="I86" s="100">
        <v>5.34</v>
      </c>
      <c r="J86" s="100">
        <v>0.6</v>
      </c>
      <c r="K86" s="100">
        <v>22.42</v>
      </c>
      <c r="L86" s="100">
        <v>9.68</v>
      </c>
      <c r="M86" s="100">
        <v>6.53</v>
      </c>
      <c r="N86" s="100">
        <v>2.8</v>
      </c>
      <c r="O86" s="100">
        <v>0</v>
      </c>
      <c r="P86" s="100">
        <v>0.49</v>
      </c>
      <c r="Q86" s="100">
        <v>9.32</v>
      </c>
      <c r="R86" s="6"/>
      <c r="S86" s="6"/>
      <c r="T86" s="156"/>
      <c r="U86" s="6"/>
    </row>
    <row r="87" spans="1:21" customFormat="1">
      <c r="A87" s="201" t="s">
        <v>322</v>
      </c>
      <c r="B87" s="100">
        <v>10.99</v>
      </c>
      <c r="C87" s="100">
        <v>9.9499999999999993</v>
      </c>
      <c r="D87" s="100">
        <v>14.02</v>
      </c>
      <c r="E87" s="100">
        <v>7.32</v>
      </c>
      <c r="F87" s="100">
        <v>2</v>
      </c>
      <c r="G87" s="100">
        <v>74.55</v>
      </c>
      <c r="H87" s="100">
        <v>18.149999999999999</v>
      </c>
      <c r="I87" s="100">
        <v>5.38</v>
      </c>
      <c r="J87" s="100">
        <v>0.55000000000000004</v>
      </c>
      <c r="K87" s="100">
        <v>33.54</v>
      </c>
      <c r="L87" s="100">
        <v>7.88</v>
      </c>
      <c r="M87" s="100">
        <v>2.12</v>
      </c>
      <c r="N87" s="100">
        <v>2.5</v>
      </c>
      <c r="O87" s="100">
        <v>0</v>
      </c>
      <c r="P87" s="100">
        <v>0.51</v>
      </c>
      <c r="Q87" s="100">
        <v>9.32</v>
      </c>
      <c r="R87" s="6"/>
      <c r="S87" s="6"/>
      <c r="T87" s="156"/>
      <c r="U87" s="6"/>
    </row>
    <row r="88" spans="1:21" customFormat="1">
      <c r="A88" s="201" t="s">
        <v>323</v>
      </c>
      <c r="B88" s="100">
        <v>10.9</v>
      </c>
      <c r="C88" s="100">
        <v>10.119999999999999</v>
      </c>
      <c r="D88" s="100">
        <v>14.03</v>
      </c>
      <c r="E88" s="100">
        <v>8.11</v>
      </c>
      <c r="F88" s="100">
        <v>2</v>
      </c>
      <c r="G88" s="100">
        <v>72.45</v>
      </c>
      <c r="H88" s="100">
        <v>18.14</v>
      </c>
      <c r="I88" s="100">
        <v>5.37</v>
      </c>
      <c r="J88" s="100">
        <v>0.39</v>
      </c>
      <c r="K88" s="100">
        <v>46.11</v>
      </c>
      <c r="L88" s="100">
        <v>7.97</v>
      </c>
      <c r="M88" s="100">
        <v>1.69</v>
      </c>
      <c r="N88" s="100">
        <v>2.5</v>
      </c>
      <c r="O88" s="100">
        <v>0</v>
      </c>
      <c r="P88" s="100">
        <v>0.51</v>
      </c>
      <c r="Q88" s="100">
        <v>9.32</v>
      </c>
      <c r="R88" s="6"/>
      <c r="S88" s="6"/>
      <c r="T88" s="156"/>
      <c r="U88" s="6"/>
    </row>
    <row r="89" spans="1:21" customFormat="1">
      <c r="A89" s="201" t="s">
        <v>324</v>
      </c>
      <c r="B89" s="100">
        <v>10.59</v>
      </c>
      <c r="C89" s="100">
        <v>10.16</v>
      </c>
      <c r="D89" s="100">
        <v>13.8</v>
      </c>
      <c r="E89" s="100">
        <v>9.7899999999999991</v>
      </c>
      <c r="F89" s="100">
        <v>2</v>
      </c>
      <c r="G89" s="100">
        <v>72.45</v>
      </c>
      <c r="H89" s="100">
        <v>18.14</v>
      </c>
      <c r="I89" s="100">
        <v>5.38</v>
      </c>
      <c r="J89" s="100">
        <v>0.12</v>
      </c>
      <c r="K89" s="100">
        <v>175.07</v>
      </c>
      <c r="L89" s="100">
        <v>17.190000000000001</v>
      </c>
      <c r="M89" s="100">
        <v>24.99</v>
      </c>
      <c r="N89" s="100">
        <v>2.4</v>
      </c>
      <c r="O89" s="100">
        <v>0</v>
      </c>
      <c r="P89" s="100">
        <v>0.51</v>
      </c>
      <c r="Q89" s="100">
        <v>9.32</v>
      </c>
      <c r="R89" s="6"/>
      <c r="S89" s="6"/>
      <c r="T89" s="156"/>
      <c r="U89" s="6"/>
    </row>
    <row r="90" spans="1:21" customFormat="1">
      <c r="A90" s="201" t="s">
        <v>325</v>
      </c>
      <c r="B90" s="100">
        <v>10.35</v>
      </c>
      <c r="C90" s="100">
        <v>9.89</v>
      </c>
      <c r="D90" s="100">
        <v>13.47</v>
      </c>
      <c r="E90" s="100">
        <v>8.98</v>
      </c>
      <c r="F90" s="100">
        <v>2</v>
      </c>
      <c r="G90" s="100">
        <v>72.45</v>
      </c>
      <c r="H90" s="100">
        <v>18.14</v>
      </c>
      <c r="I90" s="100">
        <v>5.46</v>
      </c>
      <c r="J90" s="100">
        <v>0.11</v>
      </c>
      <c r="K90" s="100">
        <v>207.44</v>
      </c>
      <c r="L90" s="100">
        <v>18.79</v>
      </c>
      <c r="M90" s="100">
        <v>29</v>
      </c>
      <c r="N90" s="100">
        <v>2.5</v>
      </c>
      <c r="O90" s="100">
        <v>0</v>
      </c>
      <c r="P90" s="100">
        <v>0.51</v>
      </c>
      <c r="Q90" s="100">
        <v>9.32</v>
      </c>
      <c r="R90" s="6"/>
      <c r="S90" s="6"/>
      <c r="T90" s="156"/>
      <c r="U90" s="6"/>
    </row>
    <row r="91" spans="1:21" customFormat="1">
      <c r="A91" s="201" t="s">
        <v>326</v>
      </c>
      <c r="B91" s="100">
        <v>10.98</v>
      </c>
      <c r="C91" s="100">
        <v>10.050000000000001</v>
      </c>
      <c r="D91" s="100">
        <v>14.06</v>
      </c>
      <c r="E91" s="100">
        <v>8.9</v>
      </c>
      <c r="F91" s="100">
        <v>2</v>
      </c>
      <c r="G91" s="100">
        <v>68.739999999999995</v>
      </c>
      <c r="H91" s="100">
        <v>16.16</v>
      </c>
      <c r="I91" s="100">
        <v>5.51</v>
      </c>
      <c r="J91" s="100">
        <v>0.09</v>
      </c>
      <c r="K91" s="100">
        <v>196.15</v>
      </c>
      <c r="L91" s="100">
        <v>21.17</v>
      </c>
      <c r="M91" s="100">
        <v>34.81</v>
      </c>
      <c r="N91" s="100">
        <v>2.2999999999999998</v>
      </c>
      <c r="O91" s="100">
        <v>0</v>
      </c>
      <c r="P91" s="100">
        <v>0.52</v>
      </c>
      <c r="Q91" s="100">
        <v>9.32</v>
      </c>
      <c r="R91" s="6"/>
      <c r="S91" s="6"/>
      <c r="T91" s="156"/>
      <c r="U91" s="6"/>
    </row>
    <row r="92" spans="1:21" customFormat="1">
      <c r="A92" s="201" t="s">
        <v>327</v>
      </c>
      <c r="B92" s="100">
        <v>11.19</v>
      </c>
      <c r="C92" s="100">
        <v>9.92</v>
      </c>
      <c r="D92" s="100">
        <v>14.15</v>
      </c>
      <c r="E92" s="100">
        <v>8.74</v>
      </c>
      <c r="F92" s="100">
        <v>2</v>
      </c>
      <c r="G92" s="100">
        <v>67.400000000000006</v>
      </c>
      <c r="H92" s="100">
        <v>16.13</v>
      </c>
      <c r="I92" s="100">
        <v>5.53</v>
      </c>
      <c r="J92" s="100">
        <v>0.15</v>
      </c>
      <c r="K92" s="100">
        <v>160.66999999999999</v>
      </c>
      <c r="L92" s="100">
        <v>15.56</v>
      </c>
      <c r="M92" s="100">
        <v>20.91</v>
      </c>
      <c r="N92" s="100">
        <v>2.2999999999999998</v>
      </c>
      <c r="O92" s="100">
        <v>0</v>
      </c>
      <c r="P92" s="100">
        <v>0.52</v>
      </c>
      <c r="Q92" s="100">
        <v>9.32</v>
      </c>
      <c r="R92" s="6"/>
      <c r="S92" s="6"/>
      <c r="T92" s="156"/>
      <c r="U92" s="6"/>
    </row>
    <row r="93" spans="1:21" customFormat="1">
      <c r="A93" s="201" t="s">
        <v>328</v>
      </c>
      <c r="B93" s="100">
        <v>11.61</v>
      </c>
      <c r="C93" s="100">
        <v>9.84</v>
      </c>
      <c r="D93" s="100">
        <v>14.45</v>
      </c>
      <c r="E93" s="100">
        <v>8.5</v>
      </c>
      <c r="F93" s="100">
        <v>2</v>
      </c>
      <c r="G93" s="100">
        <v>67.400000000000006</v>
      </c>
      <c r="H93" s="100">
        <v>16.13</v>
      </c>
      <c r="I93" s="100">
        <v>5.61</v>
      </c>
      <c r="J93" s="100">
        <v>0.15</v>
      </c>
      <c r="K93" s="100">
        <v>168.94</v>
      </c>
      <c r="L93" s="100">
        <v>16.600000000000001</v>
      </c>
      <c r="M93" s="100">
        <v>23.62</v>
      </c>
      <c r="N93" s="100">
        <v>2.2000000000000002</v>
      </c>
      <c r="O93" s="100">
        <v>0</v>
      </c>
      <c r="P93" s="100">
        <v>0.52</v>
      </c>
      <c r="Q93" s="100">
        <v>9.32</v>
      </c>
      <c r="R93" s="6"/>
      <c r="S93" s="6"/>
      <c r="T93" s="156"/>
      <c r="U93" s="6"/>
    </row>
    <row r="94" spans="1:21" customFormat="1">
      <c r="A94" s="201" t="s">
        <v>329</v>
      </c>
      <c r="B94" s="100">
        <v>13.5</v>
      </c>
      <c r="C94" s="100">
        <v>10.25</v>
      </c>
      <c r="D94" s="100">
        <v>16.18</v>
      </c>
      <c r="E94" s="100">
        <v>10.029999999999999</v>
      </c>
      <c r="F94" s="100">
        <v>2</v>
      </c>
      <c r="G94" s="100">
        <v>67.400000000000006</v>
      </c>
      <c r="H94" s="100">
        <v>16.13</v>
      </c>
      <c r="I94" s="100">
        <v>5.65</v>
      </c>
      <c r="J94" s="100">
        <v>0.13</v>
      </c>
      <c r="K94" s="100">
        <v>58.55</v>
      </c>
      <c r="L94" s="100">
        <v>11.79</v>
      </c>
      <c r="M94" s="100">
        <v>11.41</v>
      </c>
      <c r="N94" s="100">
        <v>2.2000000000000002</v>
      </c>
      <c r="O94" s="100">
        <v>0</v>
      </c>
      <c r="P94" s="100">
        <v>0.55000000000000004</v>
      </c>
      <c r="Q94" s="100">
        <v>9.32</v>
      </c>
      <c r="R94" s="6"/>
      <c r="S94" s="6"/>
      <c r="T94" s="156"/>
      <c r="U94" s="6"/>
    </row>
    <row r="95" spans="1:21" customFormat="1">
      <c r="A95" s="201" t="s">
        <v>330</v>
      </c>
      <c r="B95" s="100">
        <v>17.77</v>
      </c>
      <c r="C95" s="100">
        <v>12.38</v>
      </c>
      <c r="D95" s="100">
        <v>20.72</v>
      </c>
      <c r="E95" s="100">
        <v>10.73</v>
      </c>
      <c r="F95" s="100">
        <v>2</v>
      </c>
      <c r="G95" s="100">
        <v>84.74</v>
      </c>
      <c r="H95" s="100">
        <v>36.76</v>
      </c>
      <c r="I95" s="100">
        <v>5.74</v>
      </c>
      <c r="J95" s="100">
        <v>0.1</v>
      </c>
      <c r="K95" s="100">
        <v>112.06</v>
      </c>
      <c r="L95" s="100">
        <v>11.62</v>
      </c>
      <c r="M95" s="100">
        <v>10.99</v>
      </c>
      <c r="N95" s="100">
        <v>2.2000000000000002</v>
      </c>
      <c r="O95" s="100">
        <v>0</v>
      </c>
      <c r="P95" s="100">
        <v>0.56000000000000005</v>
      </c>
      <c r="Q95" s="100">
        <v>9.32</v>
      </c>
      <c r="R95" s="6"/>
      <c r="S95" s="6"/>
      <c r="T95" s="156"/>
      <c r="U95" s="6"/>
    </row>
    <row r="96" spans="1:21" customFormat="1">
      <c r="A96" s="201" t="s">
        <v>331</v>
      </c>
      <c r="B96" s="100">
        <v>15.68</v>
      </c>
      <c r="C96" s="100">
        <v>10.130000000000001</v>
      </c>
      <c r="D96" s="100">
        <v>17.87</v>
      </c>
      <c r="E96" s="100">
        <v>9.4700000000000006</v>
      </c>
      <c r="F96" s="100">
        <v>2</v>
      </c>
      <c r="G96" s="100">
        <v>91.04</v>
      </c>
      <c r="H96" s="100">
        <v>37.08</v>
      </c>
      <c r="I96" s="100">
        <v>6.11</v>
      </c>
      <c r="J96" s="100">
        <v>0.16</v>
      </c>
      <c r="K96" s="100">
        <v>204.55</v>
      </c>
      <c r="L96" s="100">
        <v>19.07</v>
      </c>
      <c r="M96" s="100">
        <v>29.69</v>
      </c>
      <c r="N96" s="100">
        <v>2.5</v>
      </c>
      <c r="O96" s="100">
        <v>0</v>
      </c>
      <c r="P96" s="100">
        <v>0.56000000000000005</v>
      </c>
      <c r="Q96" s="100">
        <v>9.32</v>
      </c>
      <c r="R96" s="6"/>
      <c r="S96" s="6"/>
      <c r="T96" s="156"/>
      <c r="U96" s="6"/>
    </row>
    <row r="97" spans="1:28" customFormat="1">
      <c r="A97" s="201" t="s">
        <v>332</v>
      </c>
      <c r="B97" s="100">
        <v>15.31</v>
      </c>
      <c r="C97" s="100">
        <v>9.5399999999999991</v>
      </c>
      <c r="D97" s="100">
        <v>17.260000000000002</v>
      </c>
      <c r="E97" s="100">
        <v>8.74</v>
      </c>
      <c r="F97" s="100">
        <v>2</v>
      </c>
      <c r="G97" s="100">
        <v>91.04</v>
      </c>
      <c r="H97" s="100">
        <v>37.08</v>
      </c>
      <c r="I97" s="100">
        <v>6.38</v>
      </c>
      <c r="J97" s="100">
        <v>0.16</v>
      </c>
      <c r="K97" s="100">
        <v>191.01</v>
      </c>
      <c r="L97" s="100">
        <v>18.05</v>
      </c>
      <c r="M97" s="100">
        <v>27.2</v>
      </c>
      <c r="N97" s="100">
        <v>2.4</v>
      </c>
      <c r="O97" s="100">
        <v>0</v>
      </c>
      <c r="P97" s="100">
        <v>0.55000000000000004</v>
      </c>
      <c r="Q97" s="100">
        <v>9.32</v>
      </c>
      <c r="R97" s="6"/>
      <c r="S97" s="6"/>
      <c r="T97" s="156"/>
      <c r="U97" s="6"/>
    </row>
    <row r="98" spans="1:28" customFormat="1">
      <c r="A98" s="201" t="s">
        <v>333</v>
      </c>
      <c r="B98" s="100">
        <v>14.7</v>
      </c>
      <c r="C98" s="100">
        <v>9.0399999999999991</v>
      </c>
      <c r="D98" s="100">
        <v>16.510000000000002</v>
      </c>
      <c r="E98" s="100">
        <v>7.66</v>
      </c>
      <c r="F98" s="100">
        <v>2</v>
      </c>
      <c r="G98" s="100">
        <v>91.04</v>
      </c>
      <c r="H98" s="100">
        <v>37.08</v>
      </c>
      <c r="I98" s="100">
        <v>6.38</v>
      </c>
      <c r="J98" s="100">
        <v>0.13</v>
      </c>
      <c r="K98" s="100">
        <v>156.09</v>
      </c>
      <c r="L98" s="100">
        <v>15.28</v>
      </c>
      <c r="M98" s="100">
        <v>20.32</v>
      </c>
      <c r="N98" s="100">
        <v>2.2999999999999998</v>
      </c>
      <c r="O98" s="100">
        <v>0</v>
      </c>
      <c r="P98" s="100">
        <v>0.55000000000000004</v>
      </c>
      <c r="Q98" s="100">
        <v>9.32</v>
      </c>
      <c r="R98" s="6"/>
      <c r="S98" s="6"/>
      <c r="T98" s="156"/>
      <c r="U98" s="6"/>
    </row>
    <row r="99" spans="1:28" customFormat="1">
      <c r="A99" s="201" t="s">
        <v>334</v>
      </c>
      <c r="B99" s="100">
        <v>14.27</v>
      </c>
      <c r="C99" s="100">
        <v>8.86</v>
      </c>
      <c r="D99" s="100">
        <v>16.07</v>
      </c>
      <c r="E99" s="100">
        <v>7.85</v>
      </c>
      <c r="F99" s="100">
        <v>2</v>
      </c>
      <c r="G99" s="100">
        <v>96.81</v>
      </c>
      <c r="H99" s="100">
        <v>47.16</v>
      </c>
      <c r="I99" s="100">
        <v>6.32</v>
      </c>
      <c r="J99" s="100">
        <v>0.15</v>
      </c>
      <c r="K99" s="100">
        <v>161.43</v>
      </c>
      <c r="L99" s="100">
        <v>16.55</v>
      </c>
      <c r="M99" s="100">
        <v>23.41</v>
      </c>
      <c r="N99" s="100">
        <v>2.2000000000000002</v>
      </c>
      <c r="O99" s="100">
        <v>0</v>
      </c>
      <c r="P99" s="100">
        <v>0.56000000000000005</v>
      </c>
      <c r="Q99" s="100">
        <v>9.32</v>
      </c>
      <c r="R99" s="6"/>
      <c r="S99" s="6"/>
      <c r="T99" s="156"/>
      <c r="U99" s="6"/>
    </row>
    <row r="100" spans="1:28" customFormat="1">
      <c r="A100" s="201" t="s">
        <v>335</v>
      </c>
      <c r="B100" s="100">
        <v>14.4</v>
      </c>
      <c r="C100" s="100">
        <v>8.74</v>
      </c>
      <c r="D100" s="100">
        <v>16.11</v>
      </c>
      <c r="E100" s="100">
        <v>7.18</v>
      </c>
      <c r="F100" s="100">
        <v>2</v>
      </c>
      <c r="G100" s="100">
        <v>98.91</v>
      </c>
      <c r="H100" s="100">
        <v>47.31</v>
      </c>
      <c r="I100" s="100">
        <v>6.23</v>
      </c>
      <c r="J100" s="100">
        <v>0.1</v>
      </c>
      <c r="K100" s="100">
        <v>190.02</v>
      </c>
      <c r="L100" s="100">
        <v>18.28</v>
      </c>
      <c r="M100" s="100">
        <v>27.74</v>
      </c>
      <c r="N100" s="100">
        <v>2.2000000000000002</v>
      </c>
      <c r="O100" s="100">
        <v>0</v>
      </c>
      <c r="P100" s="100">
        <v>0.55000000000000004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336</v>
      </c>
      <c r="B101" s="100">
        <v>14.33</v>
      </c>
      <c r="C101" s="100">
        <v>8.4700000000000006</v>
      </c>
      <c r="D101" s="100">
        <v>15.91</v>
      </c>
      <c r="E101" s="100">
        <v>6.83</v>
      </c>
      <c r="F101" s="100">
        <v>2</v>
      </c>
      <c r="G101" s="100">
        <v>98.91</v>
      </c>
      <c r="H101" s="100">
        <v>47.31</v>
      </c>
      <c r="I101" s="100">
        <v>6.31</v>
      </c>
      <c r="J101" s="100">
        <v>0.1</v>
      </c>
      <c r="K101" s="100">
        <v>173.51</v>
      </c>
      <c r="L101" s="100">
        <v>16.87</v>
      </c>
      <c r="M101" s="100">
        <v>24.27</v>
      </c>
      <c r="N101" s="100">
        <v>2.2000000000000002</v>
      </c>
      <c r="O101" s="100">
        <v>0</v>
      </c>
      <c r="P101" s="100">
        <v>0.56000000000000005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337</v>
      </c>
      <c r="B102" s="100">
        <v>14.23</v>
      </c>
      <c r="C102" s="100">
        <v>8.2899999999999991</v>
      </c>
      <c r="D102" s="100">
        <v>15.74</v>
      </c>
      <c r="E102" s="100">
        <v>6.85</v>
      </c>
      <c r="F102" s="100">
        <v>2</v>
      </c>
      <c r="G102" s="100">
        <v>98.91</v>
      </c>
      <c r="H102" s="100">
        <v>47.31</v>
      </c>
      <c r="I102" s="100">
        <v>6.37</v>
      </c>
      <c r="J102" s="100">
        <v>0.12</v>
      </c>
      <c r="K102" s="100">
        <v>182.58</v>
      </c>
      <c r="L102" s="100">
        <v>17.37</v>
      </c>
      <c r="M102" s="100">
        <v>25.58</v>
      </c>
      <c r="N102" s="100">
        <v>2.1</v>
      </c>
      <c r="O102" s="100">
        <v>0</v>
      </c>
      <c r="P102" s="100">
        <v>0.56000000000000005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338</v>
      </c>
      <c r="B103" s="100">
        <v>14.42</v>
      </c>
      <c r="C103" s="100">
        <v>7.89</v>
      </c>
      <c r="D103" s="100">
        <v>15.69</v>
      </c>
      <c r="E103" s="100">
        <v>6.8</v>
      </c>
      <c r="F103" s="100">
        <v>2</v>
      </c>
      <c r="G103" s="100">
        <v>96.01</v>
      </c>
      <c r="H103" s="100">
        <v>42.39</v>
      </c>
      <c r="I103" s="100">
        <v>6.39</v>
      </c>
      <c r="J103" s="100">
        <v>0.15</v>
      </c>
      <c r="K103" s="100">
        <v>184.53</v>
      </c>
      <c r="L103" s="100">
        <v>17.3</v>
      </c>
      <c r="M103" s="100">
        <v>25.42</v>
      </c>
      <c r="N103" s="100">
        <v>2.1</v>
      </c>
      <c r="O103" s="100">
        <v>0</v>
      </c>
      <c r="P103" s="100">
        <v>0.6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339</v>
      </c>
      <c r="B104" s="100">
        <v>14.51</v>
      </c>
      <c r="C104" s="100">
        <v>7.7</v>
      </c>
      <c r="D104" s="100">
        <v>15.66</v>
      </c>
      <c r="E104" s="100">
        <v>6.95</v>
      </c>
      <c r="F104" s="100">
        <v>2</v>
      </c>
      <c r="G104" s="100">
        <v>94.95</v>
      </c>
      <c r="H104" s="100">
        <v>42.31</v>
      </c>
      <c r="I104" s="100">
        <v>6.4</v>
      </c>
      <c r="J104" s="100">
        <v>0.08</v>
      </c>
      <c r="K104" s="100">
        <v>199.47</v>
      </c>
      <c r="L104" s="100">
        <v>19.22</v>
      </c>
      <c r="M104" s="100">
        <v>30.31</v>
      </c>
      <c r="N104" s="100">
        <v>2.2000000000000002</v>
      </c>
      <c r="O104" s="100">
        <v>0</v>
      </c>
      <c r="P104" s="100">
        <v>0.61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1.55</v>
      </c>
      <c r="C106" s="158">
        <f>MIN(C9:C104)</f>
        <v>4.87</v>
      </c>
      <c r="D106" s="158">
        <f t="shared" ref="D106:Q106" si="0">MIN(D9:D104)</f>
        <v>4.78</v>
      </c>
      <c r="E106" s="158">
        <f t="shared" si="0"/>
        <v>3.3</v>
      </c>
      <c r="F106" s="158">
        <f t="shared" si="0"/>
        <v>2</v>
      </c>
      <c r="G106" s="158">
        <f t="shared" si="0"/>
        <v>11.87</v>
      </c>
      <c r="H106" s="158">
        <f t="shared" si="0"/>
        <v>6.22</v>
      </c>
      <c r="I106" s="158">
        <f t="shared" si="0"/>
        <v>3.48</v>
      </c>
      <c r="J106" s="158">
        <f t="shared" si="0"/>
        <v>-0.03</v>
      </c>
      <c r="K106" s="158">
        <f t="shared" si="0"/>
        <v>0.35</v>
      </c>
      <c r="L106" s="158">
        <f t="shared" si="0"/>
        <v>6.81</v>
      </c>
      <c r="M106" s="158">
        <f t="shared" si="0"/>
        <v>-1.23</v>
      </c>
      <c r="N106" s="158">
        <f t="shared" si="0"/>
        <v>2.1</v>
      </c>
      <c r="O106" s="158">
        <f t="shared" si="0"/>
        <v>0</v>
      </c>
      <c r="P106" s="158">
        <f t="shared" si="0"/>
        <v>0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17.77</v>
      </c>
      <c r="C107" s="157">
        <f t="shared" ref="C107:Q107" si="1">MAX(C9:C104)</f>
        <v>18.28</v>
      </c>
      <c r="D107" s="157">
        <f t="shared" si="1"/>
        <v>20.72</v>
      </c>
      <c r="E107" s="157">
        <f t="shared" si="1"/>
        <v>10.73</v>
      </c>
      <c r="F107" s="157">
        <f t="shared" si="1"/>
        <v>35.25</v>
      </c>
      <c r="G107" s="157">
        <f t="shared" si="1"/>
        <v>98.91</v>
      </c>
      <c r="H107" s="157">
        <f t="shared" si="1"/>
        <v>47.31</v>
      </c>
      <c r="I107" s="157">
        <f t="shared" si="1"/>
        <v>11.69</v>
      </c>
      <c r="J107" s="157">
        <f t="shared" si="1"/>
        <v>0.62</v>
      </c>
      <c r="K107" s="157">
        <f t="shared" si="1"/>
        <v>352.54</v>
      </c>
      <c r="L107" s="157">
        <f t="shared" si="1"/>
        <v>26.62</v>
      </c>
      <c r="M107" s="157">
        <f t="shared" si="1"/>
        <v>40.380000000000003</v>
      </c>
      <c r="N107" s="157">
        <f t="shared" si="1"/>
        <v>485.9</v>
      </c>
      <c r="O107" s="157">
        <f t="shared" si="1"/>
        <v>0.2</v>
      </c>
      <c r="P107" s="157">
        <f t="shared" si="1"/>
        <v>0.61</v>
      </c>
      <c r="Q107" s="157">
        <f t="shared" si="1"/>
        <v>9.3800000000000008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7.0338541666666652</v>
      </c>
      <c r="C108" s="158">
        <f t="shared" ref="C108:Q108" si="2">AVERAGE(C9:C104)</f>
        <v>8.566770833333333</v>
      </c>
      <c r="D108" s="158">
        <f t="shared" si="2"/>
        <v>10.116041666666662</v>
      </c>
      <c r="E108" s="158">
        <f t="shared" si="2"/>
        <v>5.9528125000000003</v>
      </c>
      <c r="F108" s="158">
        <f t="shared" si="2"/>
        <v>4.0635416666666666</v>
      </c>
      <c r="G108" s="158">
        <f t="shared" si="2"/>
        <v>41.791875000000005</v>
      </c>
      <c r="H108" s="158">
        <f t="shared" si="2"/>
        <v>15.398437499999995</v>
      </c>
      <c r="I108" s="158">
        <f t="shared" si="2"/>
        <v>5.2168749999999999</v>
      </c>
      <c r="J108" s="158">
        <f t="shared" si="2"/>
        <v>0.2310416666666667</v>
      </c>
      <c r="K108" s="158">
        <f t="shared" si="2"/>
        <v>163.7938541666667</v>
      </c>
      <c r="L108" s="158">
        <f t="shared" si="2"/>
        <v>17.255937499999991</v>
      </c>
      <c r="M108" s="158">
        <f t="shared" si="2"/>
        <v>23.966354166666651</v>
      </c>
      <c r="N108" s="158">
        <f t="shared" si="2"/>
        <v>55.54479166666664</v>
      </c>
      <c r="O108" s="158">
        <f t="shared" si="2"/>
        <v>2.0833333333333333E-3</v>
      </c>
      <c r="P108" s="158">
        <f t="shared" si="2"/>
        <v>0.36729166666666674</v>
      </c>
      <c r="Q108" s="158">
        <f t="shared" si="2"/>
        <v>9.3207291666666841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3.700745407074427</v>
      </c>
      <c r="C109" s="158">
        <f t="shared" ref="C109:Q109" si="3">STDEV(C9:C104)</f>
        <v>3.5969576310489697</v>
      </c>
      <c r="D109" s="158">
        <f t="shared" si="3"/>
        <v>3.5834700851098606</v>
      </c>
      <c r="E109" s="158">
        <f t="shared" si="3"/>
        <v>1.4968884943353893</v>
      </c>
      <c r="F109" s="158">
        <f t="shared" si="3"/>
        <v>5.5524966369651017</v>
      </c>
      <c r="G109" s="158">
        <f t="shared" si="3"/>
        <v>25.793824691907204</v>
      </c>
      <c r="H109" s="158">
        <f t="shared" si="3"/>
        <v>9.9267671451458757</v>
      </c>
      <c r="I109" s="158">
        <f t="shared" si="3"/>
        <v>1.546633908644323</v>
      </c>
      <c r="J109" s="158">
        <f t="shared" si="3"/>
        <v>0.15504484354138304</v>
      </c>
      <c r="K109" s="158">
        <f t="shared" si="3"/>
        <v>92.917770430801482</v>
      </c>
      <c r="L109" s="158">
        <f t="shared" si="3"/>
        <v>4.7606648315291249</v>
      </c>
      <c r="M109" s="158">
        <f t="shared" si="3"/>
        <v>11.675884649886566</v>
      </c>
      <c r="N109" s="158">
        <f t="shared" si="3"/>
        <v>100.53585154695783</v>
      </c>
      <c r="O109" s="158">
        <f t="shared" si="3"/>
        <v>2.0412414523193152E-2</v>
      </c>
      <c r="P109" s="158">
        <f t="shared" si="3"/>
        <v>0.15350281442073838</v>
      </c>
      <c r="Q109" s="158">
        <f t="shared" si="3"/>
        <v>6.1975872498335003E-3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G14" sqref="G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340</v>
      </c>
      <c r="B9" s="100">
        <v>14.76</v>
      </c>
      <c r="C9" s="100">
        <v>7.47</v>
      </c>
      <c r="D9" s="100">
        <v>15.73</v>
      </c>
      <c r="E9" s="100">
        <v>6.51</v>
      </c>
      <c r="F9" s="100">
        <v>2</v>
      </c>
      <c r="G9" s="100">
        <v>94.95</v>
      </c>
      <c r="H9" s="100">
        <v>42.31</v>
      </c>
      <c r="I9" s="100">
        <v>6.36</v>
      </c>
      <c r="J9" s="100">
        <v>0.1</v>
      </c>
      <c r="K9" s="100">
        <v>174.95</v>
      </c>
      <c r="L9" s="100">
        <v>16.260000000000002</v>
      </c>
      <c r="M9" s="100">
        <v>22.91</v>
      </c>
      <c r="N9" s="100">
        <v>2.1</v>
      </c>
      <c r="O9" s="100">
        <v>0</v>
      </c>
      <c r="P9" s="100">
        <v>0.62</v>
      </c>
      <c r="Q9" s="100">
        <v>9.32</v>
      </c>
      <c r="R9" s="6"/>
      <c r="S9" s="6"/>
      <c r="T9" s="156"/>
      <c r="U9" s="6"/>
    </row>
    <row r="10" spans="1:21" customFormat="1">
      <c r="A10" s="201" t="s">
        <v>341</v>
      </c>
      <c r="B10" s="100">
        <v>15.01</v>
      </c>
      <c r="C10" s="100">
        <v>7.23</v>
      </c>
      <c r="D10" s="100">
        <v>15.81</v>
      </c>
      <c r="E10" s="100">
        <v>6.4</v>
      </c>
      <c r="F10" s="100">
        <v>2</v>
      </c>
      <c r="G10" s="100">
        <v>94.95</v>
      </c>
      <c r="H10" s="100">
        <v>42.31</v>
      </c>
      <c r="I10" s="100">
        <v>6.36</v>
      </c>
      <c r="J10" s="100">
        <v>0.13</v>
      </c>
      <c r="K10" s="100">
        <v>170.12</v>
      </c>
      <c r="L10" s="100">
        <v>17.440000000000001</v>
      </c>
      <c r="M10" s="100">
        <v>25.89</v>
      </c>
      <c r="N10" s="100">
        <v>2.1</v>
      </c>
      <c r="O10" s="100">
        <v>0</v>
      </c>
      <c r="P10" s="100">
        <v>0.61</v>
      </c>
      <c r="Q10" s="100">
        <v>9.32</v>
      </c>
      <c r="R10" s="6"/>
      <c r="S10" s="6"/>
      <c r="T10" s="156"/>
      <c r="U10" s="6"/>
    </row>
    <row r="11" spans="1:21" customFormat="1">
      <c r="A11" s="201" t="s">
        <v>342</v>
      </c>
      <c r="B11" s="100">
        <v>15.12</v>
      </c>
      <c r="C11" s="100">
        <v>7.15</v>
      </c>
      <c r="D11" s="100">
        <v>15.86</v>
      </c>
      <c r="E11" s="100">
        <v>6.31</v>
      </c>
      <c r="F11" s="100">
        <v>2</v>
      </c>
      <c r="G11" s="100">
        <v>89.28</v>
      </c>
      <c r="H11" s="100">
        <v>43.02</v>
      </c>
      <c r="I11" s="100">
        <v>6.46</v>
      </c>
      <c r="J11" s="100">
        <v>0.1</v>
      </c>
      <c r="K11" s="100">
        <v>165.55</v>
      </c>
      <c r="L11" s="100">
        <v>15.98</v>
      </c>
      <c r="M11" s="100">
        <v>22.24</v>
      </c>
      <c r="N11" s="100">
        <v>2.2000000000000002</v>
      </c>
      <c r="O11" s="100">
        <v>0</v>
      </c>
      <c r="P11" s="100">
        <v>0.62</v>
      </c>
      <c r="Q11" s="100">
        <v>9.32</v>
      </c>
      <c r="R11" s="6"/>
      <c r="S11" s="6"/>
      <c r="T11" s="156"/>
      <c r="U11" s="6"/>
    </row>
    <row r="12" spans="1:21" customFormat="1">
      <c r="A12" s="201" t="s">
        <v>343</v>
      </c>
      <c r="B12" s="100">
        <v>15.36</v>
      </c>
      <c r="C12" s="100">
        <v>7.08</v>
      </c>
      <c r="D12" s="100">
        <v>16.02</v>
      </c>
      <c r="E12" s="100">
        <v>6.45</v>
      </c>
      <c r="F12" s="100">
        <v>2</v>
      </c>
      <c r="G12" s="100">
        <v>87.22</v>
      </c>
      <c r="H12" s="100">
        <v>43.03</v>
      </c>
      <c r="I12" s="100">
        <v>6.54</v>
      </c>
      <c r="J12" s="100">
        <v>0.1</v>
      </c>
      <c r="K12" s="100">
        <v>169.46</v>
      </c>
      <c r="L12" s="100">
        <v>16.98</v>
      </c>
      <c r="M12" s="100">
        <v>24.71</v>
      </c>
      <c r="N12" s="100">
        <v>2.1</v>
      </c>
      <c r="O12" s="100">
        <v>0</v>
      </c>
      <c r="P12" s="100">
        <v>0.62</v>
      </c>
      <c r="Q12" s="100">
        <v>9.32</v>
      </c>
      <c r="R12" s="6"/>
      <c r="S12" s="6"/>
      <c r="T12" s="156"/>
      <c r="U12" s="6"/>
    </row>
    <row r="13" spans="1:21" customFormat="1">
      <c r="A13" s="201" t="s">
        <v>344</v>
      </c>
      <c r="B13" s="100">
        <v>15.5</v>
      </c>
      <c r="C13" s="100">
        <v>7.16</v>
      </c>
      <c r="D13" s="100">
        <v>16.18</v>
      </c>
      <c r="E13" s="100">
        <v>6.16</v>
      </c>
      <c r="F13" s="100">
        <v>2</v>
      </c>
      <c r="G13" s="100">
        <v>87.22</v>
      </c>
      <c r="H13" s="100">
        <v>43.03</v>
      </c>
      <c r="I13" s="100">
        <v>6.59</v>
      </c>
      <c r="J13" s="100">
        <v>0.13</v>
      </c>
      <c r="K13" s="100">
        <v>147.09</v>
      </c>
      <c r="L13" s="100">
        <v>14.41</v>
      </c>
      <c r="M13" s="100">
        <v>18.329999999999998</v>
      </c>
      <c r="N13" s="100">
        <v>2.1</v>
      </c>
      <c r="O13" s="100">
        <v>0</v>
      </c>
      <c r="P13" s="100">
        <v>0.63</v>
      </c>
      <c r="Q13" s="100">
        <v>9.32</v>
      </c>
      <c r="R13" s="6"/>
      <c r="S13" s="6"/>
      <c r="T13" s="156"/>
      <c r="U13" s="6"/>
    </row>
    <row r="14" spans="1:21" customFormat="1">
      <c r="A14" s="201" t="s">
        <v>345</v>
      </c>
      <c r="B14" s="100">
        <v>15.64</v>
      </c>
      <c r="C14" s="100">
        <v>7.26</v>
      </c>
      <c r="D14" s="100">
        <v>16.34</v>
      </c>
      <c r="E14" s="100">
        <v>6.46</v>
      </c>
      <c r="F14" s="100">
        <v>2</v>
      </c>
      <c r="G14" s="100">
        <v>87.22</v>
      </c>
      <c r="H14" s="100">
        <v>43.03</v>
      </c>
      <c r="I14" s="100">
        <v>6.68</v>
      </c>
      <c r="J14" s="100">
        <v>0.1</v>
      </c>
      <c r="K14" s="100">
        <v>155.13</v>
      </c>
      <c r="L14" s="100">
        <v>14.83</v>
      </c>
      <c r="M14" s="100">
        <v>19.39</v>
      </c>
      <c r="N14" s="100">
        <v>2.1</v>
      </c>
      <c r="O14" s="100">
        <v>0</v>
      </c>
      <c r="P14" s="100">
        <v>0.62</v>
      </c>
      <c r="Q14" s="100">
        <v>9.32</v>
      </c>
      <c r="R14" s="6"/>
      <c r="S14" s="6"/>
      <c r="T14" s="156"/>
      <c r="U14" s="6"/>
    </row>
    <row r="15" spans="1:21" customFormat="1">
      <c r="A15" s="201" t="s">
        <v>346</v>
      </c>
      <c r="B15" s="100">
        <v>15.98</v>
      </c>
      <c r="C15" s="100">
        <v>7.39</v>
      </c>
      <c r="D15" s="100">
        <v>16.68</v>
      </c>
      <c r="E15" s="100">
        <v>6.55</v>
      </c>
      <c r="F15" s="100">
        <v>2</v>
      </c>
      <c r="G15" s="100">
        <v>86.24</v>
      </c>
      <c r="H15" s="100">
        <v>41.55</v>
      </c>
      <c r="I15" s="100">
        <v>6.72</v>
      </c>
      <c r="J15" s="100">
        <v>0.04</v>
      </c>
      <c r="K15" s="100">
        <v>327.60000000000002</v>
      </c>
      <c r="L15" s="100">
        <v>22.28</v>
      </c>
      <c r="M15" s="100">
        <v>37.82</v>
      </c>
      <c r="N15" s="100">
        <v>2.1</v>
      </c>
      <c r="O15" s="100">
        <v>0</v>
      </c>
      <c r="P15" s="100">
        <v>0.62</v>
      </c>
      <c r="Q15" s="100">
        <v>9.32</v>
      </c>
      <c r="R15" s="6"/>
      <c r="S15" s="6"/>
      <c r="T15" s="156"/>
      <c r="U15" s="6"/>
    </row>
    <row r="16" spans="1:21" customFormat="1">
      <c r="A16" s="201" t="s">
        <v>347</v>
      </c>
      <c r="B16" s="100">
        <v>16.61</v>
      </c>
      <c r="C16" s="100">
        <v>7.4</v>
      </c>
      <c r="D16" s="100">
        <v>17.18</v>
      </c>
      <c r="E16" s="100">
        <v>6.4</v>
      </c>
      <c r="F16" s="100">
        <v>2</v>
      </c>
      <c r="G16" s="100">
        <v>85.86</v>
      </c>
      <c r="H16" s="100">
        <v>41.48</v>
      </c>
      <c r="I16" s="100">
        <v>6.76</v>
      </c>
      <c r="J16" s="100">
        <v>0.08</v>
      </c>
      <c r="K16" s="100">
        <v>121.87</v>
      </c>
      <c r="L16" s="100">
        <v>12.67</v>
      </c>
      <c r="M16" s="100">
        <v>13.85</v>
      </c>
      <c r="N16" s="100">
        <v>2.1</v>
      </c>
      <c r="O16" s="100">
        <v>0</v>
      </c>
      <c r="P16" s="100">
        <v>0.64</v>
      </c>
      <c r="Q16" s="100">
        <v>9.32</v>
      </c>
      <c r="R16" s="6"/>
      <c r="S16" s="6"/>
      <c r="T16" s="156"/>
      <c r="U16" s="6"/>
    </row>
    <row r="17" spans="1:21" customFormat="1">
      <c r="A17" s="201" t="s">
        <v>348</v>
      </c>
      <c r="B17" s="100">
        <v>17.489999999999998</v>
      </c>
      <c r="C17" s="100">
        <v>7.55</v>
      </c>
      <c r="D17" s="100">
        <v>17.97</v>
      </c>
      <c r="E17" s="100">
        <v>5.47</v>
      </c>
      <c r="F17" s="100">
        <v>2</v>
      </c>
      <c r="G17" s="100">
        <v>85.86</v>
      </c>
      <c r="H17" s="100">
        <v>41.48</v>
      </c>
      <c r="I17" s="100">
        <v>6.79</v>
      </c>
      <c r="J17" s="100">
        <v>0.13</v>
      </c>
      <c r="K17" s="100">
        <v>164.8</v>
      </c>
      <c r="L17" s="100">
        <v>15.83</v>
      </c>
      <c r="M17" s="100">
        <v>21.89</v>
      </c>
      <c r="N17" s="100">
        <v>2.1</v>
      </c>
      <c r="O17" s="100">
        <v>0</v>
      </c>
      <c r="P17" s="100">
        <v>0.64</v>
      </c>
      <c r="Q17" s="100">
        <v>9.32</v>
      </c>
      <c r="R17" s="6"/>
      <c r="S17" s="6"/>
      <c r="T17" s="156"/>
      <c r="U17" s="6"/>
    </row>
    <row r="18" spans="1:21" customFormat="1">
      <c r="A18" s="201" t="s">
        <v>349</v>
      </c>
      <c r="B18" s="100">
        <v>18.28</v>
      </c>
      <c r="C18" s="100">
        <v>7.76</v>
      </c>
      <c r="D18" s="100">
        <v>18.72</v>
      </c>
      <c r="E18" s="100">
        <v>6.49</v>
      </c>
      <c r="F18" s="100">
        <v>2</v>
      </c>
      <c r="G18" s="100">
        <v>85.86</v>
      </c>
      <c r="H18" s="100">
        <v>41.48</v>
      </c>
      <c r="I18" s="100">
        <v>6.84</v>
      </c>
      <c r="J18" s="100">
        <v>0.12</v>
      </c>
      <c r="K18" s="100">
        <v>215.15</v>
      </c>
      <c r="L18" s="100">
        <v>18.91</v>
      </c>
      <c r="M18" s="100">
        <v>29.59</v>
      </c>
      <c r="N18" s="100">
        <v>2.1</v>
      </c>
      <c r="O18" s="100">
        <v>0</v>
      </c>
      <c r="P18" s="100">
        <v>0.64</v>
      </c>
      <c r="Q18" s="100">
        <v>9.32</v>
      </c>
      <c r="R18" s="6"/>
      <c r="S18" s="6"/>
      <c r="T18" s="156"/>
      <c r="U18" s="6"/>
    </row>
    <row r="19" spans="1:21" customFormat="1">
      <c r="A19" s="201" t="s">
        <v>350</v>
      </c>
      <c r="B19" s="100">
        <v>18.98</v>
      </c>
      <c r="C19" s="100">
        <v>7.94</v>
      </c>
      <c r="D19" s="100">
        <v>19.37</v>
      </c>
      <c r="E19" s="100">
        <v>5.5</v>
      </c>
      <c r="F19" s="100">
        <v>2</v>
      </c>
      <c r="G19" s="100">
        <v>98.51</v>
      </c>
      <c r="H19" s="100">
        <v>45.83</v>
      </c>
      <c r="I19" s="100">
        <v>6.96</v>
      </c>
      <c r="J19" s="100">
        <v>0.1</v>
      </c>
      <c r="K19" s="100">
        <v>192.86</v>
      </c>
      <c r="L19" s="100">
        <v>17.73</v>
      </c>
      <c r="M19" s="100">
        <v>26.61</v>
      </c>
      <c r="N19" s="100">
        <v>2.1</v>
      </c>
      <c r="O19" s="100">
        <v>0</v>
      </c>
      <c r="P19" s="100">
        <v>0.64</v>
      </c>
      <c r="Q19" s="100">
        <v>9.32</v>
      </c>
      <c r="R19" s="6"/>
      <c r="S19" s="6"/>
      <c r="T19" s="156"/>
      <c r="U19" s="6"/>
    </row>
    <row r="20" spans="1:21" customFormat="1">
      <c r="A20" s="201" t="s">
        <v>351</v>
      </c>
      <c r="B20" s="100">
        <v>19.72</v>
      </c>
      <c r="C20" s="100">
        <v>8.06</v>
      </c>
      <c r="D20" s="100">
        <v>20.03</v>
      </c>
      <c r="E20" s="100">
        <v>6.62</v>
      </c>
      <c r="F20" s="100">
        <v>2</v>
      </c>
      <c r="G20" s="100">
        <v>103.38</v>
      </c>
      <c r="H20" s="100">
        <v>45.96</v>
      </c>
      <c r="I20" s="100">
        <v>7.07</v>
      </c>
      <c r="J20" s="100">
        <v>0.1</v>
      </c>
      <c r="K20" s="100">
        <v>150.81</v>
      </c>
      <c r="L20" s="100">
        <v>15.2</v>
      </c>
      <c r="M20" s="100">
        <v>20.29</v>
      </c>
      <c r="N20" s="100">
        <v>2.1</v>
      </c>
      <c r="O20" s="100">
        <v>0</v>
      </c>
      <c r="P20" s="100">
        <v>0.65</v>
      </c>
      <c r="Q20" s="100">
        <v>9.32</v>
      </c>
      <c r="R20" s="6"/>
      <c r="S20" s="6"/>
      <c r="T20" s="156"/>
      <c r="U20" s="6"/>
    </row>
    <row r="21" spans="1:21" customFormat="1">
      <c r="A21" s="201" t="s">
        <v>352</v>
      </c>
      <c r="B21" s="100">
        <v>20.32</v>
      </c>
      <c r="C21" s="100">
        <v>8.1999999999999993</v>
      </c>
      <c r="D21" s="100">
        <v>20.58</v>
      </c>
      <c r="E21" s="100">
        <v>6.92</v>
      </c>
      <c r="F21" s="100">
        <v>2</v>
      </c>
      <c r="G21" s="100">
        <v>103.38</v>
      </c>
      <c r="H21" s="100">
        <v>45.96</v>
      </c>
      <c r="I21" s="100">
        <v>7.15</v>
      </c>
      <c r="J21" s="100">
        <v>0.06</v>
      </c>
      <c r="K21" s="100">
        <v>146.66</v>
      </c>
      <c r="L21" s="100">
        <v>15.63</v>
      </c>
      <c r="M21" s="100">
        <v>21.37</v>
      </c>
      <c r="N21" s="100">
        <v>2.1</v>
      </c>
      <c r="O21" s="100">
        <v>0</v>
      </c>
      <c r="P21" s="100">
        <v>0.66</v>
      </c>
      <c r="Q21" s="100">
        <v>9.32</v>
      </c>
      <c r="R21" s="6"/>
      <c r="S21" s="6"/>
      <c r="T21" s="156"/>
      <c r="U21" s="6"/>
    </row>
    <row r="22" spans="1:21" customFormat="1">
      <c r="A22" s="201" t="s">
        <v>353</v>
      </c>
      <c r="B22" s="100">
        <v>20.76</v>
      </c>
      <c r="C22" s="100">
        <v>8.17</v>
      </c>
      <c r="D22" s="100">
        <v>20.91</v>
      </c>
      <c r="E22" s="100">
        <v>6.94</v>
      </c>
      <c r="F22" s="100">
        <v>2</v>
      </c>
      <c r="G22" s="100">
        <v>103.38</v>
      </c>
      <c r="H22" s="100">
        <v>45.96</v>
      </c>
      <c r="I22" s="100">
        <v>7.24</v>
      </c>
      <c r="J22" s="100">
        <v>0.17</v>
      </c>
      <c r="K22" s="100">
        <v>132.07</v>
      </c>
      <c r="L22" s="100">
        <v>12.96</v>
      </c>
      <c r="M22" s="100">
        <v>14.69</v>
      </c>
      <c r="N22" s="100">
        <v>2.1</v>
      </c>
      <c r="O22" s="100">
        <v>0</v>
      </c>
      <c r="P22" s="100">
        <v>0.65</v>
      </c>
      <c r="Q22" s="100">
        <v>9.32</v>
      </c>
      <c r="R22" s="6"/>
      <c r="S22" s="6"/>
      <c r="T22" s="156"/>
      <c r="U22" s="6"/>
    </row>
    <row r="23" spans="1:21" customFormat="1">
      <c r="A23" s="201" t="s">
        <v>354</v>
      </c>
      <c r="B23" s="100">
        <v>20.88</v>
      </c>
      <c r="C23" s="100">
        <v>8.27</v>
      </c>
      <c r="D23" s="100">
        <v>21.07</v>
      </c>
      <c r="E23" s="100">
        <v>7.06</v>
      </c>
      <c r="F23" s="100">
        <v>2</v>
      </c>
      <c r="G23" s="100">
        <v>107.16</v>
      </c>
      <c r="H23" s="100">
        <v>50.29</v>
      </c>
      <c r="I23" s="100">
        <v>7.35</v>
      </c>
      <c r="J23" s="100">
        <v>0.16</v>
      </c>
      <c r="K23" s="100">
        <v>148.80000000000001</v>
      </c>
      <c r="L23" s="100">
        <v>14.62</v>
      </c>
      <c r="M23" s="100">
        <v>18.86</v>
      </c>
      <c r="N23" s="100">
        <v>2.1</v>
      </c>
      <c r="O23" s="100">
        <v>0</v>
      </c>
      <c r="P23" s="100">
        <v>0.66</v>
      </c>
      <c r="Q23" s="100">
        <v>9.32</v>
      </c>
      <c r="R23" s="6"/>
      <c r="S23" s="6"/>
      <c r="T23" s="156"/>
      <c r="U23" s="6"/>
    </row>
    <row r="24" spans="1:21" customFormat="1">
      <c r="A24" s="201" t="s">
        <v>355</v>
      </c>
      <c r="B24" s="100">
        <v>20.95</v>
      </c>
      <c r="C24" s="100">
        <v>8.2100000000000009</v>
      </c>
      <c r="D24" s="100">
        <v>21.09</v>
      </c>
      <c r="E24" s="100">
        <v>6.95</v>
      </c>
      <c r="F24" s="100">
        <v>2</v>
      </c>
      <c r="G24" s="100">
        <v>108.61</v>
      </c>
      <c r="H24" s="100">
        <v>50.42</v>
      </c>
      <c r="I24" s="100">
        <v>7.48</v>
      </c>
      <c r="J24" s="100">
        <v>7.0000000000000007E-2</v>
      </c>
      <c r="K24" s="100">
        <v>203.63</v>
      </c>
      <c r="L24" s="100">
        <v>17.41</v>
      </c>
      <c r="M24" s="100">
        <v>25.83</v>
      </c>
      <c r="N24" s="100">
        <v>2.2000000000000002</v>
      </c>
      <c r="O24" s="100">
        <v>0</v>
      </c>
      <c r="P24" s="100">
        <v>0.65</v>
      </c>
      <c r="Q24" s="100">
        <v>9.32</v>
      </c>
      <c r="R24" s="6"/>
      <c r="S24" s="6"/>
      <c r="T24" s="156"/>
      <c r="U24" s="6"/>
    </row>
    <row r="25" spans="1:21" customFormat="1">
      <c r="A25" s="201" t="s">
        <v>356</v>
      </c>
      <c r="B25" s="100">
        <v>20.93</v>
      </c>
      <c r="C25" s="100">
        <v>8.2200000000000006</v>
      </c>
      <c r="D25" s="100">
        <v>21.08</v>
      </c>
      <c r="E25" s="100">
        <v>6.98</v>
      </c>
      <c r="F25" s="100">
        <v>2</v>
      </c>
      <c r="G25" s="100">
        <v>108.61</v>
      </c>
      <c r="H25" s="100">
        <v>50.42</v>
      </c>
      <c r="I25" s="100">
        <v>7.54</v>
      </c>
      <c r="J25" s="100">
        <v>0.13</v>
      </c>
      <c r="K25" s="100">
        <v>222.65</v>
      </c>
      <c r="L25" s="100">
        <v>19.920000000000002</v>
      </c>
      <c r="M25" s="100">
        <v>32.090000000000003</v>
      </c>
      <c r="N25" s="100">
        <v>2.1</v>
      </c>
      <c r="O25" s="100">
        <v>0</v>
      </c>
      <c r="P25" s="100">
        <v>0.65</v>
      </c>
      <c r="Q25" s="100">
        <v>9.32</v>
      </c>
      <c r="R25" s="6"/>
      <c r="S25" s="6"/>
      <c r="T25" s="156"/>
      <c r="U25" s="6"/>
    </row>
    <row r="26" spans="1:21" customFormat="1">
      <c r="A26" s="201" t="s">
        <v>357</v>
      </c>
      <c r="B26" s="100">
        <v>20.99</v>
      </c>
      <c r="C26" s="100">
        <v>8.1</v>
      </c>
      <c r="D26" s="100">
        <v>21.06</v>
      </c>
      <c r="E26" s="100">
        <v>6.83</v>
      </c>
      <c r="F26" s="100">
        <v>2</v>
      </c>
      <c r="G26" s="100">
        <v>108.61</v>
      </c>
      <c r="H26" s="100">
        <v>50.42</v>
      </c>
      <c r="I26" s="100">
        <v>7.59</v>
      </c>
      <c r="J26" s="100">
        <v>0.11</v>
      </c>
      <c r="K26" s="100">
        <v>198.29</v>
      </c>
      <c r="L26" s="100">
        <v>18.350000000000001</v>
      </c>
      <c r="M26" s="100">
        <v>28.22</v>
      </c>
      <c r="N26" s="100">
        <v>2.1</v>
      </c>
      <c r="O26" s="100">
        <v>0</v>
      </c>
      <c r="P26" s="100">
        <v>0.61</v>
      </c>
      <c r="Q26" s="100">
        <v>9.32</v>
      </c>
      <c r="R26" s="6"/>
      <c r="S26" s="6"/>
      <c r="T26" s="156"/>
      <c r="U26" s="6"/>
    </row>
    <row r="27" spans="1:21" customFormat="1">
      <c r="A27" s="201" t="s">
        <v>358</v>
      </c>
      <c r="B27" s="100">
        <v>21.15</v>
      </c>
      <c r="C27" s="100">
        <v>8.1199999999999992</v>
      </c>
      <c r="D27" s="100">
        <v>21.2</v>
      </c>
      <c r="E27" s="100">
        <v>6.82</v>
      </c>
      <c r="F27" s="100">
        <v>2</v>
      </c>
      <c r="G27" s="100">
        <v>95.25</v>
      </c>
      <c r="H27" s="100">
        <v>45.16</v>
      </c>
      <c r="I27" s="100">
        <v>7.76</v>
      </c>
      <c r="J27" s="100">
        <v>0.21</v>
      </c>
      <c r="K27" s="100">
        <v>177.56</v>
      </c>
      <c r="L27" s="100">
        <v>17.399999999999999</v>
      </c>
      <c r="M27" s="100">
        <v>25.71</v>
      </c>
      <c r="N27" s="100">
        <v>2.2000000000000002</v>
      </c>
      <c r="O27" s="100">
        <v>0</v>
      </c>
      <c r="P27" s="100">
        <v>0.59</v>
      </c>
      <c r="Q27" s="100">
        <v>9.32</v>
      </c>
      <c r="R27" s="6"/>
      <c r="S27" s="6"/>
      <c r="T27" s="156"/>
      <c r="U27" s="6"/>
    </row>
    <row r="28" spans="1:21" customFormat="1">
      <c r="A28" s="201" t="s">
        <v>359</v>
      </c>
      <c r="B28" s="100">
        <v>20.85</v>
      </c>
      <c r="C28" s="100">
        <v>8.14</v>
      </c>
      <c r="D28" s="100">
        <v>20.97</v>
      </c>
      <c r="E28" s="100">
        <v>6.88</v>
      </c>
      <c r="F28" s="100">
        <v>2</v>
      </c>
      <c r="G28" s="100">
        <v>90.12</v>
      </c>
      <c r="H28" s="100">
        <v>45</v>
      </c>
      <c r="I28" s="100">
        <v>7.88</v>
      </c>
      <c r="J28" s="100">
        <v>0.24</v>
      </c>
      <c r="K28" s="100">
        <v>156.02000000000001</v>
      </c>
      <c r="L28" s="100">
        <v>14.56</v>
      </c>
      <c r="M28" s="100">
        <v>18.46</v>
      </c>
      <c r="N28" s="100">
        <v>2.1</v>
      </c>
      <c r="O28" s="100">
        <v>0</v>
      </c>
      <c r="P28" s="100">
        <v>0.59</v>
      </c>
      <c r="Q28" s="100">
        <v>9.32</v>
      </c>
      <c r="R28" s="6"/>
      <c r="S28" s="6"/>
      <c r="T28" s="156"/>
      <c r="U28" s="6"/>
    </row>
    <row r="29" spans="1:21" customFormat="1">
      <c r="A29" s="201" t="s">
        <v>360</v>
      </c>
      <c r="B29" s="100">
        <v>20.51</v>
      </c>
      <c r="C29" s="100">
        <v>8.07</v>
      </c>
      <c r="D29" s="100">
        <v>20.66</v>
      </c>
      <c r="E29" s="100">
        <v>6.8</v>
      </c>
      <c r="F29" s="100">
        <v>2</v>
      </c>
      <c r="G29" s="100">
        <v>90.12</v>
      </c>
      <c r="H29" s="100">
        <v>45</v>
      </c>
      <c r="I29" s="100">
        <v>7.86</v>
      </c>
      <c r="J29" s="100">
        <v>0.02</v>
      </c>
      <c r="K29" s="100">
        <v>183.88</v>
      </c>
      <c r="L29" s="100">
        <v>14.19</v>
      </c>
      <c r="M29" s="100">
        <v>17.48</v>
      </c>
      <c r="N29" s="100">
        <v>2.2000000000000002</v>
      </c>
      <c r="O29" s="100">
        <v>0</v>
      </c>
      <c r="P29" s="100">
        <v>0.57999999999999996</v>
      </c>
      <c r="Q29" s="100">
        <v>9.32</v>
      </c>
      <c r="R29" s="6"/>
      <c r="S29" s="6"/>
      <c r="T29" s="156"/>
      <c r="U29" s="6"/>
    </row>
    <row r="30" spans="1:21" customFormat="1">
      <c r="A30" s="201" t="s">
        <v>361</v>
      </c>
      <c r="B30" s="100">
        <v>20.05</v>
      </c>
      <c r="C30" s="100">
        <v>7.98</v>
      </c>
      <c r="D30" s="100">
        <v>20.25</v>
      </c>
      <c r="E30" s="100">
        <v>6.73</v>
      </c>
      <c r="F30" s="100">
        <v>2</v>
      </c>
      <c r="G30" s="100">
        <v>90.12</v>
      </c>
      <c r="H30" s="100">
        <v>45</v>
      </c>
      <c r="I30" s="100">
        <v>7.86</v>
      </c>
      <c r="J30" s="100">
        <v>0.05</v>
      </c>
      <c r="K30" s="100">
        <v>182.79</v>
      </c>
      <c r="L30" s="100">
        <v>16.59</v>
      </c>
      <c r="M30" s="100">
        <v>23.6</v>
      </c>
      <c r="N30" s="100">
        <v>2.1</v>
      </c>
      <c r="O30" s="100">
        <v>0</v>
      </c>
      <c r="P30" s="100">
        <v>0.57999999999999996</v>
      </c>
      <c r="Q30" s="100">
        <v>9.32</v>
      </c>
      <c r="R30" s="6"/>
      <c r="S30" s="6"/>
      <c r="T30" s="156"/>
      <c r="U30" s="6"/>
    </row>
    <row r="31" spans="1:21" customFormat="1">
      <c r="A31" s="201" t="s">
        <v>362</v>
      </c>
      <c r="B31" s="100">
        <v>19.61</v>
      </c>
      <c r="C31" s="100">
        <v>7.9</v>
      </c>
      <c r="D31" s="100">
        <v>19.850000000000001</v>
      </c>
      <c r="E31" s="100">
        <v>6.86</v>
      </c>
      <c r="F31" s="100">
        <v>2</v>
      </c>
      <c r="G31" s="100">
        <v>87.17</v>
      </c>
      <c r="H31" s="100">
        <v>41.57</v>
      </c>
      <c r="I31" s="100">
        <v>7.88</v>
      </c>
      <c r="J31" s="100">
        <v>0.04</v>
      </c>
      <c r="K31" s="100">
        <v>202.56</v>
      </c>
      <c r="L31" s="100">
        <v>18.98</v>
      </c>
      <c r="M31" s="100">
        <v>29.48</v>
      </c>
      <c r="N31" s="100">
        <v>2.1</v>
      </c>
      <c r="O31" s="100">
        <v>0</v>
      </c>
      <c r="P31" s="100">
        <v>0.56999999999999995</v>
      </c>
      <c r="Q31" s="100">
        <v>9.32</v>
      </c>
      <c r="R31" s="6"/>
      <c r="S31" s="6"/>
      <c r="T31" s="156"/>
      <c r="U31" s="6"/>
    </row>
    <row r="32" spans="1:21" customFormat="1">
      <c r="A32" s="201" t="s">
        <v>363</v>
      </c>
      <c r="B32" s="100">
        <v>19.14</v>
      </c>
      <c r="C32" s="100">
        <v>7.8</v>
      </c>
      <c r="D32" s="100">
        <v>19.43</v>
      </c>
      <c r="E32" s="100">
        <v>7.09</v>
      </c>
      <c r="F32" s="100">
        <v>2</v>
      </c>
      <c r="G32" s="100">
        <v>86.1</v>
      </c>
      <c r="H32" s="100">
        <v>41.47</v>
      </c>
      <c r="I32" s="100">
        <v>7.89</v>
      </c>
      <c r="J32" s="100">
        <v>0.06</v>
      </c>
      <c r="K32" s="100">
        <v>189.58</v>
      </c>
      <c r="L32" s="100">
        <v>18.97</v>
      </c>
      <c r="M32" s="100">
        <v>29.47</v>
      </c>
      <c r="N32" s="100">
        <v>2.2999999999999998</v>
      </c>
      <c r="O32" s="100">
        <v>0</v>
      </c>
      <c r="P32" s="100">
        <v>0.56999999999999995</v>
      </c>
      <c r="Q32" s="100">
        <v>9.32</v>
      </c>
      <c r="R32" s="6"/>
      <c r="S32" s="6"/>
      <c r="T32" s="156"/>
      <c r="U32" s="6"/>
    </row>
    <row r="33" spans="1:21" customFormat="1">
      <c r="A33" s="201" t="s">
        <v>364</v>
      </c>
      <c r="B33" s="100">
        <v>18.739999999999998</v>
      </c>
      <c r="C33" s="100">
        <v>7.6</v>
      </c>
      <c r="D33" s="100">
        <v>19</v>
      </c>
      <c r="E33" s="100">
        <v>7.13</v>
      </c>
      <c r="F33" s="100">
        <v>2</v>
      </c>
      <c r="G33" s="100">
        <v>86.1</v>
      </c>
      <c r="H33" s="100">
        <v>41.47</v>
      </c>
      <c r="I33" s="100">
        <v>7.88</v>
      </c>
      <c r="J33" s="100">
        <v>0.1</v>
      </c>
      <c r="K33" s="100">
        <v>151.75</v>
      </c>
      <c r="L33" s="100">
        <v>15.02</v>
      </c>
      <c r="M33" s="100">
        <v>19.59</v>
      </c>
      <c r="N33" s="100">
        <v>4.5</v>
      </c>
      <c r="O33" s="100">
        <v>0</v>
      </c>
      <c r="P33" s="100">
        <v>0.56000000000000005</v>
      </c>
      <c r="Q33" s="100">
        <v>9.32</v>
      </c>
      <c r="R33" s="6"/>
      <c r="S33" s="6"/>
      <c r="T33" s="156"/>
      <c r="U33" s="6"/>
    </row>
    <row r="34" spans="1:21" customFormat="1">
      <c r="A34" s="201" t="s">
        <v>365</v>
      </c>
      <c r="B34" s="100">
        <v>18.23</v>
      </c>
      <c r="C34" s="100">
        <v>7.58</v>
      </c>
      <c r="D34" s="100">
        <v>18.579999999999998</v>
      </c>
      <c r="E34" s="100">
        <v>6.85</v>
      </c>
      <c r="F34" s="100">
        <v>2</v>
      </c>
      <c r="G34" s="100">
        <v>86.1</v>
      </c>
      <c r="H34" s="100">
        <v>41.47</v>
      </c>
      <c r="I34" s="100">
        <v>7.89</v>
      </c>
      <c r="J34" s="100">
        <v>0.09</v>
      </c>
      <c r="K34" s="100">
        <v>165.44</v>
      </c>
      <c r="L34" s="100">
        <v>16.940000000000001</v>
      </c>
      <c r="M34" s="100">
        <v>24.19</v>
      </c>
      <c r="N34" s="100">
        <v>10.8</v>
      </c>
      <c r="O34" s="100">
        <v>0</v>
      </c>
      <c r="P34" s="100">
        <v>0.56000000000000005</v>
      </c>
      <c r="Q34" s="100">
        <v>9.32</v>
      </c>
      <c r="R34" s="6"/>
      <c r="S34" s="6"/>
      <c r="T34" s="156"/>
      <c r="U34" s="6"/>
    </row>
    <row r="35" spans="1:21" customFormat="1">
      <c r="A35" s="201" t="s">
        <v>366</v>
      </c>
      <c r="B35" s="100">
        <v>18.399999999999999</v>
      </c>
      <c r="C35" s="100">
        <v>7.77</v>
      </c>
      <c r="D35" s="100">
        <v>18.809999999999999</v>
      </c>
      <c r="E35" s="100">
        <v>6.97</v>
      </c>
      <c r="F35" s="100">
        <v>2</v>
      </c>
      <c r="G35" s="100">
        <v>74.98</v>
      </c>
      <c r="H35" s="100">
        <v>37.799999999999997</v>
      </c>
      <c r="I35" s="100">
        <v>7.9</v>
      </c>
      <c r="J35" s="100">
        <v>0.13</v>
      </c>
      <c r="K35" s="100">
        <v>99.01</v>
      </c>
      <c r="L35" s="100">
        <v>12</v>
      </c>
      <c r="M35" s="100">
        <v>11.63</v>
      </c>
      <c r="N35" s="100">
        <v>17.8</v>
      </c>
      <c r="O35" s="100">
        <v>0</v>
      </c>
      <c r="P35" s="100">
        <v>0.56000000000000005</v>
      </c>
      <c r="Q35" s="100">
        <v>9.32</v>
      </c>
      <c r="R35" s="6"/>
      <c r="S35" s="6"/>
      <c r="T35" s="156"/>
      <c r="U35" s="6"/>
    </row>
    <row r="36" spans="1:21" customFormat="1">
      <c r="A36" s="201" t="s">
        <v>367</v>
      </c>
      <c r="B36" s="100">
        <v>19.88</v>
      </c>
      <c r="C36" s="100">
        <v>8.2899999999999991</v>
      </c>
      <c r="D36" s="100">
        <v>20.27</v>
      </c>
      <c r="E36" s="100">
        <v>7.03</v>
      </c>
      <c r="F36" s="100">
        <v>2</v>
      </c>
      <c r="G36" s="100">
        <v>70.94</v>
      </c>
      <c r="H36" s="100">
        <v>37.74</v>
      </c>
      <c r="I36" s="100">
        <v>7.91</v>
      </c>
      <c r="J36" s="100">
        <v>0.18</v>
      </c>
      <c r="K36" s="100">
        <v>58.64</v>
      </c>
      <c r="L36" s="100">
        <v>9.73</v>
      </c>
      <c r="M36" s="100">
        <v>5.59</v>
      </c>
      <c r="N36" s="100">
        <v>29.9</v>
      </c>
      <c r="O36" s="100">
        <v>0</v>
      </c>
      <c r="P36" s="100">
        <v>0.56999999999999995</v>
      </c>
      <c r="Q36" s="100">
        <v>9.32</v>
      </c>
      <c r="R36" s="6"/>
      <c r="S36" s="6"/>
      <c r="T36" s="156"/>
      <c r="U36" s="6"/>
    </row>
    <row r="37" spans="1:21" customFormat="1">
      <c r="A37" s="201" t="s">
        <v>368</v>
      </c>
      <c r="B37" s="100">
        <v>19.82</v>
      </c>
      <c r="C37" s="100">
        <v>8.19</v>
      </c>
      <c r="D37" s="100">
        <v>20.170000000000002</v>
      </c>
      <c r="E37" s="100">
        <v>6.91</v>
      </c>
      <c r="F37" s="100">
        <v>2</v>
      </c>
      <c r="G37" s="100">
        <v>70.94</v>
      </c>
      <c r="H37" s="100">
        <v>37.74</v>
      </c>
      <c r="I37" s="100">
        <v>7.98</v>
      </c>
      <c r="J37" s="100">
        <v>0.06</v>
      </c>
      <c r="K37" s="100">
        <v>149.1</v>
      </c>
      <c r="L37" s="100">
        <v>16.54</v>
      </c>
      <c r="M37" s="100">
        <v>22.36</v>
      </c>
      <c r="N37" s="100">
        <v>48.7</v>
      </c>
      <c r="O37" s="100">
        <v>0</v>
      </c>
      <c r="P37" s="100">
        <v>0.56999999999999995</v>
      </c>
      <c r="Q37" s="100">
        <v>9.32</v>
      </c>
      <c r="R37" s="6"/>
      <c r="S37" s="6"/>
      <c r="T37" s="156"/>
      <c r="U37" s="6"/>
    </row>
    <row r="38" spans="1:21" customFormat="1">
      <c r="A38" s="201" t="s">
        <v>369</v>
      </c>
      <c r="B38" s="100">
        <v>19.47</v>
      </c>
      <c r="C38" s="100">
        <v>8.1300000000000008</v>
      </c>
      <c r="D38" s="100">
        <v>19.86</v>
      </c>
      <c r="E38" s="100">
        <v>7</v>
      </c>
      <c r="F38" s="100">
        <v>2</v>
      </c>
      <c r="G38" s="100">
        <v>70.94</v>
      </c>
      <c r="H38" s="100">
        <v>37.74</v>
      </c>
      <c r="I38" s="100">
        <v>8.09</v>
      </c>
      <c r="J38" s="100">
        <v>0.09</v>
      </c>
      <c r="K38" s="100">
        <v>298.25</v>
      </c>
      <c r="L38" s="100">
        <v>23.14</v>
      </c>
      <c r="M38" s="100">
        <v>38.35</v>
      </c>
      <c r="N38" s="100">
        <v>62.8</v>
      </c>
      <c r="O38" s="100">
        <v>0</v>
      </c>
      <c r="P38" s="100">
        <v>0.56000000000000005</v>
      </c>
      <c r="Q38" s="100">
        <v>9.32</v>
      </c>
      <c r="R38" s="6"/>
      <c r="S38" s="6"/>
      <c r="T38" s="156"/>
      <c r="U38" s="6"/>
    </row>
    <row r="39" spans="1:21" customFormat="1">
      <c r="A39" s="201" t="s">
        <v>370</v>
      </c>
      <c r="B39" s="100">
        <v>19.12</v>
      </c>
      <c r="C39" s="100">
        <v>8.16</v>
      </c>
      <c r="D39" s="100">
        <v>19.59</v>
      </c>
      <c r="E39" s="100">
        <v>6.93</v>
      </c>
      <c r="F39" s="100">
        <v>2</v>
      </c>
      <c r="G39" s="100">
        <v>76.040000000000006</v>
      </c>
      <c r="H39" s="100">
        <v>37.58</v>
      </c>
      <c r="I39" s="100">
        <v>8.19</v>
      </c>
      <c r="J39" s="100">
        <v>0.28999999999999998</v>
      </c>
      <c r="K39" s="100">
        <v>23.97</v>
      </c>
      <c r="L39" s="100">
        <v>12.48</v>
      </c>
      <c r="M39" s="100">
        <v>10.25</v>
      </c>
      <c r="N39" s="100">
        <v>116.8</v>
      </c>
      <c r="O39" s="100">
        <v>0</v>
      </c>
      <c r="P39" s="100">
        <v>0.56000000000000005</v>
      </c>
      <c r="Q39" s="100">
        <v>9.32</v>
      </c>
      <c r="R39" s="6"/>
      <c r="S39" s="6"/>
      <c r="T39" s="156"/>
      <c r="U39" s="6"/>
    </row>
    <row r="40" spans="1:21" customFormat="1">
      <c r="A40" s="201" t="s">
        <v>371</v>
      </c>
      <c r="B40" s="100">
        <v>18.68</v>
      </c>
      <c r="C40" s="100">
        <v>8.2200000000000006</v>
      </c>
      <c r="D40" s="100">
        <v>19.27</v>
      </c>
      <c r="E40" s="100">
        <v>7.05</v>
      </c>
      <c r="F40" s="100">
        <v>2</v>
      </c>
      <c r="G40" s="100">
        <v>78</v>
      </c>
      <c r="H40" s="100">
        <v>37.57</v>
      </c>
      <c r="I40" s="100">
        <v>8.23</v>
      </c>
      <c r="J40" s="100">
        <v>0.28999999999999998</v>
      </c>
      <c r="K40" s="100">
        <v>34.82</v>
      </c>
      <c r="L40" s="100">
        <v>14.3</v>
      </c>
      <c r="M40" s="100">
        <v>13.56</v>
      </c>
      <c r="N40" s="100">
        <v>202.6</v>
      </c>
      <c r="O40" s="100">
        <v>0</v>
      </c>
      <c r="P40" s="100">
        <v>0.56000000000000005</v>
      </c>
      <c r="Q40" s="100">
        <v>9.32</v>
      </c>
      <c r="R40" s="6"/>
      <c r="S40" s="6"/>
      <c r="T40" s="156"/>
      <c r="U40" s="6"/>
    </row>
    <row r="41" spans="1:21" customFormat="1">
      <c r="A41" s="201" t="s">
        <v>372</v>
      </c>
      <c r="B41" s="100">
        <v>18.239999999999998</v>
      </c>
      <c r="C41" s="100">
        <v>8.26</v>
      </c>
      <c r="D41" s="100">
        <v>18.95</v>
      </c>
      <c r="E41" s="100">
        <v>7.47</v>
      </c>
      <c r="F41" s="100">
        <v>2</v>
      </c>
      <c r="G41" s="100">
        <v>78</v>
      </c>
      <c r="H41" s="100">
        <v>37.57</v>
      </c>
      <c r="I41" s="100">
        <v>8.2100000000000009</v>
      </c>
      <c r="J41" s="100">
        <v>0.22</v>
      </c>
      <c r="K41" s="100">
        <v>51.4</v>
      </c>
      <c r="L41" s="100">
        <v>14.43</v>
      </c>
      <c r="M41" s="100">
        <v>13.34</v>
      </c>
      <c r="N41" s="100">
        <v>200.2</v>
      </c>
      <c r="O41" s="100">
        <v>0</v>
      </c>
      <c r="P41" s="100">
        <v>0.56999999999999995</v>
      </c>
      <c r="Q41" s="100">
        <v>9.32</v>
      </c>
      <c r="R41" s="6"/>
      <c r="S41" s="6"/>
      <c r="T41" s="156"/>
      <c r="U41" s="6"/>
    </row>
    <row r="42" spans="1:21" customFormat="1">
      <c r="A42" s="201" t="s">
        <v>373</v>
      </c>
      <c r="B42" s="100">
        <v>17.7</v>
      </c>
      <c r="C42" s="100">
        <v>8.4</v>
      </c>
      <c r="D42" s="100">
        <v>18.59</v>
      </c>
      <c r="E42" s="100">
        <v>8.07</v>
      </c>
      <c r="F42" s="100">
        <v>2</v>
      </c>
      <c r="G42" s="100">
        <v>78</v>
      </c>
      <c r="H42" s="100">
        <v>37.57</v>
      </c>
      <c r="I42" s="100">
        <v>8.23</v>
      </c>
      <c r="J42" s="100">
        <v>0.19</v>
      </c>
      <c r="K42" s="100">
        <v>27.8</v>
      </c>
      <c r="L42" s="100">
        <v>14.58</v>
      </c>
      <c r="M42" s="100">
        <v>14.49</v>
      </c>
      <c r="N42" s="100">
        <v>165.4</v>
      </c>
      <c r="O42" s="100">
        <v>0</v>
      </c>
      <c r="P42" s="100">
        <v>0.56999999999999995</v>
      </c>
      <c r="Q42" s="100">
        <v>9.32</v>
      </c>
      <c r="R42" s="6"/>
      <c r="S42" s="6"/>
      <c r="T42" s="156"/>
      <c r="U42" s="6"/>
    </row>
    <row r="43" spans="1:21" customFormat="1">
      <c r="A43" s="201" t="s">
        <v>374</v>
      </c>
      <c r="B43" s="100">
        <v>16.97</v>
      </c>
      <c r="C43" s="100">
        <v>8.69</v>
      </c>
      <c r="D43" s="100">
        <v>18.149999999999999</v>
      </c>
      <c r="E43" s="100">
        <v>8.0500000000000007</v>
      </c>
      <c r="F43" s="100">
        <v>2</v>
      </c>
      <c r="G43" s="100">
        <v>77.010000000000005</v>
      </c>
      <c r="H43" s="100">
        <v>35.82</v>
      </c>
      <c r="I43" s="100">
        <v>8.42</v>
      </c>
      <c r="J43" s="100">
        <v>0.23</v>
      </c>
      <c r="K43" s="100">
        <v>74.08</v>
      </c>
      <c r="L43" s="100">
        <v>10.31</v>
      </c>
      <c r="M43" s="100">
        <v>4.38</v>
      </c>
      <c r="N43" s="100">
        <v>142.30000000000001</v>
      </c>
      <c r="O43" s="100">
        <v>0</v>
      </c>
      <c r="P43" s="100">
        <v>0.56000000000000005</v>
      </c>
      <c r="Q43" s="100">
        <v>9.32</v>
      </c>
      <c r="R43" s="6"/>
      <c r="S43" s="6"/>
      <c r="T43" s="156"/>
      <c r="U43" s="6"/>
    </row>
    <row r="44" spans="1:21" customFormat="1">
      <c r="A44" s="201" t="s">
        <v>375</v>
      </c>
      <c r="B44" s="100">
        <v>16.23</v>
      </c>
      <c r="C44" s="100">
        <v>8.19</v>
      </c>
      <c r="D44" s="100">
        <v>17.3</v>
      </c>
      <c r="E44" s="100">
        <v>8</v>
      </c>
      <c r="F44" s="100">
        <v>2</v>
      </c>
      <c r="G44" s="100">
        <v>76.650000000000006</v>
      </c>
      <c r="H44" s="100">
        <v>35.79</v>
      </c>
      <c r="I44" s="100">
        <v>8.5399999999999991</v>
      </c>
      <c r="J44" s="100">
        <v>0.25</v>
      </c>
      <c r="K44" s="100">
        <v>71.52</v>
      </c>
      <c r="L44" s="100">
        <v>11.72</v>
      </c>
      <c r="M44" s="100">
        <v>5.48</v>
      </c>
      <c r="N44" s="100">
        <v>246</v>
      </c>
      <c r="O44" s="100">
        <v>0</v>
      </c>
      <c r="P44" s="100">
        <v>0.55000000000000004</v>
      </c>
      <c r="Q44" s="100">
        <v>9.32</v>
      </c>
      <c r="R44" s="6"/>
      <c r="S44" s="6"/>
      <c r="T44" s="156"/>
      <c r="U44" s="6"/>
    </row>
    <row r="45" spans="1:21" customFormat="1">
      <c r="A45" s="201" t="s">
        <v>376</v>
      </c>
      <c r="B45" s="100">
        <v>15.49</v>
      </c>
      <c r="C45" s="100">
        <v>8.06</v>
      </c>
      <c r="D45" s="100">
        <v>16.64</v>
      </c>
      <c r="E45" s="100">
        <v>7.71</v>
      </c>
      <c r="F45" s="100">
        <v>2</v>
      </c>
      <c r="G45" s="100">
        <v>76.650000000000006</v>
      </c>
      <c r="H45" s="100">
        <v>35.79</v>
      </c>
      <c r="I45" s="100">
        <v>8.41</v>
      </c>
      <c r="J45" s="100">
        <v>0.22</v>
      </c>
      <c r="K45" s="100">
        <v>140.47999999999999</v>
      </c>
      <c r="L45" s="100">
        <v>16.66</v>
      </c>
      <c r="M45" s="100">
        <v>18.5</v>
      </c>
      <c r="N45" s="100">
        <v>223.3</v>
      </c>
      <c r="O45" s="100">
        <v>0</v>
      </c>
      <c r="P45" s="100">
        <v>0.53</v>
      </c>
      <c r="Q45" s="100">
        <v>9.32</v>
      </c>
      <c r="R45" s="6"/>
      <c r="S45" s="6"/>
      <c r="T45" s="156"/>
      <c r="U45" s="6"/>
    </row>
    <row r="46" spans="1:21" customFormat="1">
      <c r="A46" s="201" t="s">
        <v>377</v>
      </c>
      <c r="B46" s="100">
        <v>15.44</v>
      </c>
      <c r="C46" s="100">
        <v>7.91</v>
      </c>
      <c r="D46" s="100">
        <v>16.510000000000002</v>
      </c>
      <c r="E46" s="100">
        <v>7.56</v>
      </c>
      <c r="F46" s="100">
        <v>2</v>
      </c>
      <c r="G46" s="100">
        <v>76.650000000000006</v>
      </c>
      <c r="H46" s="100">
        <v>35.79</v>
      </c>
      <c r="I46" s="100">
        <v>8.2100000000000009</v>
      </c>
      <c r="J46" s="100">
        <v>0.25</v>
      </c>
      <c r="K46" s="100">
        <v>71.209999999999994</v>
      </c>
      <c r="L46" s="100">
        <v>14.02</v>
      </c>
      <c r="M46" s="100">
        <v>7.92</v>
      </c>
      <c r="N46" s="100">
        <v>390.4</v>
      </c>
      <c r="O46" s="100">
        <v>0</v>
      </c>
      <c r="P46" s="100">
        <v>0.56999999999999995</v>
      </c>
      <c r="Q46" s="100">
        <v>9.32</v>
      </c>
      <c r="R46" s="6"/>
      <c r="S46" s="6"/>
      <c r="T46" s="156"/>
      <c r="U46" s="6"/>
    </row>
    <row r="47" spans="1:21" customFormat="1">
      <c r="A47" s="201" t="s">
        <v>378</v>
      </c>
      <c r="B47" s="100">
        <v>15.28</v>
      </c>
      <c r="C47" s="100">
        <v>8.09</v>
      </c>
      <c r="D47" s="100">
        <v>16.48</v>
      </c>
      <c r="E47" s="100">
        <v>7.64</v>
      </c>
      <c r="F47" s="100">
        <v>2</v>
      </c>
      <c r="G47" s="100">
        <v>70.47</v>
      </c>
      <c r="H47" s="100">
        <v>28.32</v>
      </c>
      <c r="I47" s="100">
        <v>8.0500000000000007</v>
      </c>
      <c r="J47" s="100">
        <v>0.27</v>
      </c>
      <c r="K47" s="100">
        <v>124.68</v>
      </c>
      <c r="L47" s="100">
        <v>16.82</v>
      </c>
      <c r="M47" s="100">
        <v>16.84</v>
      </c>
      <c r="N47" s="100">
        <v>314.8</v>
      </c>
      <c r="O47" s="100">
        <v>0</v>
      </c>
      <c r="P47" s="100">
        <v>0.59</v>
      </c>
      <c r="Q47" s="100">
        <v>9.32</v>
      </c>
      <c r="R47" s="6"/>
      <c r="S47" s="6"/>
      <c r="T47" s="156"/>
      <c r="U47" s="6"/>
    </row>
    <row r="48" spans="1:21" customFormat="1">
      <c r="A48" s="201" t="s">
        <v>379</v>
      </c>
      <c r="B48" s="100">
        <v>15</v>
      </c>
      <c r="C48" s="100">
        <v>7.84</v>
      </c>
      <c r="D48" s="100">
        <v>16.12</v>
      </c>
      <c r="E48" s="100">
        <v>7.78</v>
      </c>
      <c r="F48" s="100">
        <v>2</v>
      </c>
      <c r="G48" s="100">
        <v>68.09</v>
      </c>
      <c r="H48" s="100">
        <v>28.2</v>
      </c>
      <c r="I48" s="100">
        <v>7.98</v>
      </c>
      <c r="J48" s="100">
        <v>7.0000000000000007E-2</v>
      </c>
      <c r="K48" s="100">
        <v>76.099999999999994</v>
      </c>
      <c r="L48" s="100">
        <v>17.850000000000001</v>
      </c>
      <c r="M48" s="100">
        <v>22.58</v>
      </c>
      <c r="N48" s="100">
        <v>176.3</v>
      </c>
      <c r="O48" s="100">
        <v>0</v>
      </c>
      <c r="P48" s="100">
        <v>0.56999999999999995</v>
      </c>
      <c r="Q48" s="100">
        <v>9.32</v>
      </c>
      <c r="R48" s="6"/>
      <c r="S48" s="6"/>
      <c r="T48" s="156"/>
      <c r="U48" s="6"/>
    </row>
    <row r="49" spans="1:21" customFormat="1">
      <c r="A49" s="201" t="s">
        <v>380</v>
      </c>
      <c r="B49" s="100">
        <v>14.91</v>
      </c>
      <c r="C49" s="100">
        <v>7.89</v>
      </c>
      <c r="D49" s="100">
        <v>16.079999999999998</v>
      </c>
      <c r="E49" s="100">
        <v>5.79</v>
      </c>
      <c r="F49" s="100">
        <v>2</v>
      </c>
      <c r="G49" s="100">
        <v>68.09</v>
      </c>
      <c r="H49" s="100">
        <v>28.2</v>
      </c>
      <c r="I49" s="100">
        <v>7.9</v>
      </c>
      <c r="J49" s="100">
        <v>0.5</v>
      </c>
      <c r="K49" s="100">
        <v>32.6</v>
      </c>
      <c r="L49" s="100">
        <v>10.33</v>
      </c>
      <c r="M49" s="100">
        <v>1.78</v>
      </c>
      <c r="N49" s="100">
        <v>252.6</v>
      </c>
      <c r="O49" s="100">
        <v>0</v>
      </c>
      <c r="P49" s="100">
        <v>0.57999999999999996</v>
      </c>
      <c r="Q49" s="100">
        <v>9.32</v>
      </c>
      <c r="R49" s="6"/>
      <c r="S49" s="6"/>
      <c r="T49" s="156"/>
      <c r="U49" s="6"/>
    </row>
    <row r="50" spans="1:21" customFormat="1">
      <c r="A50" s="201" t="s">
        <v>381</v>
      </c>
      <c r="B50" s="100">
        <v>14.7</v>
      </c>
      <c r="C50" s="100">
        <v>8.14</v>
      </c>
      <c r="D50" s="100">
        <v>16.04</v>
      </c>
      <c r="E50" s="100">
        <v>6.97</v>
      </c>
      <c r="F50" s="100">
        <v>2</v>
      </c>
      <c r="G50" s="100">
        <v>68.09</v>
      </c>
      <c r="H50" s="100">
        <v>28.2</v>
      </c>
      <c r="I50" s="100">
        <v>7.82</v>
      </c>
      <c r="J50" s="100">
        <v>0.18</v>
      </c>
      <c r="K50" s="100">
        <v>344.93</v>
      </c>
      <c r="L50" s="100">
        <v>22.5</v>
      </c>
      <c r="M50" s="100">
        <v>29.3</v>
      </c>
      <c r="N50" s="100">
        <v>385</v>
      </c>
      <c r="O50" s="100">
        <v>0</v>
      </c>
      <c r="P50" s="100">
        <v>0.56999999999999995</v>
      </c>
      <c r="Q50" s="100">
        <v>9.32</v>
      </c>
      <c r="R50" s="6"/>
      <c r="S50" s="6"/>
      <c r="T50" s="156"/>
      <c r="U50" s="6"/>
    </row>
    <row r="51" spans="1:21" customFormat="1">
      <c r="A51" s="201" t="s">
        <v>382</v>
      </c>
      <c r="B51" s="100">
        <v>14.53</v>
      </c>
      <c r="C51" s="100">
        <v>8.1300000000000008</v>
      </c>
      <c r="D51" s="100">
        <v>15.9</v>
      </c>
      <c r="E51" s="100">
        <v>7</v>
      </c>
      <c r="F51" s="100">
        <v>2</v>
      </c>
      <c r="G51" s="100">
        <v>62.18</v>
      </c>
      <c r="H51" s="100">
        <v>24.81</v>
      </c>
      <c r="I51" s="100">
        <v>7.73</v>
      </c>
      <c r="J51" s="100">
        <v>0.2</v>
      </c>
      <c r="K51" s="100">
        <v>312.04000000000002</v>
      </c>
      <c r="L51" s="100">
        <v>23.51</v>
      </c>
      <c r="M51" s="100">
        <v>31.07</v>
      </c>
      <c r="N51" s="100">
        <v>421.6</v>
      </c>
      <c r="O51" s="100">
        <v>0</v>
      </c>
      <c r="P51" s="100">
        <v>0.56000000000000005</v>
      </c>
      <c r="Q51" s="100">
        <v>9.32</v>
      </c>
      <c r="R51" s="6"/>
      <c r="S51" s="6"/>
      <c r="T51" s="156"/>
      <c r="U51" s="6"/>
    </row>
    <row r="52" spans="1:21" customFormat="1">
      <c r="A52" s="201" t="s">
        <v>383</v>
      </c>
      <c r="B52" s="100">
        <v>14.42</v>
      </c>
      <c r="C52" s="100">
        <v>8.24</v>
      </c>
      <c r="D52" s="100">
        <v>15.87</v>
      </c>
      <c r="E52" s="100">
        <v>6.94</v>
      </c>
      <c r="F52" s="100">
        <v>2</v>
      </c>
      <c r="G52" s="100">
        <v>60.03</v>
      </c>
      <c r="H52" s="100">
        <v>24.76</v>
      </c>
      <c r="I52" s="100">
        <v>7.58</v>
      </c>
      <c r="J52" s="100">
        <v>0.33</v>
      </c>
      <c r="K52" s="100">
        <v>320.25</v>
      </c>
      <c r="L52" s="100">
        <v>25.66</v>
      </c>
      <c r="M52" s="100">
        <v>38.93</v>
      </c>
      <c r="N52" s="100">
        <v>313.8</v>
      </c>
      <c r="O52" s="100">
        <v>0</v>
      </c>
      <c r="P52" s="100">
        <v>0.56999999999999995</v>
      </c>
      <c r="Q52" s="100">
        <v>9.32</v>
      </c>
      <c r="R52" s="6"/>
      <c r="S52" s="6"/>
      <c r="T52" s="156"/>
      <c r="U52" s="6"/>
    </row>
    <row r="53" spans="1:21" customFormat="1">
      <c r="A53" s="201" t="s">
        <v>384</v>
      </c>
      <c r="B53" s="100">
        <v>14.25</v>
      </c>
      <c r="C53" s="100">
        <v>8.33</v>
      </c>
      <c r="D53" s="100">
        <v>15.78</v>
      </c>
      <c r="E53" s="100">
        <v>6.66</v>
      </c>
      <c r="F53" s="100">
        <v>2</v>
      </c>
      <c r="G53" s="100">
        <v>60.03</v>
      </c>
      <c r="H53" s="100">
        <v>24.76</v>
      </c>
      <c r="I53" s="100">
        <v>7.54</v>
      </c>
      <c r="J53" s="100">
        <v>0.23</v>
      </c>
      <c r="K53" s="100">
        <v>66.22</v>
      </c>
      <c r="L53" s="100">
        <v>14.18</v>
      </c>
      <c r="M53" s="100">
        <v>9.7100000000000009</v>
      </c>
      <c r="N53" s="100">
        <v>363.9</v>
      </c>
      <c r="O53" s="100">
        <v>0</v>
      </c>
      <c r="P53" s="100">
        <v>0.56000000000000005</v>
      </c>
      <c r="Q53" s="100">
        <v>9.32</v>
      </c>
      <c r="R53" s="6"/>
      <c r="S53" s="6"/>
      <c r="T53" s="156"/>
      <c r="U53" s="6"/>
    </row>
    <row r="54" spans="1:21" customFormat="1">
      <c r="A54" s="201" t="s">
        <v>385</v>
      </c>
      <c r="B54" s="100">
        <v>13.76</v>
      </c>
      <c r="C54" s="100">
        <v>8.16</v>
      </c>
      <c r="D54" s="100">
        <v>15.3</v>
      </c>
      <c r="E54" s="100">
        <v>6.76</v>
      </c>
      <c r="F54" s="100">
        <v>2</v>
      </c>
      <c r="G54" s="100">
        <v>60.03</v>
      </c>
      <c r="H54" s="100">
        <v>24.76</v>
      </c>
      <c r="I54" s="100">
        <v>7.48</v>
      </c>
      <c r="J54" s="100">
        <v>0.35</v>
      </c>
      <c r="K54" s="100">
        <v>52.93</v>
      </c>
      <c r="L54" s="100">
        <v>14.57</v>
      </c>
      <c r="M54" s="100">
        <v>3.09</v>
      </c>
      <c r="N54" s="100">
        <v>654</v>
      </c>
      <c r="O54" s="100">
        <v>0</v>
      </c>
      <c r="P54" s="100">
        <v>0.55000000000000004</v>
      </c>
      <c r="Q54" s="100">
        <v>9.32</v>
      </c>
      <c r="R54" s="6"/>
      <c r="S54" s="6"/>
      <c r="T54" s="156"/>
      <c r="U54" s="6"/>
    </row>
    <row r="55" spans="1:21" customFormat="1">
      <c r="A55" s="201" t="s">
        <v>386</v>
      </c>
      <c r="B55" s="100">
        <v>13.04</v>
      </c>
      <c r="C55" s="100">
        <v>8.01</v>
      </c>
      <c r="D55" s="100">
        <v>14.64</v>
      </c>
      <c r="E55" s="100">
        <v>6.85</v>
      </c>
      <c r="F55" s="100">
        <v>2</v>
      </c>
      <c r="G55" s="100">
        <v>54.53</v>
      </c>
      <c r="H55" s="100">
        <v>16.23</v>
      </c>
      <c r="I55" s="100">
        <v>7.38</v>
      </c>
      <c r="J55" s="100">
        <v>0.21</v>
      </c>
      <c r="K55" s="100">
        <v>15.33</v>
      </c>
      <c r="L55" s="100">
        <v>19.760000000000002</v>
      </c>
      <c r="M55" s="100">
        <v>17.899999999999999</v>
      </c>
      <c r="N55" s="100">
        <v>580.29999999999995</v>
      </c>
      <c r="O55" s="100">
        <v>0</v>
      </c>
      <c r="P55" s="100">
        <v>0.53</v>
      </c>
      <c r="Q55" s="100">
        <v>9.32</v>
      </c>
      <c r="R55" s="6"/>
      <c r="S55" s="6"/>
      <c r="T55" s="156"/>
      <c r="U55" s="6"/>
    </row>
    <row r="56" spans="1:21" customFormat="1">
      <c r="A56" s="201" t="s">
        <v>387</v>
      </c>
      <c r="B56" s="100">
        <v>12.69</v>
      </c>
      <c r="C56" s="100">
        <v>8.14</v>
      </c>
      <c r="D56" s="100">
        <v>14.43</v>
      </c>
      <c r="E56" s="100">
        <v>6.73</v>
      </c>
      <c r="F56" s="100">
        <v>2</v>
      </c>
      <c r="G56" s="100">
        <v>52.54</v>
      </c>
      <c r="H56" s="100">
        <v>16.09</v>
      </c>
      <c r="I56" s="100">
        <v>7.23</v>
      </c>
      <c r="J56" s="100">
        <v>0.1</v>
      </c>
      <c r="K56" s="100">
        <v>70.34</v>
      </c>
      <c r="L56" s="100">
        <v>17.88</v>
      </c>
      <c r="M56" s="100">
        <v>16.239999999999998</v>
      </c>
      <c r="N56" s="100">
        <v>452.2</v>
      </c>
      <c r="O56" s="100">
        <v>0</v>
      </c>
      <c r="P56" s="100">
        <v>0.53</v>
      </c>
      <c r="Q56" s="100">
        <v>9.32</v>
      </c>
      <c r="R56" s="6"/>
      <c r="S56" s="6"/>
      <c r="T56" s="156"/>
      <c r="U56" s="6"/>
    </row>
    <row r="57" spans="1:21" customFormat="1">
      <c r="A57" s="201" t="s">
        <v>388</v>
      </c>
      <c r="B57" s="100">
        <v>12.2</v>
      </c>
      <c r="C57" s="100">
        <v>8.1199999999999992</v>
      </c>
      <c r="D57" s="100">
        <v>14.03</v>
      </c>
      <c r="E57" s="100">
        <v>6.77</v>
      </c>
      <c r="F57" s="100">
        <v>2</v>
      </c>
      <c r="G57" s="100">
        <v>52.54</v>
      </c>
      <c r="H57" s="100">
        <v>16.09</v>
      </c>
      <c r="I57" s="100">
        <v>7.09</v>
      </c>
      <c r="J57" s="100">
        <v>0.08</v>
      </c>
      <c r="K57" s="100">
        <v>173.31</v>
      </c>
      <c r="L57" s="100">
        <v>17.75</v>
      </c>
      <c r="M57" s="100">
        <v>24.07</v>
      </c>
      <c r="N57" s="100">
        <v>110.2</v>
      </c>
      <c r="O57" s="100">
        <v>0</v>
      </c>
      <c r="P57" s="100">
        <v>0.53</v>
      </c>
      <c r="Q57" s="100">
        <v>9.32</v>
      </c>
      <c r="R57" s="6"/>
      <c r="S57" s="6"/>
      <c r="T57" s="156"/>
      <c r="U57" s="6"/>
    </row>
    <row r="58" spans="1:21" customFormat="1">
      <c r="A58" s="201" t="s">
        <v>389</v>
      </c>
      <c r="B58" s="100">
        <v>11.46</v>
      </c>
      <c r="C58" s="100">
        <v>8.2100000000000009</v>
      </c>
      <c r="D58" s="100">
        <v>13.48</v>
      </c>
      <c r="E58" s="100">
        <v>6.71</v>
      </c>
      <c r="F58" s="100">
        <v>2</v>
      </c>
      <c r="G58" s="100">
        <v>52.54</v>
      </c>
      <c r="H58" s="100">
        <v>16.09</v>
      </c>
      <c r="I58" s="100">
        <v>7.09</v>
      </c>
      <c r="J58" s="100">
        <v>0.08</v>
      </c>
      <c r="K58" s="100">
        <v>28.45</v>
      </c>
      <c r="L58" s="100">
        <v>15.04</v>
      </c>
      <c r="M58" s="100">
        <v>18.260000000000002</v>
      </c>
      <c r="N58" s="100">
        <v>59.5</v>
      </c>
      <c r="O58" s="100">
        <v>0</v>
      </c>
      <c r="P58" s="100">
        <v>0.52</v>
      </c>
      <c r="Q58" s="100">
        <v>9.32</v>
      </c>
      <c r="R58" s="6"/>
      <c r="S58" s="6"/>
      <c r="T58" s="156"/>
      <c r="U58" s="6"/>
    </row>
    <row r="59" spans="1:21" customFormat="1">
      <c r="A59" s="201" t="s">
        <v>390</v>
      </c>
      <c r="B59" s="100">
        <v>10.95</v>
      </c>
      <c r="C59" s="100">
        <v>8.67</v>
      </c>
      <c r="D59" s="100">
        <v>13.31</v>
      </c>
      <c r="E59" s="100">
        <v>6.65</v>
      </c>
      <c r="F59" s="100">
        <v>2</v>
      </c>
      <c r="G59" s="100">
        <v>51.19</v>
      </c>
      <c r="H59" s="100">
        <v>21.49</v>
      </c>
      <c r="I59" s="100">
        <v>7.02</v>
      </c>
      <c r="J59" s="100">
        <v>0.19</v>
      </c>
      <c r="K59" s="100">
        <v>334.49</v>
      </c>
      <c r="L59" s="100">
        <v>20.51</v>
      </c>
      <c r="M59" s="100">
        <v>31.94</v>
      </c>
      <c r="N59" s="100">
        <v>59</v>
      </c>
      <c r="O59" s="100">
        <v>0</v>
      </c>
      <c r="P59" s="100">
        <v>0.52</v>
      </c>
      <c r="Q59" s="100">
        <v>9.32</v>
      </c>
      <c r="R59" s="6"/>
      <c r="S59" s="6"/>
      <c r="T59" s="156"/>
      <c r="U59" s="6"/>
    </row>
    <row r="60" spans="1:21" customFormat="1">
      <c r="A60" s="201" t="s">
        <v>391</v>
      </c>
      <c r="B60" s="100">
        <v>10.1</v>
      </c>
      <c r="C60" s="100">
        <v>9.0500000000000007</v>
      </c>
      <c r="D60" s="100">
        <v>12.83</v>
      </c>
      <c r="E60" s="100">
        <v>7.6</v>
      </c>
      <c r="F60" s="100">
        <v>2.06</v>
      </c>
      <c r="G60" s="100">
        <v>50.7</v>
      </c>
      <c r="H60" s="100">
        <v>21.58</v>
      </c>
      <c r="I60" s="100">
        <v>6.9</v>
      </c>
      <c r="J60" s="100">
        <v>0.33</v>
      </c>
      <c r="K60" s="100">
        <v>49.62</v>
      </c>
      <c r="L60" s="100">
        <v>13.14</v>
      </c>
      <c r="M60" s="100">
        <v>10.98</v>
      </c>
      <c r="N60" s="100">
        <v>166</v>
      </c>
      <c r="O60" s="100">
        <v>0</v>
      </c>
      <c r="P60" s="100">
        <v>0.51</v>
      </c>
      <c r="Q60" s="100">
        <v>9.32</v>
      </c>
      <c r="R60" s="6"/>
      <c r="S60" s="6"/>
      <c r="T60" s="156"/>
      <c r="U60" s="6"/>
    </row>
    <row r="61" spans="1:21" customFormat="1">
      <c r="A61" s="201" t="s">
        <v>392</v>
      </c>
      <c r="B61" s="100">
        <v>9.7100000000000009</v>
      </c>
      <c r="C61" s="100">
        <v>8.76</v>
      </c>
      <c r="D61" s="100">
        <v>12.36</v>
      </c>
      <c r="E61" s="100">
        <v>7.53</v>
      </c>
      <c r="F61" s="100">
        <v>2.06</v>
      </c>
      <c r="G61" s="100">
        <v>50.7</v>
      </c>
      <c r="H61" s="100">
        <v>21.58</v>
      </c>
      <c r="I61" s="100">
        <v>6.8</v>
      </c>
      <c r="J61" s="100">
        <v>0.43</v>
      </c>
      <c r="K61" s="100">
        <v>51.76</v>
      </c>
      <c r="L61" s="100">
        <v>10.58</v>
      </c>
      <c r="M61" s="100">
        <v>5.05</v>
      </c>
      <c r="N61" s="100">
        <v>146.9</v>
      </c>
      <c r="O61" s="100">
        <v>0</v>
      </c>
      <c r="P61" s="100">
        <v>0.51</v>
      </c>
      <c r="Q61" s="100">
        <v>9.32</v>
      </c>
      <c r="R61" s="6"/>
      <c r="S61" s="6"/>
      <c r="T61" s="156"/>
      <c r="U61" s="6"/>
    </row>
    <row r="62" spans="1:21" customFormat="1">
      <c r="A62" s="201" t="s">
        <v>393</v>
      </c>
      <c r="B62" s="100">
        <v>9.0500000000000007</v>
      </c>
      <c r="C62" s="100">
        <v>9.0399999999999991</v>
      </c>
      <c r="D62" s="100">
        <v>11.98</v>
      </c>
      <c r="E62" s="100">
        <v>7.83</v>
      </c>
      <c r="F62" s="100">
        <v>2.29</v>
      </c>
      <c r="G62" s="100">
        <v>50.7</v>
      </c>
      <c r="H62" s="100">
        <v>21.58</v>
      </c>
      <c r="I62" s="100">
        <v>6.73</v>
      </c>
      <c r="J62" s="100">
        <v>0.25</v>
      </c>
      <c r="K62" s="100">
        <v>28.82</v>
      </c>
      <c r="L62" s="100">
        <v>13.51</v>
      </c>
      <c r="M62" s="100">
        <v>14.22</v>
      </c>
      <c r="N62" s="100">
        <v>62.8</v>
      </c>
      <c r="O62" s="100">
        <v>0</v>
      </c>
      <c r="P62" s="100">
        <v>0.52</v>
      </c>
      <c r="Q62" s="100">
        <v>9.32</v>
      </c>
      <c r="R62" s="6"/>
      <c r="S62" s="6"/>
      <c r="T62" s="156"/>
      <c r="U62" s="6"/>
    </row>
    <row r="63" spans="1:21" customFormat="1">
      <c r="A63" s="201" t="s">
        <v>394</v>
      </c>
      <c r="B63" s="100">
        <v>8.4499999999999993</v>
      </c>
      <c r="C63" s="100">
        <v>10.91</v>
      </c>
      <c r="D63" s="100">
        <v>12.48</v>
      </c>
      <c r="E63" s="100">
        <v>8.74</v>
      </c>
      <c r="F63" s="100">
        <v>5.33</v>
      </c>
      <c r="G63" s="100">
        <v>50.43</v>
      </c>
      <c r="H63" s="100">
        <v>20.38</v>
      </c>
      <c r="I63" s="100">
        <v>6.8</v>
      </c>
      <c r="J63" s="100">
        <v>0.37</v>
      </c>
      <c r="K63" s="100">
        <v>30.88</v>
      </c>
      <c r="L63" s="100">
        <v>12.88</v>
      </c>
      <c r="M63" s="100">
        <v>11.97</v>
      </c>
      <c r="N63" s="100">
        <v>92.6</v>
      </c>
      <c r="O63" s="100">
        <v>0</v>
      </c>
      <c r="P63" s="100">
        <v>0.54</v>
      </c>
      <c r="Q63" s="100">
        <v>9.32</v>
      </c>
      <c r="R63" s="6"/>
      <c r="S63" s="6"/>
      <c r="T63" s="156"/>
      <c r="U63" s="6"/>
    </row>
    <row r="64" spans="1:21" customFormat="1">
      <c r="A64" s="201" t="s">
        <v>395</v>
      </c>
      <c r="B64" s="100">
        <v>8.2200000000000006</v>
      </c>
      <c r="C64" s="100">
        <v>10.25</v>
      </c>
      <c r="D64" s="100">
        <v>11.95</v>
      </c>
      <c r="E64" s="100">
        <v>8.0399999999999991</v>
      </c>
      <c r="F64" s="100">
        <v>2.21</v>
      </c>
      <c r="G64" s="100">
        <v>50.33</v>
      </c>
      <c r="H64" s="100">
        <v>20.350000000000001</v>
      </c>
      <c r="I64" s="100">
        <v>6.82</v>
      </c>
      <c r="J64" s="100">
        <v>0.18</v>
      </c>
      <c r="K64" s="100">
        <v>17.72</v>
      </c>
      <c r="L64" s="100">
        <v>16.53</v>
      </c>
      <c r="M64" s="100">
        <v>21.14</v>
      </c>
      <c r="N64" s="100">
        <v>93.7</v>
      </c>
      <c r="O64" s="100">
        <v>0</v>
      </c>
      <c r="P64" s="100">
        <v>0.53</v>
      </c>
      <c r="Q64" s="100">
        <v>9.32</v>
      </c>
      <c r="R64" s="6"/>
      <c r="S64" s="6"/>
      <c r="T64" s="156"/>
      <c r="U64" s="6"/>
    </row>
    <row r="65" spans="1:21" customFormat="1">
      <c r="A65" s="201" t="s">
        <v>396</v>
      </c>
      <c r="B65" s="100">
        <v>7.39</v>
      </c>
      <c r="C65" s="100">
        <v>10.3</v>
      </c>
      <c r="D65" s="100">
        <v>11.31</v>
      </c>
      <c r="E65" s="100">
        <v>9.36</v>
      </c>
      <c r="F65" s="100">
        <v>4.8499999999999996</v>
      </c>
      <c r="G65" s="100">
        <v>50.33</v>
      </c>
      <c r="H65" s="100">
        <v>20.350000000000001</v>
      </c>
      <c r="I65" s="100">
        <v>6.82</v>
      </c>
      <c r="J65" s="100">
        <v>0.2</v>
      </c>
      <c r="K65" s="100">
        <v>10.47</v>
      </c>
      <c r="L65" s="100">
        <v>17.07</v>
      </c>
      <c r="M65" s="100">
        <v>20.99</v>
      </c>
      <c r="N65" s="100">
        <v>159.69999999999999</v>
      </c>
      <c r="O65" s="100">
        <v>0</v>
      </c>
      <c r="P65" s="100">
        <v>0.55000000000000004</v>
      </c>
      <c r="Q65" s="100">
        <v>9.32</v>
      </c>
      <c r="R65" s="6"/>
      <c r="S65" s="6"/>
      <c r="T65" s="156"/>
      <c r="U65" s="6"/>
    </row>
    <row r="66" spans="1:21" customFormat="1">
      <c r="A66" s="201" t="s">
        <v>397</v>
      </c>
      <c r="B66" s="100">
        <v>6.57</v>
      </c>
      <c r="C66" s="100">
        <v>10.4</v>
      </c>
      <c r="D66" s="100">
        <v>10.7</v>
      </c>
      <c r="E66" s="100">
        <v>10.1</v>
      </c>
      <c r="F66" s="100">
        <v>5.35</v>
      </c>
      <c r="G66" s="100">
        <v>50.33</v>
      </c>
      <c r="H66" s="100">
        <v>20.350000000000001</v>
      </c>
      <c r="I66" s="100">
        <v>6.91</v>
      </c>
      <c r="J66" s="100">
        <v>0.28999999999999998</v>
      </c>
      <c r="K66" s="100">
        <v>50.7</v>
      </c>
      <c r="L66" s="100">
        <v>10.44</v>
      </c>
      <c r="M66" s="100">
        <v>6.47</v>
      </c>
      <c r="N66" s="100">
        <v>71.8</v>
      </c>
      <c r="O66" s="100">
        <v>0</v>
      </c>
      <c r="P66" s="100">
        <v>0.56000000000000005</v>
      </c>
      <c r="Q66" s="100">
        <v>9.32</v>
      </c>
      <c r="R66" s="6"/>
      <c r="S66" s="6"/>
      <c r="T66" s="156"/>
      <c r="U66" s="6"/>
    </row>
    <row r="67" spans="1:21" customFormat="1">
      <c r="A67" s="201" t="s">
        <v>398</v>
      </c>
      <c r="B67" s="100">
        <v>6.36</v>
      </c>
      <c r="C67" s="100">
        <v>11.25</v>
      </c>
      <c r="D67" s="100">
        <v>10.98</v>
      </c>
      <c r="E67" s="100">
        <v>11.66</v>
      </c>
      <c r="F67" s="100">
        <v>3.54</v>
      </c>
      <c r="G67" s="100">
        <v>64.84</v>
      </c>
      <c r="H67" s="100">
        <v>29.16</v>
      </c>
      <c r="I67" s="100">
        <v>6.89</v>
      </c>
      <c r="J67" s="100">
        <v>0.35</v>
      </c>
      <c r="K67" s="100">
        <v>46.74</v>
      </c>
      <c r="L67" s="100">
        <v>10.66</v>
      </c>
      <c r="M67" s="100">
        <v>6.79</v>
      </c>
      <c r="N67" s="100">
        <v>73.8</v>
      </c>
      <c r="O67" s="100">
        <v>0</v>
      </c>
      <c r="P67" s="100">
        <v>0.54</v>
      </c>
      <c r="Q67" s="100">
        <v>9.32</v>
      </c>
      <c r="R67" s="6"/>
      <c r="S67" s="6"/>
      <c r="T67" s="156"/>
      <c r="U67" s="6"/>
    </row>
    <row r="68" spans="1:21" customFormat="1">
      <c r="A68" s="201" t="s">
        <v>399</v>
      </c>
      <c r="B68" s="100">
        <v>6.11</v>
      </c>
      <c r="C68" s="100">
        <v>11.08</v>
      </c>
      <c r="D68" s="100">
        <v>10.69</v>
      </c>
      <c r="E68" s="100">
        <v>11.19</v>
      </c>
      <c r="F68" s="100">
        <v>4.5999999999999996</v>
      </c>
      <c r="G68" s="100">
        <v>70.11</v>
      </c>
      <c r="H68" s="100">
        <v>29.29</v>
      </c>
      <c r="I68" s="100">
        <v>6.74</v>
      </c>
      <c r="J68" s="100">
        <v>0.38</v>
      </c>
      <c r="K68" s="100">
        <v>48.54</v>
      </c>
      <c r="L68" s="100">
        <v>8.34</v>
      </c>
      <c r="M68" s="100">
        <v>1.74</v>
      </c>
      <c r="N68" s="100">
        <v>71.7</v>
      </c>
      <c r="O68" s="100">
        <v>0</v>
      </c>
      <c r="P68" s="100">
        <v>0.54</v>
      </c>
      <c r="Q68" s="100">
        <v>9.32</v>
      </c>
      <c r="R68" s="6"/>
      <c r="S68" s="6"/>
      <c r="T68" s="156"/>
      <c r="U68" s="6"/>
    </row>
    <row r="69" spans="1:21" customFormat="1">
      <c r="A69" s="201" t="s">
        <v>400</v>
      </c>
      <c r="B69" s="100">
        <v>6</v>
      </c>
      <c r="C69" s="100">
        <v>11.18</v>
      </c>
      <c r="D69" s="100">
        <v>10.65</v>
      </c>
      <c r="E69" s="100">
        <v>11.06</v>
      </c>
      <c r="F69" s="100">
        <v>4.83</v>
      </c>
      <c r="G69" s="100">
        <v>70.11</v>
      </c>
      <c r="H69" s="100">
        <v>29.29</v>
      </c>
      <c r="I69" s="100">
        <v>6.54</v>
      </c>
      <c r="J69" s="100">
        <v>0.14000000000000001</v>
      </c>
      <c r="K69" s="100">
        <v>133.37</v>
      </c>
      <c r="L69" s="100">
        <v>15.97</v>
      </c>
      <c r="M69" s="100">
        <v>20.440000000000001</v>
      </c>
      <c r="N69" s="100">
        <v>63.9</v>
      </c>
      <c r="O69" s="100">
        <v>0</v>
      </c>
      <c r="P69" s="100">
        <v>0.52</v>
      </c>
      <c r="Q69" s="100">
        <v>9.32</v>
      </c>
      <c r="R69" s="6"/>
      <c r="S69" s="6"/>
      <c r="T69" s="156"/>
      <c r="U69" s="6"/>
    </row>
    <row r="70" spans="1:21" customFormat="1">
      <c r="A70" s="201" t="s">
        <v>401</v>
      </c>
      <c r="B70" s="100">
        <v>5.36</v>
      </c>
      <c r="C70" s="100">
        <v>10.68</v>
      </c>
      <c r="D70" s="100">
        <v>9.8800000000000008</v>
      </c>
      <c r="E70" s="100">
        <v>11.13</v>
      </c>
      <c r="F70" s="100">
        <v>4.57</v>
      </c>
      <c r="G70" s="100">
        <v>70.11</v>
      </c>
      <c r="H70" s="100">
        <v>29.29</v>
      </c>
      <c r="I70" s="100">
        <v>6.36</v>
      </c>
      <c r="J70" s="100">
        <v>0.24</v>
      </c>
      <c r="K70" s="100">
        <v>26.65</v>
      </c>
      <c r="L70" s="100">
        <v>13.61</v>
      </c>
      <c r="M70" s="100">
        <v>14.71</v>
      </c>
      <c r="N70" s="100">
        <v>48.3</v>
      </c>
      <c r="O70" s="100">
        <v>0</v>
      </c>
      <c r="P70" s="100">
        <v>0.53</v>
      </c>
      <c r="Q70" s="100">
        <v>9.32</v>
      </c>
      <c r="R70" s="6"/>
      <c r="S70" s="6"/>
      <c r="T70" s="156"/>
      <c r="U70" s="6"/>
    </row>
    <row r="71" spans="1:21" customFormat="1">
      <c r="A71" s="201" t="s">
        <v>402</v>
      </c>
      <c r="B71" s="100">
        <v>5.74</v>
      </c>
      <c r="C71" s="100">
        <v>11.91</v>
      </c>
      <c r="D71" s="100">
        <v>10.82</v>
      </c>
      <c r="E71" s="100">
        <v>11.71</v>
      </c>
      <c r="F71" s="100">
        <v>4.1399999999999997</v>
      </c>
      <c r="G71" s="100">
        <v>66.69</v>
      </c>
      <c r="H71" s="100">
        <v>27.86</v>
      </c>
      <c r="I71" s="100">
        <v>6.25</v>
      </c>
      <c r="J71" s="100">
        <v>0.48</v>
      </c>
      <c r="K71" s="100">
        <v>37.68</v>
      </c>
      <c r="L71" s="100">
        <v>9.08</v>
      </c>
      <c r="M71" s="100">
        <v>3.8</v>
      </c>
      <c r="N71" s="100">
        <v>30.3</v>
      </c>
      <c r="O71" s="100">
        <v>0</v>
      </c>
      <c r="P71" s="100">
        <v>0.53</v>
      </c>
      <c r="Q71" s="100">
        <v>9.32</v>
      </c>
      <c r="R71" s="6"/>
      <c r="S71" s="6"/>
      <c r="T71" s="156"/>
      <c r="U71" s="6"/>
    </row>
    <row r="72" spans="1:21" customFormat="1">
      <c r="A72" s="201" t="s">
        <v>403</v>
      </c>
      <c r="B72" s="100">
        <v>5.61</v>
      </c>
      <c r="C72" s="100">
        <v>12.05</v>
      </c>
      <c r="D72" s="100">
        <v>10.8</v>
      </c>
      <c r="E72" s="100">
        <v>12.09</v>
      </c>
      <c r="F72" s="100">
        <v>3.04</v>
      </c>
      <c r="G72" s="100">
        <v>65.44</v>
      </c>
      <c r="H72" s="100">
        <v>27.84</v>
      </c>
      <c r="I72" s="100">
        <v>6.22</v>
      </c>
      <c r="J72" s="100">
        <v>0.27</v>
      </c>
      <c r="K72" s="100">
        <v>39.21</v>
      </c>
      <c r="L72" s="100">
        <v>13.8</v>
      </c>
      <c r="M72" s="100">
        <v>15.47</v>
      </c>
      <c r="N72" s="100">
        <v>33.200000000000003</v>
      </c>
      <c r="O72" s="100">
        <v>0</v>
      </c>
      <c r="P72" s="100">
        <v>0.55000000000000004</v>
      </c>
      <c r="Q72" s="100">
        <v>9.32</v>
      </c>
      <c r="R72" s="6"/>
      <c r="S72" s="6"/>
      <c r="T72" s="156"/>
      <c r="U72" s="6"/>
    </row>
    <row r="73" spans="1:21" customFormat="1">
      <c r="A73" s="201" t="s">
        <v>404</v>
      </c>
      <c r="B73" s="100">
        <v>8.42</v>
      </c>
      <c r="C73" s="100">
        <v>14.6</v>
      </c>
      <c r="D73" s="100">
        <v>14.38</v>
      </c>
      <c r="E73" s="100">
        <v>12.09</v>
      </c>
      <c r="F73" s="100">
        <v>2.02</v>
      </c>
      <c r="G73" s="100">
        <v>65.44</v>
      </c>
      <c r="H73" s="100">
        <v>27.84</v>
      </c>
      <c r="I73" s="100">
        <v>6.24</v>
      </c>
      <c r="J73" s="100">
        <v>0.25</v>
      </c>
      <c r="K73" s="100">
        <v>31.82</v>
      </c>
      <c r="L73" s="100">
        <v>11.49</v>
      </c>
      <c r="M73" s="100">
        <v>9.85</v>
      </c>
      <c r="N73" s="100">
        <v>26</v>
      </c>
      <c r="O73" s="100">
        <v>0</v>
      </c>
      <c r="P73" s="100">
        <v>0.55000000000000004</v>
      </c>
      <c r="Q73" s="100">
        <v>9.32</v>
      </c>
      <c r="R73" s="6"/>
      <c r="S73" s="6"/>
      <c r="T73" s="156"/>
      <c r="U73" s="6"/>
    </row>
    <row r="74" spans="1:21" customFormat="1">
      <c r="A74" s="201" t="s">
        <v>405</v>
      </c>
      <c r="B74" s="100">
        <v>8.14</v>
      </c>
      <c r="C74" s="100">
        <v>14.58</v>
      </c>
      <c r="D74" s="100">
        <v>14.14</v>
      </c>
      <c r="E74" s="100">
        <v>12.07</v>
      </c>
      <c r="F74" s="100">
        <v>2.4300000000000002</v>
      </c>
      <c r="G74" s="100">
        <v>65.44</v>
      </c>
      <c r="H74" s="100">
        <v>27.84</v>
      </c>
      <c r="I74" s="100">
        <v>6.25</v>
      </c>
      <c r="J74" s="100">
        <v>0.3</v>
      </c>
      <c r="K74" s="100">
        <v>43.28</v>
      </c>
      <c r="L74" s="100">
        <v>9.0500000000000007</v>
      </c>
      <c r="M74" s="100">
        <v>4.01</v>
      </c>
      <c r="N74" s="100">
        <v>19.600000000000001</v>
      </c>
      <c r="O74" s="100">
        <v>0</v>
      </c>
      <c r="P74" s="100">
        <v>0.54</v>
      </c>
      <c r="Q74" s="100">
        <v>9.32</v>
      </c>
      <c r="R74" s="6"/>
      <c r="S74" s="6"/>
      <c r="T74" s="156"/>
      <c r="U74" s="6"/>
    </row>
    <row r="75" spans="1:21" customFormat="1">
      <c r="A75" s="201" t="s">
        <v>406</v>
      </c>
      <c r="B75" s="100">
        <v>8.01</v>
      </c>
      <c r="C75" s="100">
        <v>14.36</v>
      </c>
      <c r="D75" s="100">
        <v>13.92</v>
      </c>
      <c r="E75" s="100">
        <v>14.01</v>
      </c>
      <c r="F75" s="100">
        <v>2.2000000000000002</v>
      </c>
      <c r="G75" s="100">
        <v>68.59</v>
      </c>
      <c r="H75" s="100">
        <v>24.47</v>
      </c>
      <c r="I75" s="100">
        <v>6.19</v>
      </c>
      <c r="J75" s="100">
        <v>0.38</v>
      </c>
      <c r="K75" s="100">
        <v>49.9</v>
      </c>
      <c r="L75" s="100">
        <v>8.0299999999999994</v>
      </c>
      <c r="M75" s="100">
        <v>1.54</v>
      </c>
      <c r="N75" s="100">
        <v>15.8</v>
      </c>
      <c r="O75" s="100">
        <v>0</v>
      </c>
      <c r="P75" s="100">
        <v>0.59</v>
      </c>
      <c r="Q75" s="100">
        <v>9.32</v>
      </c>
      <c r="R75" s="6"/>
      <c r="S75" s="6"/>
      <c r="T75" s="156"/>
      <c r="U75" s="6"/>
    </row>
    <row r="76" spans="1:21" customFormat="1">
      <c r="A76" s="201" t="s">
        <v>407</v>
      </c>
      <c r="B76" s="100">
        <v>7.31</v>
      </c>
      <c r="C76" s="100">
        <v>13.07</v>
      </c>
      <c r="D76" s="100">
        <v>12.69</v>
      </c>
      <c r="E76" s="100">
        <v>11.87</v>
      </c>
      <c r="F76" s="100">
        <v>2.02</v>
      </c>
      <c r="G76" s="100">
        <v>69.739999999999995</v>
      </c>
      <c r="H76" s="100">
        <v>24.42</v>
      </c>
      <c r="I76" s="100">
        <v>6.23</v>
      </c>
      <c r="J76" s="100">
        <v>0.23</v>
      </c>
      <c r="K76" s="100">
        <v>54.96</v>
      </c>
      <c r="L76" s="100">
        <v>8.56</v>
      </c>
      <c r="M76" s="100">
        <v>3.07</v>
      </c>
      <c r="N76" s="100">
        <v>10.5</v>
      </c>
      <c r="O76" s="100">
        <v>0</v>
      </c>
      <c r="P76" s="100">
        <v>0.56999999999999995</v>
      </c>
      <c r="Q76" s="100">
        <v>9.32</v>
      </c>
      <c r="R76" s="6"/>
      <c r="S76" s="6"/>
      <c r="T76" s="156"/>
      <c r="U76" s="6"/>
    </row>
    <row r="77" spans="1:21" customFormat="1">
      <c r="A77" s="201" t="s">
        <v>408</v>
      </c>
      <c r="B77" s="100">
        <v>7.52</v>
      </c>
      <c r="C77" s="100">
        <v>12.69</v>
      </c>
      <c r="D77" s="100">
        <v>12.66</v>
      </c>
      <c r="E77" s="100">
        <v>9.77</v>
      </c>
      <c r="F77" s="100">
        <v>2.0699999999999998</v>
      </c>
      <c r="G77" s="100">
        <v>69.739999999999995</v>
      </c>
      <c r="H77" s="100">
        <v>24.42</v>
      </c>
      <c r="I77" s="100">
        <v>6.4</v>
      </c>
      <c r="J77" s="100">
        <v>0.18</v>
      </c>
      <c r="K77" s="100">
        <v>132.41999999999999</v>
      </c>
      <c r="L77" s="100">
        <v>13.55</v>
      </c>
      <c r="M77" s="100">
        <v>15.8</v>
      </c>
      <c r="N77" s="100">
        <v>6.7</v>
      </c>
      <c r="O77" s="100">
        <v>0</v>
      </c>
      <c r="P77" s="100">
        <v>0.54</v>
      </c>
      <c r="Q77" s="100">
        <v>9.32</v>
      </c>
      <c r="R77" s="6"/>
      <c r="S77" s="6"/>
      <c r="T77" s="156"/>
      <c r="U77" s="6"/>
    </row>
    <row r="78" spans="1:21" customFormat="1">
      <c r="A78" s="201" t="s">
        <v>409</v>
      </c>
      <c r="B78" s="100">
        <v>5.99</v>
      </c>
      <c r="C78" s="100">
        <v>11.03</v>
      </c>
      <c r="D78" s="100">
        <v>10.56</v>
      </c>
      <c r="E78" s="100">
        <v>8.7899999999999991</v>
      </c>
      <c r="F78" s="100">
        <v>2</v>
      </c>
      <c r="G78" s="100">
        <v>69.739999999999995</v>
      </c>
      <c r="H78" s="100">
        <v>24.42</v>
      </c>
      <c r="I78" s="100">
        <v>6.32</v>
      </c>
      <c r="J78" s="100">
        <v>0.23</v>
      </c>
      <c r="K78" s="100">
        <v>137.84</v>
      </c>
      <c r="L78" s="100">
        <v>13.05</v>
      </c>
      <c r="M78" s="100">
        <v>14.62</v>
      </c>
      <c r="N78" s="100">
        <v>3.8</v>
      </c>
      <c r="O78" s="100">
        <v>0</v>
      </c>
      <c r="P78" s="100">
        <v>0.55000000000000004</v>
      </c>
      <c r="Q78" s="100">
        <v>9.32</v>
      </c>
      <c r="R78" s="6"/>
      <c r="S78" s="6"/>
      <c r="T78" s="156"/>
      <c r="U78" s="6"/>
    </row>
    <row r="79" spans="1:21" customFormat="1">
      <c r="A79" s="201" t="s">
        <v>410</v>
      </c>
      <c r="B79" s="100">
        <v>5.75</v>
      </c>
      <c r="C79" s="100">
        <v>10.67</v>
      </c>
      <c r="D79" s="100">
        <v>10.19</v>
      </c>
      <c r="E79" s="100">
        <v>8.2200000000000006</v>
      </c>
      <c r="F79" s="100">
        <v>2.15</v>
      </c>
      <c r="G79" s="100">
        <v>66.89</v>
      </c>
      <c r="H79" s="100">
        <v>26.52</v>
      </c>
      <c r="I79" s="100">
        <v>6.18</v>
      </c>
      <c r="J79" s="100">
        <v>0.18</v>
      </c>
      <c r="K79" s="100">
        <v>157.33000000000001</v>
      </c>
      <c r="L79" s="100">
        <v>15.64</v>
      </c>
      <c r="M79" s="100">
        <v>21.11</v>
      </c>
      <c r="N79" s="100">
        <v>3</v>
      </c>
      <c r="O79" s="100">
        <v>0</v>
      </c>
      <c r="P79" s="100">
        <v>0.55000000000000004</v>
      </c>
      <c r="Q79" s="100">
        <v>9.32</v>
      </c>
      <c r="R79" s="6"/>
      <c r="S79" s="6"/>
      <c r="T79" s="156"/>
      <c r="U79" s="6"/>
    </row>
    <row r="80" spans="1:21" customFormat="1">
      <c r="A80" s="201" t="s">
        <v>411</v>
      </c>
      <c r="B80" s="100">
        <v>6.13</v>
      </c>
      <c r="C80" s="100">
        <v>11.01</v>
      </c>
      <c r="D80" s="100">
        <v>10.67</v>
      </c>
      <c r="E80" s="100">
        <v>8.0299999999999994</v>
      </c>
      <c r="F80" s="100">
        <v>2</v>
      </c>
      <c r="G80" s="100">
        <v>65.86</v>
      </c>
      <c r="H80" s="100">
        <v>26.55</v>
      </c>
      <c r="I80" s="100">
        <v>6.12</v>
      </c>
      <c r="J80" s="100">
        <v>0.22</v>
      </c>
      <c r="K80" s="100">
        <v>159.58000000000001</v>
      </c>
      <c r="L80" s="100">
        <v>15.66</v>
      </c>
      <c r="M80" s="100">
        <v>21.16</v>
      </c>
      <c r="N80" s="100">
        <v>2.8</v>
      </c>
      <c r="O80" s="100">
        <v>0</v>
      </c>
      <c r="P80" s="100">
        <v>0.55000000000000004</v>
      </c>
      <c r="Q80" s="100">
        <v>9.32</v>
      </c>
      <c r="R80" s="6"/>
      <c r="S80" s="6"/>
      <c r="T80" s="156"/>
      <c r="U80" s="6"/>
    </row>
    <row r="81" spans="1:21" customFormat="1">
      <c r="A81" s="201" t="s">
        <v>412</v>
      </c>
      <c r="B81" s="100">
        <v>5.75</v>
      </c>
      <c r="C81" s="100">
        <v>10.39</v>
      </c>
      <c r="D81" s="100">
        <v>10.039999999999999</v>
      </c>
      <c r="E81" s="100">
        <v>6.05</v>
      </c>
      <c r="F81" s="100">
        <v>2</v>
      </c>
      <c r="G81" s="100">
        <v>65.86</v>
      </c>
      <c r="H81" s="100">
        <v>26.55</v>
      </c>
      <c r="I81" s="100">
        <v>6.29</v>
      </c>
      <c r="J81" s="100">
        <v>0.28999999999999998</v>
      </c>
      <c r="K81" s="100">
        <v>156.38</v>
      </c>
      <c r="L81" s="100">
        <v>15.26</v>
      </c>
      <c r="M81" s="100">
        <v>20.260000000000002</v>
      </c>
      <c r="N81" s="100">
        <v>2.5</v>
      </c>
      <c r="O81" s="100">
        <v>0</v>
      </c>
      <c r="P81" s="100">
        <v>0.56000000000000005</v>
      </c>
      <c r="Q81" s="100">
        <v>9.32</v>
      </c>
      <c r="R81" s="6"/>
      <c r="S81" s="6"/>
      <c r="T81" s="156"/>
      <c r="U81" s="6"/>
    </row>
    <row r="82" spans="1:21" customFormat="1">
      <c r="A82" s="201" t="s">
        <v>413</v>
      </c>
      <c r="B82" s="100">
        <v>5.87</v>
      </c>
      <c r="C82" s="100">
        <v>10.23</v>
      </c>
      <c r="D82" s="100">
        <v>10.050000000000001</v>
      </c>
      <c r="E82" s="100">
        <v>6.98</v>
      </c>
      <c r="F82" s="100">
        <v>2</v>
      </c>
      <c r="G82" s="100">
        <v>65.86</v>
      </c>
      <c r="H82" s="100">
        <v>26.55</v>
      </c>
      <c r="I82" s="100">
        <v>6.51</v>
      </c>
      <c r="J82" s="100">
        <v>0.28000000000000003</v>
      </c>
      <c r="K82" s="100">
        <v>154.30000000000001</v>
      </c>
      <c r="L82" s="100">
        <v>15.21</v>
      </c>
      <c r="M82" s="100">
        <v>20.13</v>
      </c>
      <c r="N82" s="100">
        <v>2.5</v>
      </c>
      <c r="O82" s="100">
        <v>0</v>
      </c>
      <c r="P82" s="100">
        <v>0.56999999999999995</v>
      </c>
      <c r="Q82" s="100">
        <v>9.32</v>
      </c>
      <c r="R82" s="6"/>
      <c r="S82" s="6"/>
      <c r="T82" s="156"/>
      <c r="U82" s="6"/>
    </row>
    <row r="83" spans="1:21" customFormat="1">
      <c r="A83" s="201" t="s">
        <v>414</v>
      </c>
      <c r="B83" s="100">
        <v>6.89</v>
      </c>
      <c r="C83" s="100">
        <v>10.94</v>
      </c>
      <c r="D83" s="100">
        <v>11.24</v>
      </c>
      <c r="E83" s="100">
        <v>6.67</v>
      </c>
      <c r="F83" s="100">
        <v>2</v>
      </c>
      <c r="G83" s="100">
        <v>69.959999999999994</v>
      </c>
      <c r="H83" s="100">
        <v>24.25</v>
      </c>
      <c r="I83" s="100">
        <v>6.59</v>
      </c>
      <c r="J83" s="100">
        <v>0.19</v>
      </c>
      <c r="K83" s="100">
        <v>169.72</v>
      </c>
      <c r="L83" s="100">
        <v>16.760000000000002</v>
      </c>
      <c r="M83" s="100">
        <v>23.93</v>
      </c>
      <c r="N83" s="100">
        <v>2.5</v>
      </c>
      <c r="O83" s="100">
        <v>0</v>
      </c>
      <c r="P83" s="100">
        <v>0.59</v>
      </c>
      <c r="Q83" s="100">
        <v>9.32</v>
      </c>
      <c r="R83" s="6"/>
      <c r="S83" s="6"/>
      <c r="T83" s="156"/>
      <c r="U83" s="6"/>
    </row>
    <row r="84" spans="1:21" customFormat="1">
      <c r="A84" s="201" t="s">
        <v>415</v>
      </c>
      <c r="B84" s="100">
        <v>7.34</v>
      </c>
      <c r="C84" s="100">
        <v>10.49</v>
      </c>
      <c r="D84" s="100">
        <v>11.37</v>
      </c>
      <c r="E84" s="100">
        <v>6.52</v>
      </c>
      <c r="F84" s="100">
        <v>2</v>
      </c>
      <c r="G84" s="100">
        <v>71.45</v>
      </c>
      <c r="H84" s="100">
        <v>24.21</v>
      </c>
      <c r="I84" s="100">
        <v>6.85</v>
      </c>
      <c r="J84" s="100">
        <v>0.18</v>
      </c>
      <c r="K84" s="100">
        <v>163.62</v>
      </c>
      <c r="L84" s="100">
        <v>15.85</v>
      </c>
      <c r="M84" s="100">
        <v>21.69</v>
      </c>
      <c r="N84" s="100">
        <v>2.4</v>
      </c>
      <c r="O84" s="100">
        <v>0</v>
      </c>
      <c r="P84" s="100">
        <v>0.59</v>
      </c>
      <c r="Q84" s="100">
        <v>9.32</v>
      </c>
      <c r="R84" s="6"/>
      <c r="S84" s="6"/>
      <c r="T84" s="156"/>
      <c r="U84" s="6"/>
    </row>
    <row r="85" spans="1:21" customFormat="1">
      <c r="A85" s="201" t="s">
        <v>416</v>
      </c>
      <c r="B85" s="100">
        <v>6.73</v>
      </c>
      <c r="C85" s="100">
        <v>8.56</v>
      </c>
      <c r="D85" s="100">
        <v>9.8699999999999992</v>
      </c>
      <c r="E85" s="100">
        <v>6.32</v>
      </c>
      <c r="F85" s="100">
        <v>2</v>
      </c>
      <c r="G85" s="100">
        <v>71.45</v>
      </c>
      <c r="H85" s="100">
        <v>24.21</v>
      </c>
      <c r="I85" s="100">
        <v>7.09</v>
      </c>
      <c r="J85" s="100">
        <v>0.18</v>
      </c>
      <c r="K85" s="100">
        <v>175.03</v>
      </c>
      <c r="L85" s="100">
        <v>16.72</v>
      </c>
      <c r="M85" s="100">
        <v>23.96</v>
      </c>
      <c r="N85" s="100">
        <v>2.4</v>
      </c>
      <c r="O85" s="100">
        <v>0</v>
      </c>
      <c r="P85" s="100">
        <v>0.59</v>
      </c>
      <c r="Q85" s="100">
        <v>9.32</v>
      </c>
      <c r="R85" s="6"/>
      <c r="S85" s="6"/>
      <c r="T85" s="156"/>
      <c r="U85" s="6"/>
    </row>
    <row r="86" spans="1:21" customFormat="1">
      <c r="A86" s="201" t="s">
        <v>417</v>
      </c>
      <c r="B86" s="100">
        <v>6.93</v>
      </c>
      <c r="C86" s="100">
        <v>7.72</v>
      </c>
      <c r="D86" s="100">
        <v>9.59</v>
      </c>
      <c r="E86" s="100">
        <v>6.32</v>
      </c>
      <c r="F86" s="100">
        <v>2</v>
      </c>
      <c r="G86" s="100">
        <v>71.45</v>
      </c>
      <c r="H86" s="100">
        <v>24.21</v>
      </c>
      <c r="I86" s="100">
        <v>7.06</v>
      </c>
      <c r="J86" s="100">
        <v>0.16</v>
      </c>
      <c r="K86" s="100">
        <v>170.01</v>
      </c>
      <c r="L86" s="100">
        <v>16.920000000000002</v>
      </c>
      <c r="M86" s="100">
        <v>24.51</v>
      </c>
      <c r="N86" s="100">
        <v>2.2999999999999998</v>
      </c>
      <c r="O86" s="100">
        <v>0</v>
      </c>
      <c r="P86" s="100">
        <v>0.63</v>
      </c>
      <c r="Q86" s="100">
        <v>9.32</v>
      </c>
      <c r="R86" s="6"/>
      <c r="S86" s="6"/>
      <c r="T86" s="156"/>
      <c r="U86" s="6"/>
    </row>
    <row r="87" spans="1:21" customFormat="1">
      <c r="A87" s="201" t="s">
        <v>418</v>
      </c>
      <c r="B87" s="100">
        <v>7.07</v>
      </c>
      <c r="C87" s="100">
        <v>7.47</v>
      </c>
      <c r="D87" s="100">
        <v>9.57</v>
      </c>
      <c r="E87" s="100">
        <v>6.22</v>
      </c>
      <c r="F87" s="100">
        <v>2</v>
      </c>
      <c r="G87" s="100">
        <v>72.72</v>
      </c>
      <c r="H87" s="100">
        <v>24.42</v>
      </c>
      <c r="I87" s="100">
        <v>6.86</v>
      </c>
      <c r="J87" s="100">
        <v>0.18</v>
      </c>
      <c r="K87" s="100">
        <v>179.02</v>
      </c>
      <c r="L87" s="100">
        <v>17.29</v>
      </c>
      <c r="M87" s="100">
        <v>25.51</v>
      </c>
      <c r="N87" s="100">
        <v>2.4</v>
      </c>
      <c r="O87" s="100">
        <v>0</v>
      </c>
      <c r="P87" s="100">
        <v>0.63</v>
      </c>
      <c r="Q87" s="100">
        <v>9.32</v>
      </c>
      <c r="R87" s="6"/>
      <c r="S87" s="6"/>
      <c r="T87" s="156"/>
      <c r="U87" s="6"/>
    </row>
    <row r="88" spans="1:21" customFormat="1">
      <c r="A88" s="201" t="s">
        <v>419</v>
      </c>
      <c r="B88" s="100">
        <v>7.09</v>
      </c>
      <c r="C88" s="100">
        <v>7.17</v>
      </c>
      <c r="D88" s="100">
        <v>9.43</v>
      </c>
      <c r="E88" s="100">
        <v>6</v>
      </c>
      <c r="F88" s="100">
        <v>2</v>
      </c>
      <c r="G88" s="100">
        <v>73.19</v>
      </c>
      <c r="H88" s="100">
        <v>24.43</v>
      </c>
      <c r="I88" s="100">
        <v>6.9</v>
      </c>
      <c r="J88" s="100">
        <v>0.12</v>
      </c>
      <c r="K88" s="100">
        <v>151.85</v>
      </c>
      <c r="L88" s="100">
        <v>14.66</v>
      </c>
      <c r="M88" s="100">
        <v>18.920000000000002</v>
      </c>
      <c r="N88" s="100">
        <v>2.2999999999999998</v>
      </c>
      <c r="O88" s="100">
        <v>0</v>
      </c>
      <c r="P88" s="100">
        <v>0.63</v>
      </c>
      <c r="Q88" s="100">
        <v>9.32</v>
      </c>
      <c r="R88" s="6"/>
      <c r="S88" s="6"/>
      <c r="T88" s="156"/>
      <c r="U88" s="6"/>
    </row>
    <row r="89" spans="1:21" customFormat="1">
      <c r="A89" s="201" t="s">
        <v>420</v>
      </c>
      <c r="B89" s="100">
        <v>7.46</v>
      </c>
      <c r="C89" s="100">
        <v>7.07</v>
      </c>
      <c r="D89" s="100">
        <v>9.68</v>
      </c>
      <c r="E89" s="100">
        <v>6.11</v>
      </c>
      <c r="F89" s="100">
        <v>2</v>
      </c>
      <c r="G89" s="100">
        <v>73.19</v>
      </c>
      <c r="H89" s="100">
        <v>24.43</v>
      </c>
      <c r="I89" s="100">
        <v>6.98</v>
      </c>
      <c r="J89" s="100">
        <v>0.18</v>
      </c>
      <c r="K89" s="100">
        <v>160.68</v>
      </c>
      <c r="L89" s="100">
        <v>15.66</v>
      </c>
      <c r="M89" s="100">
        <v>21.44</v>
      </c>
      <c r="N89" s="100">
        <v>2.2999999999999998</v>
      </c>
      <c r="O89" s="100">
        <v>0</v>
      </c>
      <c r="P89" s="100">
        <v>0.63</v>
      </c>
      <c r="Q89" s="100">
        <v>9.32</v>
      </c>
      <c r="R89" s="6"/>
      <c r="S89" s="6"/>
      <c r="T89" s="156"/>
      <c r="U89" s="6"/>
    </row>
    <row r="90" spans="1:21" customFormat="1">
      <c r="A90" s="201" t="s">
        <v>421</v>
      </c>
      <c r="B90" s="100">
        <v>7.63</v>
      </c>
      <c r="C90" s="100">
        <v>6.95</v>
      </c>
      <c r="D90" s="100">
        <v>9.75</v>
      </c>
      <c r="E90" s="100">
        <v>5.97</v>
      </c>
      <c r="F90" s="100">
        <v>2</v>
      </c>
      <c r="G90" s="100">
        <v>73.19</v>
      </c>
      <c r="H90" s="100">
        <v>24.43</v>
      </c>
      <c r="I90" s="100">
        <v>6.97</v>
      </c>
      <c r="J90" s="100">
        <v>0.14000000000000001</v>
      </c>
      <c r="K90" s="100">
        <v>194.05</v>
      </c>
      <c r="L90" s="100">
        <v>18.350000000000001</v>
      </c>
      <c r="M90" s="100">
        <v>28.16</v>
      </c>
      <c r="N90" s="100">
        <v>2.2999999999999998</v>
      </c>
      <c r="O90" s="100">
        <v>0</v>
      </c>
      <c r="P90" s="100">
        <v>0.63</v>
      </c>
      <c r="Q90" s="100">
        <v>9.32</v>
      </c>
      <c r="R90" s="6"/>
      <c r="S90" s="6"/>
      <c r="T90" s="156"/>
      <c r="U90" s="6"/>
    </row>
    <row r="91" spans="1:21" customFormat="1">
      <c r="A91" s="201" t="s">
        <v>422</v>
      </c>
      <c r="B91" s="100">
        <v>7.56</v>
      </c>
      <c r="C91" s="100">
        <v>7.23</v>
      </c>
      <c r="D91" s="100">
        <v>9.84</v>
      </c>
      <c r="E91" s="100">
        <v>5.81</v>
      </c>
      <c r="F91" s="100">
        <v>2</v>
      </c>
      <c r="G91" s="100">
        <v>69.16</v>
      </c>
      <c r="H91" s="100">
        <v>19.989999999999998</v>
      </c>
      <c r="I91" s="100">
        <v>7.03</v>
      </c>
      <c r="J91" s="100">
        <v>0.13</v>
      </c>
      <c r="K91" s="100">
        <v>174.15</v>
      </c>
      <c r="L91" s="100">
        <v>17.09</v>
      </c>
      <c r="M91" s="100">
        <v>24.98</v>
      </c>
      <c r="N91" s="100">
        <v>2.2999999999999998</v>
      </c>
      <c r="O91" s="100">
        <v>0</v>
      </c>
      <c r="P91" s="100">
        <v>0.62</v>
      </c>
      <c r="Q91" s="100">
        <v>9.32</v>
      </c>
      <c r="R91" s="6"/>
      <c r="S91" s="6"/>
      <c r="T91" s="156"/>
      <c r="U91" s="6"/>
    </row>
    <row r="92" spans="1:21" customFormat="1">
      <c r="A92" s="201" t="s">
        <v>423</v>
      </c>
      <c r="B92" s="100">
        <v>7.9</v>
      </c>
      <c r="C92" s="100">
        <v>6.75</v>
      </c>
      <c r="D92" s="100">
        <v>9.86</v>
      </c>
      <c r="E92" s="100">
        <v>6.13</v>
      </c>
      <c r="F92" s="100">
        <v>2</v>
      </c>
      <c r="G92" s="100">
        <v>67.69</v>
      </c>
      <c r="H92" s="100">
        <v>19.93</v>
      </c>
      <c r="I92" s="100">
        <v>7.13</v>
      </c>
      <c r="J92" s="100">
        <v>0.08</v>
      </c>
      <c r="K92" s="100">
        <v>196.47</v>
      </c>
      <c r="L92" s="100">
        <v>17.579999999999998</v>
      </c>
      <c r="M92" s="100">
        <v>26.27</v>
      </c>
      <c r="N92" s="100">
        <v>2.2000000000000002</v>
      </c>
      <c r="O92" s="100">
        <v>0</v>
      </c>
      <c r="P92" s="100">
        <v>0.63</v>
      </c>
      <c r="Q92" s="100">
        <v>9.32</v>
      </c>
      <c r="R92" s="6"/>
      <c r="S92" s="6"/>
      <c r="T92" s="156"/>
      <c r="U92" s="6"/>
    </row>
    <row r="93" spans="1:21" customFormat="1">
      <c r="A93" s="201" t="s">
        <v>424</v>
      </c>
      <c r="B93" s="100">
        <v>8.1</v>
      </c>
      <c r="C93" s="100">
        <v>6.43</v>
      </c>
      <c r="D93" s="100">
        <v>9.85</v>
      </c>
      <c r="E93" s="100">
        <v>5.82</v>
      </c>
      <c r="F93" s="100">
        <v>2</v>
      </c>
      <c r="G93" s="100">
        <v>67.69</v>
      </c>
      <c r="H93" s="100">
        <v>19.93</v>
      </c>
      <c r="I93" s="100">
        <v>7.17</v>
      </c>
      <c r="J93" s="100">
        <v>0.13</v>
      </c>
      <c r="K93" s="100">
        <v>170.37</v>
      </c>
      <c r="L93" s="100">
        <v>16.510000000000002</v>
      </c>
      <c r="M93" s="100">
        <v>23.55</v>
      </c>
      <c r="N93" s="100">
        <v>2.1</v>
      </c>
      <c r="O93" s="100">
        <v>0</v>
      </c>
      <c r="P93" s="100">
        <v>0.63</v>
      </c>
      <c r="Q93" s="100">
        <v>9.32</v>
      </c>
      <c r="R93" s="6"/>
      <c r="S93" s="6"/>
      <c r="T93" s="156"/>
      <c r="U93" s="6"/>
    </row>
    <row r="94" spans="1:21" customFormat="1">
      <c r="A94" s="201" t="s">
        <v>425</v>
      </c>
      <c r="B94" s="100">
        <v>8.17</v>
      </c>
      <c r="C94" s="100">
        <v>6.54</v>
      </c>
      <c r="D94" s="100">
        <v>9.9700000000000006</v>
      </c>
      <c r="E94" s="100">
        <v>6.16</v>
      </c>
      <c r="F94" s="100">
        <v>2</v>
      </c>
      <c r="G94" s="100">
        <v>67.69</v>
      </c>
      <c r="H94" s="100">
        <v>19.93</v>
      </c>
      <c r="I94" s="100">
        <v>7.18</v>
      </c>
      <c r="J94" s="100">
        <v>0.15</v>
      </c>
      <c r="K94" s="100">
        <v>167.36</v>
      </c>
      <c r="L94" s="100">
        <v>16.36</v>
      </c>
      <c r="M94" s="100">
        <v>23.2</v>
      </c>
      <c r="N94" s="100">
        <v>2.1</v>
      </c>
      <c r="O94" s="100">
        <v>0</v>
      </c>
      <c r="P94" s="100">
        <v>0.64</v>
      </c>
      <c r="Q94" s="100">
        <v>9.32</v>
      </c>
      <c r="R94" s="6"/>
      <c r="S94" s="6"/>
      <c r="T94" s="156"/>
      <c r="U94" s="6"/>
    </row>
    <row r="95" spans="1:21" customFormat="1">
      <c r="A95" s="201" t="s">
        <v>426</v>
      </c>
      <c r="B95" s="100">
        <v>8.0399999999999991</v>
      </c>
      <c r="C95" s="100">
        <v>6.63</v>
      </c>
      <c r="D95" s="100">
        <v>9.91</v>
      </c>
      <c r="E95" s="100">
        <v>4.29</v>
      </c>
      <c r="F95" s="100">
        <v>2</v>
      </c>
      <c r="G95" s="100">
        <v>70.319999999999993</v>
      </c>
      <c r="H95" s="100">
        <v>19.59</v>
      </c>
      <c r="I95" s="100">
        <v>7.24</v>
      </c>
      <c r="J95" s="100">
        <v>0.11</v>
      </c>
      <c r="K95" s="100">
        <v>194.36</v>
      </c>
      <c r="L95" s="100">
        <v>18.649999999999999</v>
      </c>
      <c r="M95" s="100">
        <v>28.92</v>
      </c>
      <c r="N95" s="100">
        <v>2.2999999999999998</v>
      </c>
      <c r="O95" s="100">
        <v>0</v>
      </c>
      <c r="P95" s="100">
        <v>0.63</v>
      </c>
      <c r="Q95" s="100">
        <v>9.32</v>
      </c>
      <c r="R95" s="6"/>
      <c r="S95" s="6"/>
      <c r="T95" s="156"/>
      <c r="U95" s="6"/>
    </row>
    <row r="96" spans="1:21" customFormat="1">
      <c r="A96" s="201" t="s">
        <v>427</v>
      </c>
      <c r="B96" s="100">
        <v>8.34</v>
      </c>
      <c r="C96" s="100">
        <v>6.41</v>
      </c>
      <c r="D96" s="100">
        <v>10.039999999999999</v>
      </c>
      <c r="E96" s="100">
        <v>5.82</v>
      </c>
      <c r="F96" s="100">
        <v>2</v>
      </c>
      <c r="G96" s="100">
        <v>71.28</v>
      </c>
      <c r="H96" s="100">
        <v>19.59</v>
      </c>
      <c r="I96" s="100">
        <v>7.29</v>
      </c>
      <c r="J96" s="100">
        <v>0.05</v>
      </c>
      <c r="K96" s="100">
        <v>192.6</v>
      </c>
      <c r="L96" s="100">
        <v>17.440000000000001</v>
      </c>
      <c r="M96" s="100">
        <v>25.88</v>
      </c>
      <c r="N96" s="100">
        <v>2.2999999999999998</v>
      </c>
      <c r="O96" s="100">
        <v>0</v>
      </c>
      <c r="P96" s="100">
        <v>0.63</v>
      </c>
      <c r="Q96" s="100">
        <v>9.32</v>
      </c>
      <c r="R96" s="6"/>
      <c r="S96" s="6"/>
      <c r="T96" s="156"/>
      <c r="U96" s="6"/>
    </row>
    <row r="97" spans="1:28" customFormat="1">
      <c r="A97" s="201" t="s">
        <v>428</v>
      </c>
      <c r="B97" s="100">
        <v>8.4600000000000009</v>
      </c>
      <c r="C97" s="100">
        <v>6.47</v>
      </c>
      <c r="D97" s="100">
        <v>10.17</v>
      </c>
      <c r="E97" s="100">
        <v>5.99</v>
      </c>
      <c r="F97" s="100">
        <v>2</v>
      </c>
      <c r="G97" s="100">
        <v>71.28</v>
      </c>
      <c r="H97" s="100">
        <v>19.59</v>
      </c>
      <c r="I97" s="100">
        <v>7.33</v>
      </c>
      <c r="J97" s="100">
        <v>0.11</v>
      </c>
      <c r="K97" s="100">
        <v>161.83000000000001</v>
      </c>
      <c r="L97" s="100">
        <v>15.69</v>
      </c>
      <c r="M97" s="100">
        <v>21.47</v>
      </c>
      <c r="N97" s="100">
        <v>2.2000000000000002</v>
      </c>
      <c r="O97" s="100">
        <v>0</v>
      </c>
      <c r="P97" s="100">
        <v>0.64</v>
      </c>
      <c r="Q97" s="100">
        <v>9.32</v>
      </c>
      <c r="R97" s="6"/>
      <c r="S97" s="6"/>
      <c r="T97" s="156"/>
      <c r="U97" s="6"/>
    </row>
    <row r="98" spans="1:28" customFormat="1">
      <c r="A98" s="201" t="s">
        <v>429</v>
      </c>
      <c r="B98" s="100">
        <v>8.4700000000000006</v>
      </c>
      <c r="C98" s="100">
        <v>6.61</v>
      </c>
      <c r="D98" s="100">
        <v>10.24</v>
      </c>
      <c r="E98" s="100">
        <v>6.15</v>
      </c>
      <c r="F98" s="100">
        <v>2</v>
      </c>
      <c r="G98" s="100">
        <v>71.28</v>
      </c>
      <c r="H98" s="100">
        <v>19.59</v>
      </c>
      <c r="I98" s="100">
        <v>7.35</v>
      </c>
      <c r="J98" s="100">
        <v>0.09</v>
      </c>
      <c r="K98" s="100">
        <v>197.42</v>
      </c>
      <c r="L98" s="100">
        <v>18.79</v>
      </c>
      <c r="M98" s="100">
        <v>29.21</v>
      </c>
      <c r="N98" s="100">
        <v>2.4</v>
      </c>
      <c r="O98" s="100">
        <v>0</v>
      </c>
      <c r="P98" s="100">
        <v>0.63</v>
      </c>
      <c r="Q98" s="100">
        <v>9.32</v>
      </c>
      <c r="R98" s="6"/>
      <c r="S98" s="6"/>
      <c r="T98" s="156"/>
      <c r="U98" s="6"/>
    </row>
    <row r="99" spans="1:28" customFormat="1">
      <c r="A99" s="201" t="s">
        <v>430</v>
      </c>
      <c r="B99" s="100">
        <v>8.68</v>
      </c>
      <c r="C99" s="100">
        <v>6.45</v>
      </c>
      <c r="D99" s="100">
        <v>10.33</v>
      </c>
      <c r="E99" s="100">
        <v>6.3</v>
      </c>
      <c r="F99" s="100">
        <v>2</v>
      </c>
      <c r="G99" s="100">
        <v>68.23</v>
      </c>
      <c r="H99" s="100">
        <v>18.399999999999999</v>
      </c>
      <c r="I99" s="100">
        <v>7.4</v>
      </c>
      <c r="J99" s="100">
        <v>0.09</v>
      </c>
      <c r="K99" s="100">
        <v>202.63</v>
      </c>
      <c r="L99" s="100">
        <v>18.77</v>
      </c>
      <c r="M99" s="100">
        <v>29.24</v>
      </c>
      <c r="N99" s="100">
        <v>2.2999999999999998</v>
      </c>
      <c r="O99" s="100">
        <v>0</v>
      </c>
      <c r="P99" s="100">
        <v>0.65</v>
      </c>
      <c r="Q99" s="100">
        <v>9.32</v>
      </c>
      <c r="R99" s="6"/>
      <c r="S99" s="6"/>
      <c r="T99" s="156"/>
      <c r="U99" s="6"/>
    </row>
    <row r="100" spans="1:28" customFormat="1">
      <c r="A100" s="201" t="s">
        <v>431</v>
      </c>
      <c r="B100" s="100">
        <v>8.81</v>
      </c>
      <c r="C100" s="100">
        <v>6.35</v>
      </c>
      <c r="D100" s="100">
        <v>10.38</v>
      </c>
      <c r="E100" s="100">
        <v>6.26</v>
      </c>
      <c r="F100" s="100">
        <v>2</v>
      </c>
      <c r="G100" s="100">
        <v>67.13</v>
      </c>
      <c r="H100" s="100">
        <v>18.38</v>
      </c>
      <c r="I100" s="100">
        <v>7.47</v>
      </c>
      <c r="J100" s="100">
        <v>0.12</v>
      </c>
      <c r="K100" s="100">
        <v>165.97</v>
      </c>
      <c r="L100" s="100">
        <v>16.16</v>
      </c>
      <c r="M100" s="100">
        <v>22.71</v>
      </c>
      <c r="N100" s="100">
        <v>2.2000000000000002</v>
      </c>
      <c r="O100" s="100">
        <v>0</v>
      </c>
      <c r="P100" s="100">
        <v>0.64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432</v>
      </c>
      <c r="B101" s="100">
        <v>8.92</v>
      </c>
      <c r="C101" s="100">
        <v>6.36</v>
      </c>
      <c r="D101" s="100">
        <v>10.47</v>
      </c>
      <c r="E101" s="100">
        <v>6.25</v>
      </c>
      <c r="F101" s="100">
        <v>2</v>
      </c>
      <c r="G101" s="100">
        <v>67.13</v>
      </c>
      <c r="H101" s="100">
        <v>18.38</v>
      </c>
      <c r="I101" s="100">
        <v>7.47</v>
      </c>
      <c r="J101" s="100">
        <v>7.0000000000000007E-2</v>
      </c>
      <c r="K101" s="100">
        <v>204.94</v>
      </c>
      <c r="L101" s="100">
        <v>19.03</v>
      </c>
      <c r="M101" s="100">
        <v>29.91</v>
      </c>
      <c r="N101" s="100">
        <v>2.2999999999999998</v>
      </c>
      <c r="O101" s="100">
        <v>0</v>
      </c>
      <c r="P101" s="100">
        <v>0.64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433</v>
      </c>
      <c r="B102" s="100">
        <v>9.1199999999999992</v>
      </c>
      <c r="C102" s="100">
        <v>6.27</v>
      </c>
      <c r="D102" s="100">
        <v>10.59</v>
      </c>
      <c r="E102" s="100">
        <v>6.01</v>
      </c>
      <c r="F102" s="100">
        <v>2</v>
      </c>
      <c r="G102" s="100">
        <v>67.13</v>
      </c>
      <c r="H102" s="100">
        <v>18.38</v>
      </c>
      <c r="I102" s="100">
        <v>7.49</v>
      </c>
      <c r="J102" s="100">
        <v>0.11</v>
      </c>
      <c r="K102" s="100">
        <v>140.52000000000001</v>
      </c>
      <c r="L102" s="100">
        <v>13.52</v>
      </c>
      <c r="M102" s="100">
        <v>16.07</v>
      </c>
      <c r="N102" s="100">
        <v>2.1</v>
      </c>
      <c r="O102" s="100">
        <v>0</v>
      </c>
      <c r="P102" s="100">
        <v>0.66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434</v>
      </c>
      <c r="B103" s="100">
        <v>9.15</v>
      </c>
      <c r="C103" s="100">
        <v>6.55</v>
      </c>
      <c r="D103" s="100">
        <v>10.76</v>
      </c>
      <c r="E103" s="100">
        <v>5.99</v>
      </c>
      <c r="F103" s="100">
        <v>2</v>
      </c>
      <c r="G103" s="100">
        <v>64.489999999999995</v>
      </c>
      <c r="H103" s="100">
        <v>21.21</v>
      </c>
      <c r="I103" s="100">
        <v>7.56</v>
      </c>
      <c r="J103" s="100">
        <v>0.13</v>
      </c>
      <c r="K103" s="100">
        <v>134.18</v>
      </c>
      <c r="L103" s="100">
        <v>12.47</v>
      </c>
      <c r="M103" s="100">
        <v>13.43</v>
      </c>
      <c r="N103" s="100">
        <v>2.1</v>
      </c>
      <c r="O103" s="100">
        <v>0</v>
      </c>
      <c r="P103" s="100">
        <v>0.66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435</v>
      </c>
      <c r="B104" s="100">
        <v>9.1199999999999992</v>
      </c>
      <c r="C104" s="100">
        <v>6.64</v>
      </c>
      <c r="D104" s="100">
        <v>10.78</v>
      </c>
      <c r="E104" s="100">
        <v>6.38</v>
      </c>
      <c r="F104" s="100">
        <v>2</v>
      </c>
      <c r="G104" s="100">
        <v>63.53</v>
      </c>
      <c r="H104" s="100">
        <v>21.25</v>
      </c>
      <c r="I104" s="100">
        <v>7.66</v>
      </c>
      <c r="J104" s="100">
        <v>0.18</v>
      </c>
      <c r="K104" s="100">
        <v>148.15</v>
      </c>
      <c r="L104" s="100">
        <v>14.35</v>
      </c>
      <c r="M104" s="100">
        <v>18.16</v>
      </c>
      <c r="N104" s="100">
        <v>2.1</v>
      </c>
      <c r="O104" s="100">
        <v>0</v>
      </c>
      <c r="P104" s="100">
        <v>0.65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5.36</v>
      </c>
      <c r="C106" s="158">
        <f>MIN(C9:C104)</f>
        <v>6.27</v>
      </c>
      <c r="D106" s="158">
        <f t="shared" ref="D106:Q106" si="0">MIN(D9:D104)</f>
        <v>9.43</v>
      </c>
      <c r="E106" s="158">
        <f t="shared" si="0"/>
        <v>4.29</v>
      </c>
      <c r="F106" s="158">
        <f t="shared" si="0"/>
        <v>2</v>
      </c>
      <c r="G106" s="158">
        <f t="shared" si="0"/>
        <v>50.33</v>
      </c>
      <c r="H106" s="158">
        <f t="shared" si="0"/>
        <v>16.09</v>
      </c>
      <c r="I106" s="158">
        <f t="shared" si="0"/>
        <v>6.12</v>
      </c>
      <c r="J106" s="158">
        <f t="shared" si="0"/>
        <v>0.02</v>
      </c>
      <c r="K106" s="158">
        <f t="shared" si="0"/>
        <v>10.47</v>
      </c>
      <c r="L106" s="158">
        <f t="shared" si="0"/>
        <v>8.0299999999999994</v>
      </c>
      <c r="M106" s="158">
        <f t="shared" si="0"/>
        <v>1.54</v>
      </c>
      <c r="N106" s="158">
        <f t="shared" si="0"/>
        <v>2.1</v>
      </c>
      <c r="O106" s="158">
        <f t="shared" si="0"/>
        <v>0</v>
      </c>
      <c r="P106" s="158">
        <f t="shared" si="0"/>
        <v>0.51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21.15</v>
      </c>
      <c r="C107" s="157">
        <f t="shared" ref="C107:Q107" si="1">MAX(C9:C104)</f>
        <v>14.6</v>
      </c>
      <c r="D107" s="157">
        <f t="shared" si="1"/>
        <v>21.2</v>
      </c>
      <c r="E107" s="157">
        <f t="shared" si="1"/>
        <v>14.01</v>
      </c>
      <c r="F107" s="157">
        <f t="shared" si="1"/>
        <v>5.35</v>
      </c>
      <c r="G107" s="157">
        <f t="shared" si="1"/>
        <v>108.61</v>
      </c>
      <c r="H107" s="157">
        <f t="shared" si="1"/>
        <v>50.42</v>
      </c>
      <c r="I107" s="157">
        <f t="shared" si="1"/>
        <v>8.5399999999999991</v>
      </c>
      <c r="J107" s="157">
        <f t="shared" si="1"/>
        <v>0.5</v>
      </c>
      <c r="K107" s="157">
        <f t="shared" si="1"/>
        <v>344.93</v>
      </c>
      <c r="L107" s="157">
        <f t="shared" si="1"/>
        <v>25.66</v>
      </c>
      <c r="M107" s="157">
        <f t="shared" si="1"/>
        <v>38.93</v>
      </c>
      <c r="N107" s="157">
        <f t="shared" si="1"/>
        <v>654</v>
      </c>
      <c r="O107" s="157">
        <f t="shared" si="1"/>
        <v>0</v>
      </c>
      <c r="P107" s="157">
        <f t="shared" si="1"/>
        <v>0.66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12.643020833333336</v>
      </c>
      <c r="C108" s="158">
        <f t="shared" ref="C108:Q108" si="2">AVERAGE(C9:C104)</f>
        <v>8.5791666666666675</v>
      </c>
      <c r="D108" s="158">
        <f t="shared" si="2"/>
        <v>14.620937500000002</v>
      </c>
      <c r="E108" s="158">
        <f t="shared" si="2"/>
        <v>7.391354166666666</v>
      </c>
      <c r="F108" s="158">
        <f t="shared" si="2"/>
        <v>2.2475000000000001</v>
      </c>
      <c r="G108" s="158">
        <f t="shared" si="2"/>
        <v>73.824374999999918</v>
      </c>
      <c r="H108" s="158">
        <f t="shared" si="2"/>
        <v>30.664895833333333</v>
      </c>
      <c r="I108" s="158">
        <f t="shared" si="2"/>
        <v>7.1996874999999996</v>
      </c>
      <c r="J108" s="158">
        <f t="shared" si="2"/>
        <v>0.17979166666666666</v>
      </c>
      <c r="K108" s="158">
        <f t="shared" si="2"/>
        <v>136.81166666666667</v>
      </c>
      <c r="L108" s="158">
        <f t="shared" si="2"/>
        <v>15.542291666666666</v>
      </c>
      <c r="M108" s="158">
        <f t="shared" si="2"/>
        <v>19.23500000000001</v>
      </c>
      <c r="N108" s="158">
        <f t="shared" si="2"/>
        <v>76.182291666666686</v>
      </c>
      <c r="O108" s="158">
        <f t="shared" si="2"/>
        <v>0</v>
      </c>
      <c r="P108" s="158">
        <f t="shared" si="2"/>
        <v>0.58656250000000021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5.2991924150942902</v>
      </c>
      <c r="C109" s="158">
        <f t="shared" ref="C109:Q109" si="3">STDEV(C9:C104)</f>
        <v>1.8659879091765321</v>
      </c>
      <c r="D109" s="158">
        <f t="shared" si="3"/>
        <v>3.9846444939819983</v>
      </c>
      <c r="E109" s="158">
        <f t="shared" si="3"/>
        <v>1.7906285987073891</v>
      </c>
      <c r="F109" s="158">
        <f t="shared" si="3"/>
        <v>0.75636526959705952</v>
      </c>
      <c r="G109" s="158">
        <f t="shared" si="3"/>
        <v>14.639539237249139</v>
      </c>
      <c r="H109" s="158">
        <f t="shared" si="3"/>
        <v>10.112073242030677</v>
      </c>
      <c r="I109" s="158">
        <f t="shared" si="3"/>
        <v>0.62814589844783852</v>
      </c>
      <c r="J109" s="158">
        <f t="shared" si="3"/>
        <v>0.10075482662244678</v>
      </c>
      <c r="K109" s="158">
        <f t="shared" si="3"/>
        <v>77.645540335779017</v>
      </c>
      <c r="L109" s="158">
        <f t="shared" si="3"/>
        <v>3.3612226720164307</v>
      </c>
      <c r="M109" s="158">
        <f t="shared" si="3"/>
        <v>8.6471671053222874</v>
      </c>
      <c r="N109" s="158">
        <f t="shared" si="3"/>
        <v>134.41824593785162</v>
      </c>
      <c r="O109" s="158">
        <f t="shared" si="3"/>
        <v>0</v>
      </c>
      <c r="P109" s="158">
        <f t="shared" si="3"/>
        <v>4.3741540535525883E-2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H14" sqref="H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436</v>
      </c>
      <c r="B9" s="100">
        <v>8.58</v>
      </c>
      <c r="C9" s="100">
        <v>6.62</v>
      </c>
      <c r="D9" s="100">
        <v>10.34</v>
      </c>
      <c r="E9" s="100">
        <v>6.09</v>
      </c>
      <c r="F9" s="100">
        <v>2</v>
      </c>
      <c r="G9" s="100">
        <v>63.53</v>
      </c>
      <c r="H9" s="100">
        <v>21.25</v>
      </c>
      <c r="I9" s="100">
        <v>7.74</v>
      </c>
      <c r="J9" s="100">
        <v>0.13</v>
      </c>
      <c r="K9" s="100">
        <v>138.94</v>
      </c>
      <c r="L9" s="100">
        <v>13.26</v>
      </c>
      <c r="M9" s="100">
        <v>15.4</v>
      </c>
      <c r="N9" s="100">
        <v>2.1</v>
      </c>
      <c r="O9" s="100">
        <v>0</v>
      </c>
      <c r="P9" s="100">
        <v>0.64</v>
      </c>
      <c r="Q9" s="100">
        <v>9.32</v>
      </c>
      <c r="R9" s="6"/>
      <c r="S9" s="6"/>
      <c r="T9" s="156"/>
      <c r="U9" s="6"/>
    </row>
    <row r="10" spans="1:21" customFormat="1">
      <c r="A10" s="201" t="s">
        <v>437</v>
      </c>
      <c r="B10" s="100">
        <v>8.1300000000000008</v>
      </c>
      <c r="C10" s="100">
        <v>6.97</v>
      </c>
      <c r="D10" s="100">
        <v>10.16</v>
      </c>
      <c r="E10" s="100">
        <v>5.88</v>
      </c>
      <c r="F10" s="100">
        <v>2</v>
      </c>
      <c r="G10" s="100">
        <v>63.53</v>
      </c>
      <c r="H10" s="100">
        <v>21.25</v>
      </c>
      <c r="I10" s="100">
        <v>7.84</v>
      </c>
      <c r="J10" s="100">
        <v>0.16</v>
      </c>
      <c r="K10" s="100">
        <v>151.07</v>
      </c>
      <c r="L10" s="100">
        <v>14.94</v>
      </c>
      <c r="M10" s="100">
        <v>19.579999999999998</v>
      </c>
      <c r="N10" s="100">
        <v>2.2000000000000002</v>
      </c>
      <c r="O10" s="100">
        <v>0</v>
      </c>
      <c r="P10" s="100">
        <v>0.63</v>
      </c>
      <c r="Q10" s="100">
        <v>9.32</v>
      </c>
      <c r="R10" s="6"/>
      <c r="S10" s="6"/>
      <c r="T10" s="156"/>
      <c r="U10" s="6"/>
    </row>
    <row r="11" spans="1:21" customFormat="1">
      <c r="A11" s="201" t="s">
        <v>438</v>
      </c>
      <c r="B11" s="100">
        <v>8.02</v>
      </c>
      <c r="C11" s="100">
        <v>6.94</v>
      </c>
      <c r="D11" s="100">
        <v>10.06</v>
      </c>
      <c r="E11" s="100">
        <v>6.4</v>
      </c>
      <c r="F11" s="100">
        <v>2</v>
      </c>
      <c r="G11" s="100">
        <v>65.489999999999995</v>
      </c>
      <c r="H11" s="100">
        <v>21.41</v>
      </c>
      <c r="I11" s="100">
        <v>7.96</v>
      </c>
      <c r="J11" s="100">
        <v>0.16</v>
      </c>
      <c r="K11" s="100">
        <v>151.72999999999999</v>
      </c>
      <c r="L11" s="100">
        <v>14.68</v>
      </c>
      <c r="M11" s="100">
        <v>18.8</v>
      </c>
      <c r="N11" s="100">
        <v>2.2000000000000002</v>
      </c>
      <c r="O11" s="100">
        <v>0</v>
      </c>
      <c r="P11" s="100">
        <v>0.63</v>
      </c>
      <c r="Q11" s="100">
        <v>9.32</v>
      </c>
      <c r="R11" s="6"/>
      <c r="S11" s="6"/>
      <c r="T11" s="156"/>
      <c r="U11" s="6"/>
    </row>
    <row r="12" spans="1:21" customFormat="1">
      <c r="A12" s="201" t="s">
        <v>439</v>
      </c>
      <c r="B12" s="100">
        <v>8.17</v>
      </c>
      <c r="C12" s="100">
        <v>6.86</v>
      </c>
      <c r="D12" s="100">
        <v>10.130000000000001</v>
      </c>
      <c r="E12" s="100">
        <v>6.43</v>
      </c>
      <c r="F12" s="100">
        <v>2</v>
      </c>
      <c r="G12" s="100">
        <v>66.2</v>
      </c>
      <c r="H12" s="100">
        <v>21.42</v>
      </c>
      <c r="I12" s="100">
        <v>7.98</v>
      </c>
      <c r="J12" s="100">
        <v>7.0000000000000007E-2</v>
      </c>
      <c r="K12" s="100">
        <v>227.37</v>
      </c>
      <c r="L12" s="100">
        <v>20.57</v>
      </c>
      <c r="M12" s="100">
        <v>33.42</v>
      </c>
      <c r="N12" s="100">
        <v>2.2000000000000002</v>
      </c>
      <c r="O12" s="100">
        <v>0</v>
      </c>
      <c r="P12" s="100">
        <v>0.64</v>
      </c>
      <c r="Q12" s="100">
        <v>9.32</v>
      </c>
      <c r="R12" s="6"/>
      <c r="S12" s="6"/>
      <c r="T12" s="156"/>
      <c r="U12" s="6"/>
    </row>
    <row r="13" spans="1:21" customFormat="1">
      <c r="A13" s="201" t="s">
        <v>440</v>
      </c>
      <c r="B13" s="100">
        <v>9.17</v>
      </c>
      <c r="C13" s="100">
        <v>7.3</v>
      </c>
      <c r="D13" s="100">
        <v>11.17</v>
      </c>
      <c r="E13" s="100">
        <v>5.9</v>
      </c>
      <c r="F13" s="100">
        <v>2</v>
      </c>
      <c r="G13" s="100">
        <v>66.2</v>
      </c>
      <c r="H13" s="100">
        <v>21.42</v>
      </c>
      <c r="I13" s="100">
        <v>8.01</v>
      </c>
      <c r="J13" s="100">
        <v>0.11</v>
      </c>
      <c r="K13" s="100">
        <v>187.67</v>
      </c>
      <c r="L13" s="100">
        <v>17.03</v>
      </c>
      <c r="M13" s="100">
        <v>24.64</v>
      </c>
      <c r="N13" s="100">
        <v>2.1</v>
      </c>
      <c r="O13" s="100">
        <v>0</v>
      </c>
      <c r="P13" s="100">
        <v>0.65</v>
      </c>
      <c r="Q13" s="100">
        <v>9.32</v>
      </c>
      <c r="R13" s="6"/>
      <c r="S13" s="6"/>
      <c r="T13" s="156"/>
      <c r="U13" s="6"/>
    </row>
    <row r="14" spans="1:21" customFormat="1">
      <c r="A14" s="201" t="s">
        <v>441</v>
      </c>
      <c r="B14" s="100">
        <v>9.81</v>
      </c>
      <c r="C14" s="100">
        <v>7.42</v>
      </c>
      <c r="D14" s="100">
        <v>11.74</v>
      </c>
      <c r="E14" s="100">
        <v>6.1</v>
      </c>
      <c r="F14" s="100">
        <v>2</v>
      </c>
      <c r="G14" s="100">
        <v>66.2</v>
      </c>
      <c r="H14" s="100">
        <v>21.42</v>
      </c>
      <c r="I14" s="100">
        <v>8.1</v>
      </c>
      <c r="J14" s="100">
        <v>0.08</v>
      </c>
      <c r="K14" s="100">
        <v>190.39</v>
      </c>
      <c r="L14" s="100">
        <v>17.989999999999998</v>
      </c>
      <c r="M14" s="100">
        <v>27.11</v>
      </c>
      <c r="N14" s="100">
        <v>2.2000000000000002</v>
      </c>
      <c r="O14" s="100">
        <v>0</v>
      </c>
      <c r="P14" s="100">
        <v>0.65</v>
      </c>
      <c r="Q14" s="100">
        <v>9.32</v>
      </c>
      <c r="R14" s="6"/>
      <c r="S14" s="6"/>
      <c r="T14" s="156"/>
      <c r="U14" s="6"/>
    </row>
    <row r="15" spans="1:21" customFormat="1">
      <c r="A15" s="201" t="s">
        <v>442</v>
      </c>
      <c r="B15" s="100">
        <v>10.17</v>
      </c>
      <c r="C15" s="100">
        <v>7.56</v>
      </c>
      <c r="D15" s="100">
        <v>12.1</v>
      </c>
      <c r="E15" s="100">
        <v>6.06</v>
      </c>
      <c r="F15" s="100">
        <v>2</v>
      </c>
      <c r="G15" s="100">
        <v>63.22</v>
      </c>
      <c r="H15" s="100">
        <v>25.35</v>
      </c>
      <c r="I15" s="100">
        <v>8.25</v>
      </c>
      <c r="J15" s="100">
        <v>0.14000000000000001</v>
      </c>
      <c r="K15" s="100">
        <v>183.14</v>
      </c>
      <c r="L15" s="100">
        <v>17.510000000000002</v>
      </c>
      <c r="M15" s="100">
        <v>25.85</v>
      </c>
      <c r="N15" s="100">
        <v>2.1</v>
      </c>
      <c r="O15" s="100">
        <v>0</v>
      </c>
      <c r="P15" s="100">
        <v>0.66</v>
      </c>
      <c r="Q15" s="100">
        <v>9.32</v>
      </c>
      <c r="R15" s="6"/>
      <c r="S15" s="6"/>
      <c r="T15" s="156"/>
      <c r="U15" s="6"/>
    </row>
    <row r="16" spans="1:21" customFormat="1">
      <c r="A16" s="201" t="s">
        <v>443</v>
      </c>
      <c r="B16" s="100">
        <v>10.119999999999999</v>
      </c>
      <c r="C16" s="100">
        <v>7.38</v>
      </c>
      <c r="D16" s="100">
        <v>11.97</v>
      </c>
      <c r="E16" s="100">
        <v>6.35</v>
      </c>
      <c r="F16" s="100">
        <v>2</v>
      </c>
      <c r="G16" s="100">
        <v>62.13</v>
      </c>
      <c r="H16" s="100">
        <v>26.3</v>
      </c>
      <c r="I16" s="100">
        <v>8.35</v>
      </c>
      <c r="J16" s="100">
        <v>0.17</v>
      </c>
      <c r="K16" s="100">
        <v>150.43</v>
      </c>
      <c r="L16" s="100">
        <v>14.67</v>
      </c>
      <c r="M16" s="100">
        <v>18.72</v>
      </c>
      <c r="N16" s="100">
        <v>2.1</v>
      </c>
      <c r="O16" s="100">
        <v>0</v>
      </c>
      <c r="P16" s="100">
        <v>0.65</v>
      </c>
      <c r="Q16" s="100">
        <v>9.32</v>
      </c>
      <c r="R16" s="6"/>
      <c r="S16" s="6"/>
      <c r="T16" s="156"/>
      <c r="U16" s="6"/>
    </row>
    <row r="17" spans="1:21" customFormat="1">
      <c r="A17" s="201" t="s">
        <v>444</v>
      </c>
      <c r="B17" s="100">
        <v>9.9499999999999993</v>
      </c>
      <c r="C17" s="100">
        <v>7.15</v>
      </c>
      <c r="D17" s="100">
        <v>11.71</v>
      </c>
      <c r="E17" s="100">
        <v>6.13</v>
      </c>
      <c r="F17" s="100">
        <v>2</v>
      </c>
      <c r="G17" s="100">
        <v>62.13</v>
      </c>
      <c r="H17" s="100">
        <v>26.3</v>
      </c>
      <c r="I17" s="100">
        <v>8.33</v>
      </c>
      <c r="J17" s="100">
        <v>0.12</v>
      </c>
      <c r="K17" s="100">
        <v>141.29</v>
      </c>
      <c r="L17" s="100">
        <v>14.29</v>
      </c>
      <c r="M17" s="100">
        <v>17.829999999999998</v>
      </c>
      <c r="N17" s="100">
        <v>2.2999999999999998</v>
      </c>
      <c r="O17" s="100">
        <v>0</v>
      </c>
      <c r="P17" s="100">
        <v>0.66</v>
      </c>
      <c r="Q17" s="100">
        <v>9.32</v>
      </c>
      <c r="R17" s="6"/>
      <c r="S17" s="6"/>
      <c r="T17" s="156"/>
      <c r="U17" s="6"/>
    </row>
    <row r="18" spans="1:21" customFormat="1">
      <c r="A18" s="201" t="s">
        <v>445</v>
      </c>
      <c r="B18" s="100">
        <v>9.76</v>
      </c>
      <c r="C18" s="100">
        <v>6.89</v>
      </c>
      <c r="D18" s="100">
        <v>11.43</v>
      </c>
      <c r="E18" s="100">
        <v>7.28</v>
      </c>
      <c r="F18" s="100">
        <v>2</v>
      </c>
      <c r="G18" s="100">
        <v>62.13</v>
      </c>
      <c r="H18" s="100">
        <v>26.3</v>
      </c>
      <c r="I18" s="100">
        <v>8.33</v>
      </c>
      <c r="J18" s="100">
        <v>0.08</v>
      </c>
      <c r="K18" s="100">
        <v>178.7</v>
      </c>
      <c r="L18" s="100">
        <v>15.67</v>
      </c>
      <c r="M18" s="100">
        <v>21.33</v>
      </c>
      <c r="N18" s="100">
        <v>2.2000000000000002</v>
      </c>
      <c r="O18" s="100">
        <v>0</v>
      </c>
      <c r="P18" s="100">
        <v>0.65</v>
      </c>
      <c r="Q18" s="100">
        <v>9.32</v>
      </c>
      <c r="R18" s="6"/>
      <c r="S18" s="6"/>
      <c r="T18" s="156"/>
      <c r="U18" s="6"/>
    </row>
    <row r="19" spans="1:21" customFormat="1">
      <c r="A19" s="201" t="s">
        <v>446</v>
      </c>
      <c r="B19" s="100">
        <v>9.48</v>
      </c>
      <c r="C19" s="100">
        <v>6.84</v>
      </c>
      <c r="D19" s="100">
        <v>11.18</v>
      </c>
      <c r="E19" s="100">
        <v>7.11</v>
      </c>
      <c r="F19" s="100">
        <v>2</v>
      </c>
      <c r="G19" s="100">
        <v>60.64</v>
      </c>
      <c r="H19" s="100">
        <v>21.55</v>
      </c>
      <c r="I19" s="100">
        <v>8.36</v>
      </c>
      <c r="J19" s="100">
        <v>0.12</v>
      </c>
      <c r="K19" s="100">
        <v>143.54</v>
      </c>
      <c r="L19" s="100">
        <v>14.26</v>
      </c>
      <c r="M19" s="100">
        <v>17.760000000000002</v>
      </c>
      <c r="N19" s="100">
        <v>2.1</v>
      </c>
      <c r="O19" s="100">
        <v>0</v>
      </c>
      <c r="P19" s="100">
        <v>0.65</v>
      </c>
      <c r="Q19" s="100">
        <v>9.32</v>
      </c>
      <c r="R19" s="6"/>
      <c r="S19" s="6"/>
      <c r="T19" s="156"/>
      <c r="U19" s="6"/>
    </row>
    <row r="20" spans="1:21" customFormat="1">
      <c r="A20" s="201" t="s">
        <v>447</v>
      </c>
      <c r="B20" s="100">
        <v>9.8000000000000007</v>
      </c>
      <c r="C20" s="100">
        <v>6.8</v>
      </c>
      <c r="D20" s="100">
        <v>11.41</v>
      </c>
      <c r="E20" s="100">
        <v>7.08</v>
      </c>
      <c r="F20" s="100">
        <v>2</v>
      </c>
      <c r="G20" s="100">
        <v>60.07</v>
      </c>
      <c r="H20" s="100">
        <v>21.4</v>
      </c>
      <c r="I20" s="100">
        <v>8.3800000000000008</v>
      </c>
      <c r="J20" s="100">
        <v>0.15</v>
      </c>
      <c r="K20" s="100">
        <v>146.44</v>
      </c>
      <c r="L20" s="100">
        <v>14.42</v>
      </c>
      <c r="M20" s="100">
        <v>18.170000000000002</v>
      </c>
      <c r="N20" s="100">
        <v>2.1</v>
      </c>
      <c r="O20" s="100">
        <v>0</v>
      </c>
      <c r="P20" s="100">
        <v>0.66</v>
      </c>
      <c r="Q20" s="100">
        <v>9.32</v>
      </c>
      <c r="R20" s="6"/>
      <c r="S20" s="6"/>
      <c r="T20" s="156"/>
      <c r="U20" s="6"/>
    </row>
    <row r="21" spans="1:21" customFormat="1">
      <c r="A21" s="201" t="s">
        <v>448</v>
      </c>
      <c r="B21" s="100">
        <v>13.36</v>
      </c>
      <c r="C21" s="100">
        <v>8.17</v>
      </c>
      <c r="D21" s="100">
        <v>14.99</v>
      </c>
      <c r="E21" s="100">
        <v>7.33</v>
      </c>
      <c r="F21" s="100">
        <v>2</v>
      </c>
      <c r="G21" s="100">
        <v>60.07</v>
      </c>
      <c r="H21" s="100">
        <v>21.4</v>
      </c>
      <c r="I21" s="100">
        <v>8.42</v>
      </c>
      <c r="J21" s="100">
        <v>0.13</v>
      </c>
      <c r="K21" s="100">
        <v>145.19</v>
      </c>
      <c r="L21" s="100">
        <v>14.13</v>
      </c>
      <c r="M21" s="100">
        <v>17.46</v>
      </c>
      <c r="N21" s="100">
        <v>2.1</v>
      </c>
      <c r="O21" s="100">
        <v>0</v>
      </c>
      <c r="P21" s="100">
        <v>0.67</v>
      </c>
      <c r="Q21" s="100">
        <v>9.32</v>
      </c>
      <c r="R21" s="6"/>
      <c r="S21" s="6"/>
      <c r="T21" s="156"/>
      <c r="U21" s="6"/>
    </row>
    <row r="22" spans="1:21" customFormat="1">
      <c r="A22" s="201" t="s">
        <v>449</v>
      </c>
      <c r="B22" s="100">
        <v>15.59</v>
      </c>
      <c r="C22" s="100">
        <v>8.52</v>
      </c>
      <c r="D22" s="100">
        <v>16.95</v>
      </c>
      <c r="E22" s="100">
        <v>7.41</v>
      </c>
      <c r="F22" s="100">
        <v>2</v>
      </c>
      <c r="G22" s="100">
        <v>60.07</v>
      </c>
      <c r="H22" s="100">
        <v>21.4</v>
      </c>
      <c r="I22" s="100">
        <v>8.49</v>
      </c>
      <c r="J22" s="100">
        <v>0.1</v>
      </c>
      <c r="K22" s="100">
        <v>121.14</v>
      </c>
      <c r="L22" s="100">
        <v>13.16</v>
      </c>
      <c r="M22" s="100">
        <v>15.03</v>
      </c>
      <c r="N22" s="100">
        <v>2.1</v>
      </c>
      <c r="O22" s="100">
        <v>0</v>
      </c>
      <c r="P22" s="100">
        <v>0.68</v>
      </c>
      <c r="Q22" s="100">
        <v>9.32</v>
      </c>
      <c r="R22" s="6"/>
      <c r="S22" s="6"/>
      <c r="T22" s="156"/>
      <c r="U22" s="6"/>
    </row>
    <row r="23" spans="1:21" customFormat="1">
      <c r="A23" s="201" t="s">
        <v>450</v>
      </c>
      <c r="B23" s="100">
        <v>17.14</v>
      </c>
      <c r="C23" s="100">
        <v>9.34</v>
      </c>
      <c r="D23" s="100">
        <v>18.63</v>
      </c>
      <c r="E23" s="100">
        <v>7.67</v>
      </c>
      <c r="F23" s="100">
        <v>2</v>
      </c>
      <c r="G23" s="100">
        <v>64.25</v>
      </c>
      <c r="H23" s="100">
        <v>22.89</v>
      </c>
      <c r="I23" s="100">
        <v>8.56</v>
      </c>
      <c r="J23" s="100">
        <v>0.28999999999999998</v>
      </c>
      <c r="K23" s="100">
        <v>47.96</v>
      </c>
      <c r="L23" s="100">
        <v>7.24</v>
      </c>
      <c r="M23" s="100">
        <v>-0.01</v>
      </c>
      <c r="N23" s="100">
        <v>2.1</v>
      </c>
      <c r="O23" s="100">
        <v>0</v>
      </c>
      <c r="P23" s="100">
        <v>0.68</v>
      </c>
      <c r="Q23" s="100">
        <v>9.32</v>
      </c>
      <c r="R23" s="6"/>
      <c r="S23" s="6"/>
      <c r="T23" s="156"/>
      <c r="U23" s="6"/>
    </row>
    <row r="24" spans="1:21" customFormat="1">
      <c r="A24" s="201" t="s">
        <v>451</v>
      </c>
      <c r="B24" s="100">
        <v>16.28</v>
      </c>
      <c r="C24" s="100">
        <v>8.65</v>
      </c>
      <c r="D24" s="100">
        <v>17.579999999999998</v>
      </c>
      <c r="E24" s="100">
        <v>7.62</v>
      </c>
      <c r="F24" s="100">
        <v>2</v>
      </c>
      <c r="G24" s="100">
        <v>65.86</v>
      </c>
      <c r="H24" s="100">
        <v>22.94</v>
      </c>
      <c r="I24" s="100">
        <v>8.77</v>
      </c>
      <c r="J24" s="100">
        <v>0.12</v>
      </c>
      <c r="K24" s="100">
        <v>74.33</v>
      </c>
      <c r="L24" s="100">
        <v>9.44</v>
      </c>
      <c r="M24" s="100">
        <v>5.58</v>
      </c>
      <c r="N24" s="100">
        <v>2.1</v>
      </c>
      <c r="O24" s="100">
        <v>0</v>
      </c>
      <c r="P24" s="100">
        <v>0.68</v>
      </c>
      <c r="Q24" s="100">
        <v>9.32</v>
      </c>
      <c r="R24" s="6"/>
      <c r="S24" s="6"/>
      <c r="T24" s="156"/>
      <c r="U24" s="6"/>
    </row>
    <row r="25" spans="1:21" customFormat="1">
      <c r="A25" s="201" t="s">
        <v>452</v>
      </c>
      <c r="B25" s="100">
        <v>16.41</v>
      </c>
      <c r="C25" s="100">
        <v>8.49</v>
      </c>
      <c r="D25" s="100">
        <v>17.59</v>
      </c>
      <c r="E25" s="100">
        <v>7.6</v>
      </c>
      <c r="F25" s="100">
        <v>2</v>
      </c>
      <c r="G25" s="100">
        <v>65.86</v>
      </c>
      <c r="H25" s="100">
        <v>22.94</v>
      </c>
      <c r="I25" s="100">
        <v>8.86</v>
      </c>
      <c r="J25" s="100">
        <v>0.13</v>
      </c>
      <c r="K25" s="100">
        <v>88.94</v>
      </c>
      <c r="L25" s="100">
        <v>10.41</v>
      </c>
      <c r="M25" s="100">
        <v>8.08</v>
      </c>
      <c r="N25" s="100">
        <v>2.1</v>
      </c>
      <c r="O25" s="100">
        <v>0</v>
      </c>
      <c r="P25" s="100">
        <v>0.67</v>
      </c>
      <c r="Q25" s="100">
        <v>9.32</v>
      </c>
      <c r="R25" s="6"/>
      <c r="S25" s="6"/>
      <c r="T25" s="156"/>
      <c r="U25" s="6"/>
    </row>
    <row r="26" spans="1:21" customFormat="1">
      <c r="A26" s="201" t="s">
        <v>453</v>
      </c>
      <c r="B26" s="100">
        <v>16.52</v>
      </c>
      <c r="C26" s="100">
        <v>8.3699999999999992</v>
      </c>
      <c r="D26" s="100">
        <v>17.62</v>
      </c>
      <c r="E26" s="100">
        <v>7.54</v>
      </c>
      <c r="F26" s="100">
        <v>2</v>
      </c>
      <c r="G26" s="100">
        <v>65.86</v>
      </c>
      <c r="H26" s="100">
        <v>22.94</v>
      </c>
      <c r="I26" s="100">
        <v>8.7200000000000006</v>
      </c>
      <c r="J26" s="100">
        <v>0.12</v>
      </c>
      <c r="K26" s="100">
        <v>185.82</v>
      </c>
      <c r="L26" s="100">
        <v>17.899999999999999</v>
      </c>
      <c r="M26" s="100">
        <v>26.98</v>
      </c>
      <c r="N26" s="100">
        <v>2.2999999999999998</v>
      </c>
      <c r="O26" s="100">
        <v>0</v>
      </c>
      <c r="P26" s="100">
        <v>0.67</v>
      </c>
      <c r="Q26" s="100">
        <v>9.32</v>
      </c>
      <c r="R26" s="6"/>
      <c r="S26" s="6"/>
      <c r="T26" s="156"/>
      <c r="U26" s="6"/>
    </row>
    <row r="27" spans="1:21" customFormat="1">
      <c r="A27" s="201" t="s">
        <v>454</v>
      </c>
      <c r="B27" s="100">
        <v>16.29</v>
      </c>
      <c r="C27" s="100">
        <v>8.06</v>
      </c>
      <c r="D27" s="100">
        <v>17.28</v>
      </c>
      <c r="E27" s="100">
        <v>7.16</v>
      </c>
      <c r="F27" s="100">
        <v>2</v>
      </c>
      <c r="G27" s="100">
        <v>69.13</v>
      </c>
      <c r="H27" s="100">
        <v>25.79</v>
      </c>
      <c r="I27" s="100">
        <v>8.68</v>
      </c>
      <c r="J27" s="100">
        <v>0.11</v>
      </c>
      <c r="K27" s="100">
        <v>151.29</v>
      </c>
      <c r="L27" s="100">
        <v>15.4</v>
      </c>
      <c r="M27" s="100">
        <v>20.65</v>
      </c>
      <c r="N27" s="100">
        <v>2.1</v>
      </c>
      <c r="O27" s="100">
        <v>0</v>
      </c>
      <c r="P27" s="100">
        <v>0.67</v>
      </c>
      <c r="Q27" s="100">
        <v>9.32</v>
      </c>
      <c r="R27" s="6"/>
      <c r="S27" s="6"/>
      <c r="T27" s="156"/>
      <c r="U27" s="6"/>
    </row>
    <row r="28" spans="1:21" customFormat="1">
      <c r="A28" s="201" t="s">
        <v>455</v>
      </c>
      <c r="B28" s="100">
        <v>16.420000000000002</v>
      </c>
      <c r="C28" s="100">
        <v>8.06</v>
      </c>
      <c r="D28" s="100">
        <v>17.38</v>
      </c>
      <c r="E28" s="100">
        <v>7.48</v>
      </c>
      <c r="F28" s="100">
        <v>2</v>
      </c>
      <c r="G28" s="100">
        <v>70.39</v>
      </c>
      <c r="H28" s="100">
        <v>25.87</v>
      </c>
      <c r="I28" s="100">
        <v>8.6300000000000008</v>
      </c>
      <c r="J28" s="100">
        <v>0.08</v>
      </c>
      <c r="K28" s="100">
        <v>95.35</v>
      </c>
      <c r="L28" s="100">
        <v>10.29</v>
      </c>
      <c r="M28" s="100">
        <v>7.75</v>
      </c>
      <c r="N28" s="100">
        <v>2.1</v>
      </c>
      <c r="O28" s="100">
        <v>0</v>
      </c>
      <c r="P28" s="100">
        <v>0.67</v>
      </c>
      <c r="Q28" s="100">
        <v>9.32</v>
      </c>
      <c r="R28" s="6"/>
      <c r="S28" s="6"/>
      <c r="T28" s="156"/>
      <c r="U28" s="6"/>
    </row>
    <row r="29" spans="1:21" customFormat="1">
      <c r="A29" s="201" t="s">
        <v>456</v>
      </c>
      <c r="B29" s="100">
        <v>16.54</v>
      </c>
      <c r="C29" s="100">
        <v>7.97</v>
      </c>
      <c r="D29" s="100">
        <v>17.43</v>
      </c>
      <c r="E29" s="100">
        <v>7.59</v>
      </c>
      <c r="F29" s="100">
        <v>2</v>
      </c>
      <c r="G29" s="100">
        <v>70.39</v>
      </c>
      <c r="H29" s="100">
        <v>25.87</v>
      </c>
      <c r="I29" s="100">
        <v>8.58</v>
      </c>
      <c r="J29" s="100">
        <v>0.11</v>
      </c>
      <c r="K29" s="100">
        <v>122.94</v>
      </c>
      <c r="L29" s="100">
        <v>12.43</v>
      </c>
      <c r="M29" s="100">
        <v>13.26</v>
      </c>
      <c r="N29" s="100">
        <v>2.1</v>
      </c>
      <c r="O29" s="100">
        <v>0</v>
      </c>
      <c r="P29" s="100">
        <v>0.72</v>
      </c>
      <c r="Q29" s="100">
        <v>9.32</v>
      </c>
      <c r="R29" s="6"/>
      <c r="S29" s="6"/>
      <c r="T29" s="156"/>
      <c r="U29" s="6"/>
    </row>
    <row r="30" spans="1:21" customFormat="1">
      <c r="A30" s="201" t="s">
        <v>457</v>
      </c>
      <c r="B30" s="100">
        <v>16.87</v>
      </c>
      <c r="C30" s="100">
        <v>7.93</v>
      </c>
      <c r="D30" s="100">
        <v>17.670000000000002</v>
      </c>
      <c r="E30" s="100">
        <v>7.71</v>
      </c>
      <c r="F30" s="100">
        <v>2</v>
      </c>
      <c r="G30" s="100">
        <v>70.39</v>
      </c>
      <c r="H30" s="100">
        <v>25.87</v>
      </c>
      <c r="I30" s="100">
        <v>8.57</v>
      </c>
      <c r="J30" s="100">
        <v>0.2</v>
      </c>
      <c r="K30" s="100">
        <v>52.13</v>
      </c>
      <c r="L30" s="100">
        <v>7.91</v>
      </c>
      <c r="M30" s="100">
        <v>1.78</v>
      </c>
      <c r="N30" s="100">
        <v>2.1</v>
      </c>
      <c r="O30" s="100">
        <v>0</v>
      </c>
      <c r="P30" s="100">
        <v>0.73</v>
      </c>
      <c r="Q30" s="100">
        <v>9.32</v>
      </c>
      <c r="R30" s="6"/>
      <c r="S30" s="6"/>
      <c r="T30" s="156"/>
      <c r="U30" s="6"/>
    </row>
    <row r="31" spans="1:21" customFormat="1">
      <c r="A31" s="201" t="s">
        <v>458</v>
      </c>
      <c r="B31" s="100">
        <v>17.29</v>
      </c>
      <c r="C31" s="100">
        <v>7.94</v>
      </c>
      <c r="D31" s="100">
        <v>18.010000000000002</v>
      </c>
      <c r="E31" s="100">
        <v>7.55</v>
      </c>
      <c r="F31" s="100">
        <v>2</v>
      </c>
      <c r="G31" s="100">
        <v>70.040000000000006</v>
      </c>
      <c r="H31" s="100">
        <v>27.13</v>
      </c>
      <c r="I31" s="100">
        <v>8.6</v>
      </c>
      <c r="J31" s="100">
        <v>0.09</v>
      </c>
      <c r="K31" s="100">
        <v>89.71</v>
      </c>
      <c r="L31" s="100">
        <v>10.61</v>
      </c>
      <c r="M31" s="100">
        <v>8.7100000000000009</v>
      </c>
      <c r="N31" s="100">
        <v>2.1</v>
      </c>
      <c r="O31" s="100">
        <v>0</v>
      </c>
      <c r="P31" s="100">
        <v>0.73</v>
      </c>
      <c r="Q31" s="100">
        <v>9.32</v>
      </c>
      <c r="R31" s="6"/>
      <c r="S31" s="6"/>
      <c r="T31" s="156"/>
      <c r="U31" s="6"/>
    </row>
    <row r="32" spans="1:21" customFormat="1">
      <c r="A32" s="201" t="s">
        <v>459</v>
      </c>
      <c r="B32" s="100">
        <v>17.71</v>
      </c>
      <c r="C32" s="100">
        <v>7.92</v>
      </c>
      <c r="D32" s="100">
        <v>18.34</v>
      </c>
      <c r="E32" s="100">
        <v>7.56</v>
      </c>
      <c r="F32" s="100">
        <v>2</v>
      </c>
      <c r="G32" s="100">
        <v>69.900000000000006</v>
      </c>
      <c r="H32" s="100">
        <v>27.3</v>
      </c>
      <c r="I32" s="100">
        <v>8.61</v>
      </c>
      <c r="J32" s="100">
        <v>0.04</v>
      </c>
      <c r="K32" s="100">
        <v>84.07</v>
      </c>
      <c r="L32" s="100">
        <v>15.89</v>
      </c>
      <c r="M32" s="100">
        <v>21.9</v>
      </c>
      <c r="N32" s="100">
        <v>2.5</v>
      </c>
      <c r="O32" s="100">
        <v>0</v>
      </c>
      <c r="P32" s="100">
        <v>0.71</v>
      </c>
      <c r="Q32" s="100">
        <v>9.32</v>
      </c>
      <c r="R32" s="6"/>
      <c r="S32" s="6"/>
      <c r="T32" s="156"/>
      <c r="U32" s="6"/>
    </row>
    <row r="33" spans="1:21" customFormat="1">
      <c r="A33" s="201" t="s">
        <v>460</v>
      </c>
      <c r="B33" s="100">
        <v>18.2</v>
      </c>
      <c r="C33" s="100">
        <v>7.96</v>
      </c>
      <c r="D33" s="100">
        <v>18.760000000000002</v>
      </c>
      <c r="E33" s="100">
        <v>7.87</v>
      </c>
      <c r="F33" s="100">
        <v>2</v>
      </c>
      <c r="G33" s="100">
        <v>69.900000000000006</v>
      </c>
      <c r="H33" s="100">
        <v>27.3</v>
      </c>
      <c r="I33" s="100">
        <v>8.66</v>
      </c>
      <c r="J33" s="100">
        <v>0.06</v>
      </c>
      <c r="K33" s="100">
        <v>90.34</v>
      </c>
      <c r="L33" s="100">
        <v>12.46</v>
      </c>
      <c r="M33" s="100">
        <v>13.27</v>
      </c>
      <c r="N33" s="100">
        <v>4.5999999999999996</v>
      </c>
      <c r="O33" s="100">
        <v>0</v>
      </c>
      <c r="P33" s="100">
        <v>0.71</v>
      </c>
      <c r="Q33" s="100">
        <v>9.32</v>
      </c>
      <c r="R33" s="6"/>
      <c r="S33" s="6"/>
      <c r="T33" s="156"/>
      <c r="U33" s="6"/>
    </row>
    <row r="34" spans="1:21" customFormat="1">
      <c r="A34" s="201" t="s">
        <v>461</v>
      </c>
      <c r="B34" s="100">
        <v>18.739999999999998</v>
      </c>
      <c r="C34" s="100">
        <v>8.17</v>
      </c>
      <c r="D34" s="100">
        <v>19.3</v>
      </c>
      <c r="E34" s="100">
        <v>7.71</v>
      </c>
      <c r="F34" s="100">
        <v>2</v>
      </c>
      <c r="G34" s="100">
        <v>69.900000000000006</v>
      </c>
      <c r="H34" s="100">
        <v>27.3</v>
      </c>
      <c r="I34" s="100">
        <v>8.69</v>
      </c>
      <c r="J34" s="100">
        <v>0.32</v>
      </c>
      <c r="K34" s="100">
        <v>46.43</v>
      </c>
      <c r="L34" s="100">
        <v>7.23</v>
      </c>
      <c r="M34" s="100">
        <v>-0.15</v>
      </c>
      <c r="N34" s="100">
        <v>10.199999999999999</v>
      </c>
      <c r="O34" s="100">
        <v>0</v>
      </c>
      <c r="P34" s="100">
        <v>0.72</v>
      </c>
      <c r="Q34" s="100">
        <v>9.32</v>
      </c>
      <c r="R34" s="6"/>
      <c r="S34" s="6"/>
      <c r="T34" s="156"/>
      <c r="U34" s="6"/>
    </row>
    <row r="35" spans="1:21" customFormat="1">
      <c r="A35" s="201" t="s">
        <v>462</v>
      </c>
      <c r="B35" s="100">
        <v>19.14</v>
      </c>
      <c r="C35" s="100">
        <v>8.57</v>
      </c>
      <c r="D35" s="100">
        <v>19.82</v>
      </c>
      <c r="E35" s="100">
        <v>7.81</v>
      </c>
      <c r="F35" s="100">
        <v>2</v>
      </c>
      <c r="G35" s="100">
        <v>70.58</v>
      </c>
      <c r="H35" s="100">
        <v>25.19</v>
      </c>
      <c r="I35" s="100">
        <v>8.68</v>
      </c>
      <c r="J35" s="100">
        <v>0.33</v>
      </c>
      <c r="K35" s="100">
        <v>43.39</v>
      </c>
      <c r="L35" s="100">
        <v>6.73</v>
      </c>
      <c r="M35" s="100">
        <v>-1.61</v>
      </c>
      <c r="N35" s="100">
        <v>18.100000000000001</v>
      </c>
      <c r="O35" s="100">
        <v>0</v>
      </c>
      <c r="P35" s="100">
        <v>0.72</v>
      </c>
      <c r="Q35" s="100">
        <v>9.32</v>
      </c>
      <c r="R35" s="6"/>
      <c r="S35" s="6"/>
      <c r="T35" s="156"/>
      <c r="U35" s="6"/>
    </row>
    <row r="36" spans="1:21" customFormat="1">
      <c r="A36" s="201" t="s">
        <v>463</v>
      </c>
      <c r="B36" s="100">
        <v>19.39</v>
      </c>
      <c r="C36" s="100">
        <v>8.51</v>
      </c>
      <c r="D36" s="100">
        <v>20</v>
      </c>
      <c r="E36" s="100">
        <v>7.56</v>
      </c>
      <c r="F36" s="100">
        <v>2</v>
      </c>
      <c r="G36" s="100">
        <v>70.83</v>
      </c>
      <c r="H36" s="100">
        <v>25.13</v>
      </c>
      <c r="I36" s="100">
        <v>8.68</v>
      </c>
      <c r="J36" s="100">
        <v>0.24</v>
      </c>
      <c r="K36" s="100">
        <v>43.9</v>
      </c>
      <c r="L36" s="100">
        <v>8.16</v>
      </c>
      <c r="M36" s="100">
        <v>1.69</v>
      </c>
      <c r="N36" s="100">
        <v>30.2</v>
      </c>
      <c r="O36" s="100">
        <v>0</v>
      </c>
      <c r="P36" s="100">
        <v>0.72</v>
      </c>
      <c r="Q36" s="100">
        <v>9.32</v>
      </c>
      <c r="R36" s="6"/>
      <c r="S36" s="6"/>
      <c r="T36" s="156"/>
      <c r="U36" s="6"/>
    </row>
    <row r="37" spans="1:21" customFormat="1">
      <c r="A37" s="201" t="s">
        <v>464</v>
      </c>
      <c r="B37" s="100">
        <v>19.63</v>
      </c>
      <c r="C37" s="100">
        <v>8.5399999999999991</v>
      </c>
      <c r="D37" s="100">
        <v>20.2</v>
      </c>
      <c r="E37" s="100">
        <v>7.55</v>
      </c>
      <c r="F37" s="100">
        <v>2</v>
      </c>
      <c r="G37" s="100">
        <v>70.83</v>
      </c>
      <c r="H37" s="100">
        <v>25.13</v>
      </c>
      <c r="I37" s="100">
        <v>8.7200000000000006</v>
      </c>
      <c r="J37" s="100">
        <v>0.09</v>
      </c>
      <c r="K37" s="100">
        <v>109.67</v>
      </c>
      <c r="L37" s="100">
        <v>16.399999999999999</v>
      </c>
      <c r="M37" s="100">
        <v>22.12</v>
      </c>
      <c r="N37" s="100">
        <v>47.8</v>
      </c>
      <c r="O37" s="100">
        <v>0</v>
      </c>
      <c r="P37" s="100">
        <v>0.73</v>
      </c>
      <c r="Q37" s="100">
        <v>9.32</v>
      </c>
      <c r="R37" s="6"/>
      <c r="S37" s="6"/>
      <c r="T37" s="156"/>
      <c r="U37" s="6"/>
    </row>
    <row r="38" spans="1:21" customFormat="1">
      <c r="A38" s="201" t="s">
        <v>465</v>
      </c>
      <c r="B38" s="100">
        <v>19.55</v>
      </c>
      <c r="C38" s="100">
        <v>8.44</v>
      </c>
      <c r="D38" s="100">
        <v>20.09</v>
      </c>
      <c r="E38" s="100">
        <v>7.62</v>
      </c>
      <c r="F38" s="100">
        <v>2</v>
      </c>
      <c r="G38" s="100">
        <v>70.83</v>
      </c>
      <c r="H38" s="100">
        <v>25.13</v>
      </c>
      <c r="I38" s="100">
        <v>8.74</v>
      </c>
      <c r="J38" s="100">
        <v>0.38</v>
      </c>
      <c r="K38" s="100">
        <v>46.54</v>
      </c>
      <c r="L38" s="100">
        <v>7.91</v>
      </c>
      <c r="M38" s="100">
        <v>0.28000000000000003</v>
      </c>
      <c r="N38" s="100">
        <v>63.1</v>
      </c>
      <c r="O38" s="100">
        <v>0</v>
      </c>
      <c r="P38" s="100">
        <v>0.72</v>
      </c>
      <c r="Q38" s="100">
        <v>9.32</v>
      </c>
      <c r="R38" s="6"/>
      <c r="S38" s="6"/>
      <c r="T38" s="156"/>
      <c r="U38" s="6"/>
    </row>
    <row r="39" spans="1:21" customFormat="1">
      <c r="A39" s="201" t="s">
        <v>466</v>
      </c>
      <c r="B39" s="100">
        <v>19.36</v>
      </c>
      <c r="C39" s="100">
        <v>8.44</v>
      </c>
      <c r="D39" s="100">
        <v>19.93</v>
      </c>
      <c r="E39" s="100">
        <v>7.89</v>
      </c>
      <c r="F39" s="100">
        <v>2</v>
      </c>
      <c r="G39" s="100">
        <v>75.069999999999993</v>
      </c>
      <c r="H39" s="100">
        <v>29.76</v>
      </c>
      <c r="I39" s="100">
        <v>8.76</v>
      </c>
      <c r="J39" s="100">
        <v>0.32</v>
      </c>
      <c r="K39" s="100">
        <v>49.07</v>
      </c>
      <c r="L39" s="100">
        <v>9.6999999999999993</v>
      </c>
      <c r="M39" s="100">
        <v>3.74</v>
      </c>
      <c r="N39" s="100">
        <v>109</v>
      </c>
      <c r="O39" s="100">
        <v>0</v>
      </c>
      <c r="P39" s="100">
        <v>0.73</v>
      </c>
      <c r="Q39" s="100">
        <v>9.32</v>
      </c>
      <c r="R39" s="6"/>
      <c r="S39" s="6"/>
      <c r="T39" s="156"/>
      <c r="U39" s="6"/>
    </row>
    <row r="40" spans="1:21" customFormat="1">
      <c r="A40" s="201" t="s">
        <v>467</v>
      </c>
      <c r="B40" s="100">
        <v>19.149999999999999</v>
      </c>
      <c r="C40" s="100">
        <v>8.52</v>
      </c>
      <c r="D40" s="100">
        <v>19.809999999999999</v>
      </c>
      <c r="E40" s="100">
        <v>7.76</v>
      </c>
      <c r="F40" s="100">
        <v>2</v>
      </c>
      <c r="G40" s="100">
        <v>76.61</v>
      </c>
      <c r="H40" s="100">
        <v>29.9</v>
      </c>
      <c r="I40" s="100">
        <v>8.77</v>
      </c>
      <c r="J40" s="100">
        <v>0.45</v>
      </c>
      <c r="K40" s="100">
        <v>41.24</v>
      </c>
      <c r="L40" s="100">
        <v>8.81</v>
      </c>
      <c r="M40" s="100">
        <v>-0.45</v>
      </c>
      <c r="N40" s="100">
        <v>187.7</v>
      </c>
      <c r="O40" s="100">
        <v>0</v>
      </c>
      <c r="P40" s="100">
        <v>0.72</v>
      </c>
      <c r="Q40" s="100">
        <v>9.32</v>
      </c>
      <c r="R40" s="6"/>
      <c r="S40" s="6"/>
      <c r="T40" s="156"/>
      <c r="U40" s="6"/>
    </row>
    <row r="41" spans="1:21" customFormat="1">
      <c r="A41" s="201" t="s">
        <v>468</v>
      </c>
      <c r="B41" s="100">
        <v>18.73</v>
      </c>
      <c r="C41" s="100">
        <v>8.56</v>
      </c>
      <c r="D41" s="100">
        <v>19.5</v>
      </c>
      <c r="E41" s="100">
        <v>7.93</v>
      </c>
      <c r="F41" s="100">
        <v>2</v>
      </c>
      <c r="G41" s="100">
        <v>76.61</v>
      </c>
      <c r="H41" s="100">
        <v>29.9</v>
      </c>
      <c r="I41" s="100">
        <v>8.7899999999999991</v>
      </c>
      <c r="J41" s="100">
        <v>0.45</v>
      </c>
      <c r="K41" s="100">
        <v>47.53</v>
      </c>
      <c r="L41" s="100">
        <v>10.52</v>
      </c>
      <c r="M41" s="100">
        <v>2.96</v>
      </c>
      <c r="N41" s="100">
        <v>228.8</v>
      </c>
      <c r="O41" s="100">
        <v>0</v>
      </c>
      <c r="P41" s="100">
        <v>0.72</v>
      </c>
      <c r="Q41" s="100">
        <v>9.32</v>
      </c>
      <c r="R41" s="6"/>
      <c r="S41" s="6"/>
      <c r="T41" s="156"/>
      <c r="U41" s="6"/>
    </row>
    <row r="42" spans="1:21" customFormat="1">
      <c r="A42" s="201" t="s">
        <v>469</v>
      </c>
      <c r="B42" s="100">
        <v>18.43</v>
      </c>
      <c r="C42" s="100">
        <v>8.69</v>
      </c>
      <c r="D42" s="100">
        <v>19.32</v>
      </c>
      <c r="E42" s="100">
        <v>7.99</v>
      </c>
      <c r="F42" s="100">
        <v>2</v>
      </c>
      <c r="G42" s="100">
        <v>76.61</v>
      </c>
      <c r="H42" s="100">
        <v>29.9</v>
      </c>
      <c r="I42" s="100">
        <v>8.7799999999999994</v>
      </c>
      <c r="J42" s="100">
        <v>0.35</v>
      </c>
      <c r="K42" s="100">
        <v>51.89</v>
      </c>
      <c r="L42" s="100">
        <v>12</v>
      </c>
      <c r="M42" s="100">
        <v>5.79</v>
      </c>
      <c r="N42" s="100">
        <v>267.3</v>
      </c>
      <c r="O42" s="100">
        <v>0</v>
      </c>
      <c r="P42" s="100">
        <v>0.72</v>
      </c>
      <c r="Q42" s="100">
        <v>9.32</v>
      </c>
      <c r="R42" s="6"/>
      <c r="S42" s="6"/>
      <c r="T42" s="156"/>
      <c r="U42" s="6"/>
    </row>
    <row r="43" spans="1:21" customFormat="1">
      <c r="A43" s="201" t="s">
        <v>470</v>
      </c>
      <c r="B43" s="100">
        <v>18.079999999999998</v>
      </c>
      <c r="C43" s="100">
        <v>8.76</v>
      </c>
      <c r="D43" s="100">
        <v>19.079999999999998</v>
      </c>
      <c r="E43" s="100">
        <v>7.95</v>
      </c>
      <c r="F43" s="100">
        <v>2</v>
      </c>
      <c r="G43" s="100">
        <v>85.59</v>
      </c>
      <c r="H43" s="100">
        <v>31.54</v>
      </c>
      <c r="I43" s="100">
        <v>8.74</v>
      </c>
      <c r="J43" s="100">
        <v>0.24</v>
      </c>
      <c r="K43" s="100">
        <v>68.14</v>
      </c>
      <c r="L43" s="100">
        <v>14.79</v>
      </c>
      <c r="M43" s="100">
        <v>11.98</v>
      </c>
      <c r="N43" s="100">
        <v>305.3</v>
      </c>
      <c r="O43" s="100">
        <v>0</v>
      </c>
      <c r="P43" s="100">
        <v>0.72</v>
      </c>
      <c r="Q43" s="100">
        <v>9.32</v>
      </c>
      <c r="R43" s="6"/>
      <c r="S43" s="6"/>
      <c r="T43" s="156"/>
      <c r="U43" s="6"/>
    </row>
    <row r="44" spans="1:21" customFormat="1">
      <c r="A44" s="201" t="s">
        <v>471</v>
      </c>
      <c r="B44" s="100">
        <v>17.690000000000001</v>
      </c>
      <c r="C44" s="100">
        <v>8.8000000000000007</v>
      </c>
      <c r="D44" s="100">
        <v>18.78</v>
      </c>
      <c r="E44" s="100">
        <v>7.61</v>
      </c>
      <c r="F44" s="100">
        <v>2</v>
      </c>
      <c r="G44" s="100">
        <v>89.04</v>
      </c>
      <c r="H44" s="100">
        <v>31.56</v>
      </c>
      <c r="I44" s="100">
        <v>8.75</v>
      </c>
      <c r="J44" s="100">
        <v>0.41</v>
      </c>
      <c r="K44" s="100">
        <v>53.85</v>
      </c>
      <c r="L44" s="100">
        <v>11.45</v>
      </c>
      <c r="M44" s="100">
        <v>2.6</v>
      </c>
      <c r="N44" s="100">
        <v>344.5</v>
      </c>
      <c r="O44" s="100">
        <v>0</v>
      </c>
      <c r="P44" s="100">
        <v>0.72</v>
      </c>
      <c r="Q44" s="100">
        <v>9.32</v>
      </c>
      <c r="R44" s="6"/>
      <c r="S44" s="6"/>
      <c r="T44" s="156"/>
      <c r="U44" s="6"/>
    </row>
    <row r="45" spans="1:21" customFormat="1">
      <c r="A45" s="201" t="s">
        <v>472</v>
      </c>
      <c r="B45" s="100">
        <v>17.260000000000002</v>
      </c>
      <c r="C45" s="100">
        <v>8.9499999999999993</v>
      </c>
      <c r="D45" s="100">
        <v>18.52</v>
      </c>
      <c r="E45" s="100">
        <v>8.01</v>
      </c>
      <c r="F45" s="100">
        <v>2</v>
      </c>
      <c r="G45" s="100">
        <v>89.04</v>
      </c>
      <c r="H45" s="100">
        <v>31.56</v>
      </c>
      <c r="I45" s="100">
        <v>8.73</v>
      </c>
      <c r="J45" s="100">
        <v>0.27</v>
      </c>
      <c r="K45" s="100">
        <v>56.55</v>
      </c>
      <c r="L45" s="100">
        <v>13.98</v>
      </c>
      <c r="M45" s="100">
        <v>7.93</v>
      </c>
      <c r="N45" s="100">
        <v>387.8</v>
      </c>
      <c r="O45" s="100">
        <v>0</v>
      </c>
      <c r="P45" s="100">
        <v>0.71</v>
      </c>
      <c r="Q45" s="100">
        <v>9.32</v>
      </c>
      <c r="R45" s="6"/>
      <c r="S45" s="6"/>
      <c r="T45" s="156"/>
      <c r="U45" s="6"/>
    </row>
    <row r="46" spans="1:21" customFormat="1">
      <c r="A46" s="201" t="s">
        <v>473</v>
      </c>
      <c r="B46" s="100">
        <v>16.89</v>
      </c>
      <c r="C46" s="100">
        <v>9.18</v>
      </c>
      <c r="D46" s="100">
        <v>18.34</v>
      </c>
      <c r="E46" s="100">
        <v>7.96</v>
      </c>
      <c r="F46" s="100">
        <v>2</v>
      </c>
      <c r="G46" s="100">
        <v>89.04</v>
      </c>
      <c r="H46" s="100">
        <v>31.56</v>
      </c>
      <c r="I46" s="100">
        <v>8.68</v>
      </c>
      <c r="J46" s="100">
        <v>0.42</v>
      </c>
      <c r="K46" s="100">
        <v>46.43</v>
      </c>
      <c r="L46" s="100">
        <v>12.34</v>
      </c>
      <c r="M46" s="100">
        <v>3.09</v>
      </c>
      <c r="N46" s="100">
        <v>415.9</v>
      </c>
      <c r="O46" s="100">
        <v>0</v>
      </c>
      <c r="P46" s="100">
        <v>0.71</v>
      </c>
      <c r="Q46" s="100">
        <v>9.4499999999999993</v>
      </c>
      <c r="R46" s="6"/>
      <c r="S46" s="6"/>
      <c r="T46" s="156"/>
      <c r="U46" s="6"/>
    </row>
    <row r="47" spans="1:21" customFormat="1">
      <c r="A47" s="201" t="s">
        <v>474</v>
      </c>
      <c r="B47" s="100">
        <v>16.52</v>
      </c>
      <c r="C47" s="100">
        <v>9.75</v>
      </c>
      <c r="D47" s="100">
        <v>18.34</v>
      </c>
      <c r="E47" s="100">
        <v>8.1199999999999992</v>
      </c>
      <c r="F47" s="100">
        <v>2</v>
      </c>
      <c r="G47" s="100">
        <v>84.38</v>
      </c>
      <c r="H47" s="100">
        <v>28.04</v>
      </c>
      <c r="I47" s="100">
        <v>8.61</v>
      </c>
      <c r="J47" s="100">
        <v>0.23</v>
      </c>
      <c r="K47" s="100">
        <v>73.510000000000005</v>
      </c>
      <c r="L47" s="100">
        <v>13.38</v>
      </c>
      <c r="M47" s="100">
        <v>8.4600000000000009</v>
      </c>
      <c r="N47" s="100">
        <v>306</v>
      </c>
      <c r="O47" s="100">
        <v>0</v>
      </c>
      <c r="P47" s="100">
        <v>0.7</v>
      </c>
      <c r="Q47" s="100">
        <v>9.32</v>
      </c>
      <c r="R47" s="6"/>
      <c r="S47" s="6"/>
      <c r="T47" s="156"/>
      <c r="U47" s="6"/>
    </row>
    <row r="48" spans="1:21" customFormat="1">
      <c r="A48" s="201" t="s">
        <v>475</v>
      </c>
      <c r="B48" s="100">
        <v>15.83</v>
      </c>
      <c r="C48" s="100">
        <v>9.6</v>
      </c>
      <c r="D48" s="100">
        <v>17.71</v>
      </c>
      <c r="E48" s="100">
        <v>7.67</v>
      </c>
      <c r="F48" s="100">
        <v>2</v>
      </c>
      <c r="G48" s="100">
        <v>82.69</v>
      </c>
      <c r="H48" s="100">
        <v>27.93</v>
      </c>
      <c r="I48" s="100">
        <v>8.5</v>
      </c>
      <c r="J48" s="100">
        <v>0.15</v>
      </c>
      <c r="K48" s="100">
        <v>336.15</v>
      </c>
      <c r="L48" s="100">
        <v>22.69</v>
      </c>
      <c r="M48" s="100">
        <v>29.89</v>
      </c>
      <c r="N48" s="100">
        <v>384.2</v>
      </c>
      <c r="O48" s="100">
        <v>0</v>
      </c>
      <c r="P48" s="100">
        <v>0.65</v>
      </c>
      <c r="Q48" s="100">
        <v>9.32</v>
      </c>
      <c r="R48" s="6"/>
      <c r="S48" s="6"/>
      <c r="T48" s="156"/>
      <c r="U48" s="6"/>
    </row>
    <row r="49" spans="1:21" customFormat="1">
      <c r="A49" s="201" t="s">
        <v>476</v>
      </c>
      <c r="B49" s="100">
        <v>14.8</v>
      </c>
      <c r="C49" s="100">
        <v>9.57</v>
      </c>
      <c r="D49" s="100">
        <v>16.87</v>
      </c>
      <c r="E49" s="100">
        <v>7.05</v>
      </c>
      <c r="F49" s="100">
        <v>2</v>
      </c>
      <c r="G49" s="100">
        <v>82.69</v>
      </c>
      <c r="H49" s="100">
        <v>27.93</v>
      </c>
      <c r="I49" s="100">
        <v>8.33</v>
      </c>
      <c r="J49" s="100">
        <v>0.32</v>
      </c>
      <c r="K49" s="100">
        <v>121.28</v>
      </c>
      <c r="L49" s="100">
        <v>16.37</v>
      </c>
      <c r="M49" s="100">
        <v>10.62</v>
      </c>
      <c r="N49" s="100">
        <v>533</v>
      </c>
      <c r="O49" s="100">
        <v>0</v>
      </c>
      <c r="P49" s="100">
        <v>0.62</v>
      </c>
      <c r="Q49" s="100">
        <v>9.32</v>
      </c>
      <c r="R49" s="6"/>
      <c r="S49" s="6"/>
      <c r="T49" s="156"/>
      <c r="U49" s="6"/>
    </row>
    <row r="50" spans="1:21" customFormat="1">
      <c r="A50" s="201" t="s">
        <v>477</v>
      </c>
      <c r="B50" s="100">
        <v>13.66</v>
      </c>
      <c r="C50" s="100">
        <v>9.69</v>
      </c>
      <c r="D50" s="100">
        <v>16.02</v>
      </c>
      <c r="E50" s="100">
        <v>8.65</v>
      </c>
      <c r="F50" s="100">
        <v>2</v>
      </c>
      <c r="G50" s="100">
        <v>82.69</v>
      </c>
      <c r="H50" s="100">
        <v>27.93</v>
      </c>
      <c r="I50" s="100">
        <v>8.16</v>
      </c>
      <c r="J50" s="100">
        <v>0.36</v>
      </c>
      <c r="K50" s="100">
        <v>149.65</v>
      </c>
      <c r="L50" s="100">
        <v>21.25</v>
      </c>
      <c r="M50" s="100">
        <v>22.07</v>
      </c>
      <c r="N50" s="100">
        <v>564.1</v>
      </c>
      <c r="O50" s="100">
        <v>0</v>
      </c>
      <c r="P50" s="100">
        <v>0.6</v>
      </c>
      <c r="Q50" s="100">
        <v>9.32</v>
      </c>
      <c r="R50" s="6"/>
      <c r="S50" s="6"/>
      <c r="T50" s="156"/>
      <c r="U50" s="6"/>
    </row>
    <row r="51" spans="1:21" customFormat="1">
      <c r="A51" s="201" t="s">
        <v>478</v>
      </c>
      <c r="B51" s="100">
        <v>12.38</v>
      </c>
      <c r="C51" s="100">
        <v>9.9600000000000009</v>
      </c>
      <c r="D51" s="100">
        <v>15.13</v>
      </c>
      <c r="E51" s="100">
        <v>9.1300000000000008</v>
      </c>
      <c r="F51" s="100">
        <v>2.62</v>
      </c>
      <c r="G51" s="100">
        <v>76.040000000000006</v>
      </c>
      <c r="H51" s="100">
        <v>25.89</v>
      </c>
      <c r="I51" s="100">
        <v>7.92</v>
      </c>
      <c r="J51" s="100">
        <v>0.3</v>
      </c>
      <c r="K51" s="100">
        <v>0.51</v>
      </c>
      <c r="L51" s="100">
        <v>20.09</v>
      </c>
      <c r="M51" s="100">
        <v>20.75</v>
      </c>
      <c r="N51" s="100">
        <v>484</v>
      </c>
      <c r="O51" s="100">
        <v>0</v>
      </c>
      <c r="P51" s="100">
        <v>0.57999999999999996</v>
      </c>
      <c r="Q51" s="100">
        <v>9.32</v>
      </c>
      <c r="R51" s="6"/>
      <c r="S51" s="6"/>
      <c r="T51" s="156"/>
      <c r="U51" s="6"/>
    </row>
    <row r="52" spans="1:21" customFormat="1">
      <c r="A52" s="201" t="s">
        <v>479</v>
      </c>
      <c r="B52" s="100">
        <v>12.05</v>
      </c>
      <c r="C52" s="100">
        <v>10.14</v>
      </c>
      <c r="D52" s="100">
        <v>14.96</v>
      </c>
      <c r="E52" s="100">
        <v>8.3699999999999992</v>
      </c>
      <c r="F52" s="100">
        <v>2.02</v>
      </c>
      <c r="G52" s="100">
        <v>73.62</v>
      </c>
      <c r="H52" s="100">
        <v>25.86</v>
      </c>
      <c r="I52" s="100">
        <v>7.59</v>
      </c>
      <c r="J52" s="100">
        <v>0.13</v>
      </c>
      <c r="K52" s="100">
        <v>234.87</v>
      </c>
      <c r="L52" s="100">
        <v>22.49</v>
      </c>
      <c r="M52" s="100">
        <v>30.5</v>
      </c>
      <c r="N52" s="100">
        <v>328.9</v>
      </c>
      <c r="O52" s="100">
        <v>0</v>
      </c>
      <c r="P52" s="100">
        <v>0.57999999999999996</v>
      </c>
      <c r="Q52" s="100">
        <v>9.32</v>
      </c>
      <c r="R52" s="6"/>
      <c r="S52" s="6"/>
      <c r="T52" s="156"/>
      <c r="U52" s="6"/>
    </row>
    <row r="53" spans="1:21" customFormat="1">
      <c r="A53" s="201" t="s">
        <v>480</v>
      </c>
      <c r="B53" s="100">
        <v>10.97</v>
      </c>
      <c r="C53" s="100">
        <v>9.59</v>
      </c>
      <c r="D53" s="100">
        <v>13.81</v>
      </c>
      <c r="E53" s="100">
        <v>7.99</v>
      </c>
      <c r="F53" s="100">
        <v>2.1</v>
      </c>
      <c r="G53" s="100">
        <v>73.62</v>
      </c>
      <c r="H53" s="100">
        <v>25.86</v>
      </c>
      <c r="I53" s="100">
        <v>7.37</v>
      </c>
      <c r="J53" s="100">
        <v>0.14000000000000001</v>
      </c>
      <c r="K53" s="100">
        <v>218.9</v>
      </c>
      <c r="L53" s="100">
        <v>23.74</v>
      </c>
      <c r="M53" s="100">
        <v>30.91</v>
      </c>
      <c r="N53" s="100">
        <v>449.8</v>
      </c>
      <c r="O53" s="100">
        <v>0</v>
      </c>
      <c r="P53" s="100">
        <v>0.56999999999999995</v>
      </c>
      <c r="Q53" s="100">
        <v>9.32</v>
      </c>
      <c r="R53" s="6"/>
      <c r="S53" s="6"/>
      <c r="T53" s="156"/>
      <c r="U53" s="6"/>
    </row>
    <row r="54" spans="1:21" customFormat="1">
      <c r="A54" s="201" t="s">
        <v>481</v>
      </c>
      <c r="B54" s="100">
        <v>9.84</v>
      </c>
      <c r="C54" s="100">
        <v>9.33</v>
      </c>
      <c r="D54" s="100">
        <v>12.76</v>
      </c>
      <c r="E54" s="100">
        <v>7.92</v>
      </c>
      <c r="F54" s="100">
        <v>3.53</v>
      </c>
      <c r="G54" s="100">
        <v>73.62</v>
      </c>
      <c r="H54" s="100">
        <v>25.86</v>
      </c>
      <c r="I54" s="100">
        <v>7.29</v>
      </c>
      <c r="J54" s="100">
        <v>0.17</v>
      </c>
      <c r="K54" s="100">
        <v>176.36</v>
      </c>
      <c r="L54" s="100">
        <v>22.16</v>
      </c>
      <c r="M54" s="100">
        <v>26.89</v>
      </c>
      <c r="N54" s="100">
        <v>454.9</v>
      </c>
      <c r="O54" s="100">
        <v>0</v>
      </c>
      <c r="P54" s="100">
        <v>0.55000000000000004</v>
      </c>
      <c r="Q54" s="100">
        <v>9.32</v>
      </c>
      <c r="R54" s="6"/>
      <c r="S54" s="6"/>
      <c r="T54" s="156"/>
      <c r="U54" s="6"/>
    </row>
    <row r="55" spans="1:21" customFormat="1">
      <c r="A55" s="201" t="s">
        <v>482</v>
      </c>
      <c r="B55" s="100">
        <v>8.7100000000000009</v>
      </c>
      <c r="C55" s="100">
        <v>9.2200000000000006</v>
      </c>
      <c r="D55" s="100">
        <v>11.8</v>
      </c>
      <c r="E55" s="100">
        <v>8.1199999999999992</v>
      </c>
      <c r="F55" s="100">
        <v>3.79</v>
      </c>
      <c r="G55" s="100">
        <v>67.37</v>
      </c>
      <c r="H55" s="100">
        <v>22.72</v>
      </c>
      <c r="I55" s="100">
        <v>7.2</v>
      </c>
      <c r="J55" s="100">
        <v>0.38</v>
      </c>
      <c r="K55" s="100">
        <v>257.86</v>
      </c>
      <c r="L55" s="100">
        <v>25.09</v>
      </c>
      <c r="M55" s="100">
        <v>36.880000000000003</v>
      </c>
      <c r="N55" s="100">
        <v>364.5</v>
      </c>
      <c r="O55" s="100">
        <v>0</v>
      </c>
      <c r="P55" s="100">
        <v>0.56000000000000005</v>
      </c>
      <c r="Q55" s="100">
        <v>9.32</v>
      </c>
      <c r="R55" s="6"/>
      <c r="S55" s="6"/>
      <c r="T55" s="156"/>
      <c r="U55" s="6"/>
    </row>
    <row r="56" spans="1:21" customFormat="1">
      <c r="A56" s="201" t="s">
        <v>483</v>
      </c>
      <c r="B56" s="100">
        <v>7.95</v>
      </c>
      <c r="C56" s="100">
        <v>9.7799999999999994</v>
      </c>
      <c r="D56" s="100">
        <v>11.49</v>
      </c>
      <c r="E56" s="100">
        <v>7.53</v>
      </c>
      <c r="F56" s="100">
        <v>2.79</v>
      </c>
      <c r="G56" s="100">
        <v>64.97</v>
      </c>
      <c r="H56" s="100">
        <v>22.67</v>
      </c>
      <c r="I56" s="100">
        <v>7.03</v>
      </c>
      <c r="J56" s="100">
        <v>0.26</v>
      </c>
      <c r="K56" s="100">
        <v>271.61</v>
      </c>
      <c r="L56" s="100">
        <v>24.84</v>
      </c>
      <c r="M56" s="100">
        <v>34.03</v>
      </c>
      <c r="N56" s="100">
        <v>429</v>
      </c>
      <c r="O56" s="100">
        <v>0</v>
      </c>
      <c r="P56" s="100">
        <v>0.56000000000000005</v>
      </c>
      <c r="Q56" s="100">
        <v>9.32</v>
      </c>
      <c r="R56" s="6"/>
      <c r="S56" s="6"/>
      <c r="T56" s="156"/>
      <c r="U56" s="6"/>
    </row>
    <row r="57" spans="1:21" customFormat="1">
      <c r="A57" s="201" t="s">
        <v>484</v>
      </c>
      <c r="B57" s="100">
        <v>7.13</v>
      </c>
      <c r="C57" s="100">
        <v>9.75</v>
      </c>
      <c r="D57" s="100">
        <v>10.81</v>
      </c>
      <c r="E57" s="100">
        <v>7.66</v>
      </c>
      <c r="F57" s="100">
        <v>2.31</v>
      </c>
      <c r="G57" s="100">
        <v>64.97</v>
      </c>
      <c r="H57" s="100">
        <v>22.67</v>
      </c>
      <c r="I57" s="100">
        <v>6.94</v>
      </c>
      <c r="J57" s="100">
        <v>0.41</v>
      </c>
      <c r="K57" s="100">
        <v>236.34</v>
      </c>
      <c r="L57" s="100">
        <v>26.28</v>
      </c>
      <c r="M57" s="100">
        <v>34.020000000000003</v>
      </c>
      <c r="N57" s="100">
        <v>592.9</v>
      </c>
      <c r="O57" s="100">
        <v>0</v>
      </c>
      <c r="P57" s="100">
        <v>0.56000000000000005</v>
      </c>
      <c r="Q57" s="100">
        <v>9.32</v>
      </c>
      <c r="R57" s="6"/>
      <c r="S57" s="6"/>
      <c r="T57" s="156"/>
      <c r="U57" s="6"/>
    </row>
    <row r="58" spans="1:21" customFormat="1">
      <c r="A58" s="201" t="s">
        <v>485</v>
      </c>
      <c r="B58" s="100">
        <v>6.2</v>
      </c>
      <c r="C58" s="100">
        <v>9.75</v>
      </c>
      <c r="D58" s="100">
        <v>10.06</v>
      </c>
      <c r="E58" s="100">
        <v>8.18</v>
      </c>
      <c r="F58" s="100">
        <v>3.36</v>
      </c>
      <c r="G58" s="100">
        <v>64.97</v>
      </c>
      <c r="H58" s="100">
        <v>22.67</v>
      </c>
      <c r="I58" s="100">
        <v>7</v>
      </c>
      <c r="J58" s="100">
        <v>0.31</v>
      </c>
      <c r="K58" s="100">
        <v>211.52</v>
      </c>
      <c r="L58" s="100">
        <v>23.94</v>
      </c>
      <c r="M58" s="100">
        <v>30.27</v>
      </c>
      <c r="N58" s="100">
        <v>503</v>
      </c>
      <c r="O58" s="100">
        <v>0</v>
      </c>
      <c r="P58" s="100">
        <v>0.55000000000000004</v>
      </c>
      <c r="Q58" s="100">
        <v>9.32</v>
      </c>
      <c r="R58" s="6"/>
      <c r="S58" s="6"/>
      <c r="T58" s="156"/>
      <c r="U58" s="6"/>
    </row>
    <row r="59" spans="1:21" customFormat="1">
      <c r="A59" s="201" t="s">
        <v>486</v>
      </c>
      <c r="B59" s="100">
        <v>5.24</v>
      </c>
      <c r="C59" s="100">
        <v>10.11</v>
      </c>
      <c r="D59" s="100">
        <v>9.48</v>
      </c>
      <c r="E59" s="100">
        <v>9.11</v>
      </c>
      <c r="F59" s="100">
        <v>4.82</v>
      </c>
      <c r="G59" s="100">
        <v>63.58</v>
      </c>
      <c r="H59" s="100">
        <v>21.58</v>
      </c>
      <c r="I59" s="100">
        <v>6.98</v>
      </c>
      <c r="J59" s="100">
        <v>0.59</v>
      </c>
      <c r="K59" s="100">
        <v>284.56</v>
      </c>
      <c r="L59" s="100">
        <v>27.27</v>
      </c>
      <c r="M59" s="100">
        <v>43.11</v>
      </c>
      <c r="N59" s="100">
        <v>301.3</v>
      </c>
      <c r="O59" s="100">
        <v>0</v>
      </c>
      <c r="P59" s="100">
        <v>0.55000000000000004</v>
      </c>
      <c r="Q59" s="100">
        <v>9.32</v>
      </c>
      <c r="R59" s="6"/>
      <c r="S59" s="6"/>
      <c r="T59" s="156"/>
      <c r="U59" s="6"/>
    </row>
    <row r="60" spans="1:21" customFormat="1">
      <c r="A60" s="201" t="s">
        <v>487</v>
      </c>
      <c r="B60" s="100">
        <v>4.6399999999999997</v>
      </c>
      <c r="C60" s="100">
        <v>9.8000000000000007</v>
      </c>
      <c r="D60" s="100">
        <v>8.84</v>
      </c>
      <c r="E60" s="100">
        <v>9.17</v>
      </c>
      <c r="F60" s="100">
        <v>3.31</v>
      </c>
      <c r="G60" s="100">
        <v>63.07</v>
      </c>
      <c r="H60" s="100">
        <v>21.56</v>
      </c>
      <c r="I60" s="100">
        <v>6.95</v>
      </c>
      <c r="J60" s="100">
        <v>0.53</v>
      </c>
      <c r="K60" s="100">
        <v>266.54000000000002</v>
      </c>
      <c r="L60" s="100">
        <v>27.7</v>
      </c>
      <c r="M60" s="100">
        <v>39.18</v>
      </c>
      <c r="N60" s="100">
        <v>523.1</v>
      </c>
      <c r="O60" s="100">
        <v>0</v>
      </c>
      <c r="P60" s="100">
        <v>0.54</v>
      </c>
      <c r="Q60" s="100">
        <v>9.32</v>
      </c>
      <c r="R60" s="6"/>
      <c r="S60" s="6"/>
      <c r="T60" s="156"/>
      <c r="U60" s="6"/>
    </row>
    <row r="61" spans="1:21" customFormat="1">
      <c r="A61" s="201" t="s">
        <v>488</v>
      </c>
      <c r="B61" s="100">
        <v>4.01</v>
      </c>
      <c r="C61" s="100">
        <v>9.2100000000000009</v>
      </c>
      <c r="D61" s="100">
        <v>8.0299999999999994</v>
      </c>
      <c r="E61" s="100">
        <v>8.82</v>
      </c>
      <c r="F61" s="100">
        <v>3.49</v>
      </c>
      <c r="G61" s="100">
        <v>63.07</v>
      </c>
      <c r="H61" s="100">
        <v>21.56</v>
      </c>
      <c r="I61" s="100">
        <v>6.91</v>
      </c>
      <c r="J61" s="100">
        <v>0.67</v>
      </c>
      <c r="K61" s="100">
        <v>261.16000000000003</v>
      </c>
      <c r="L61" s="100">
        <v>27.47</v>
      </c>
      <c r="M61" s="100">
        <v>39.79</v>
      </c>
      <c r="N61" s="100">
        <v>472.4</v>
      </c>
      <c r="O61" s="100">
        <v>0</v>
      </c>
      <c r="P61" s="100">
        <v>0.53</v>
      </c>
      <c r="Q61" s="100">
        <v>9.32</v>
      </c>
      <c r="R61" s="6"/>
      <c r="S61" s="6"/>
      <c r="T61" s="156"/>
      <c r="U61" s="6"/>
    </row>
    <row r="62" spans="1:21" customFormat="1">
      <c r="A62" s="201" t="s">
        <v>489</v>
      </c>
      <c r="B62" s="100">
        <v>3.42</v>
      </c>
      <c r="C62" s="100">
        <v>9.02</v>
      </c>
      <c r="D62" s="100">
        <v>7.46</v>
      </c>
      <c r="E62" s="100">
        <v>8.74</v>
      </c>
      <c r="F62" s="100">
        <v>3.7</v>
      </c>
      <c r="G62" s="100">
        <v>63.07</v>
      </c>
      <c r="H62" s="100">
        <v>21.56</v>
      </c>
      <c r="I62" s="100">
        <v>6.8</v>
      </c>
      <c r="J62" s="100">
        <v>0.53</v>
      </c>
      <c r="K62" s="100">
        <v>302.10000000000002</v>
      </c>
      <c r="L62" s="100">
        <v>28.7</v>
      </c>
      <c r="M62" s="100">
        <v>41.77</v>
      </c>
      <c r="N62" s="100">
        <v>516.6</v>
      </c>
      <c r="O62" s="100">
        <v>0</v>
      </c>
      <c r="P62" s="100">
        <v>0.53</v>
      </c>
      <c r="Q62" s="100">
        <v>9.32</v>
      </c>
      <c r="R62" s="6"/>
      <c r="S62" s="6"/>
      <c r="T62" s="156"/>
      <c r="U62" s="6"/>
    </row>
    <row r="63" spans="1:21" customFormat="1">
      <c r="A63" s="201" t="s">
        <v>490</v>
      </c>
      <c r="B63" s="100">
        <v>3.07</v>
      </c>
      <c r="C63" s="100">
        <v>9.35</v>
      </c>
      <c r="D63" s="100">
        <v>7.35</v>
      </c>
      <c r="E63" s="100">
        <v>8.9</v>
      </c>
      <c r="F63" s="100">
        <v>8.18</v>
      </c>
      <c r="G63" s="100">
        <v>59.68</v>
      </c>
      <c r="H63" s="100">
        <v>24.65</v>
      </c>
      <c r="I63" s="100">
        <v>6.64</v>
      </c>
      <c r="J63" s="100">
        <v>0.5</v>
      </c>
      <c r="K63" s="100">
        <v>305.72000000000003</v>
      </c>
      <c r="L63" s="100">
        <v>26.05</v>
      </c>
      <c r="M63" s="100">
        <v>41.37</v>
      </c>
      <c r="N63" s="100">
        <v>239.9</v>
      </c>
      <c r="O63" s="100">
        <v>0</v>
      </c>
      <c r="P63" s="100">
        <v>0.52</v>
      </c>
      <c r="Q63" s="100">
        <v>9.32</v>
      </c>
      <c r="R63" s="6"/>
      <c r="S63" s="6"/>
      <c r="T63" s="156"/>
      <c r="U63" s="6"/>
    </row>
    <row r="64" spans="1:21" customFormat="1">
      <c r="A64" s="201" t="s">
        <v>491</v>
      </c>
      <c r="B64" s="100">
        <v>2.88</v>
      </c>
      <c r="C64" s="100">
        <v>9.23</v>
      </c>
      <c r="D64" s="100">
        <v>7.13</v>
      </c>
      <c r="E64" s="100">
        <v>9.16</v>
      </c>
      <c r="F64" s="100">
        <v>6.71</v>
      </c>
      <c r="G64" s="100">
        <v>58.37</v>
      </c>
      <c r="H64" s="100">
        <v>24.72</v>
      </c>
      <c r="I64" s="100">
        <v>6.46</v>
      </c>
      <c r="J64" s="100">
        <v>0.41</v>
      </c>
      <c r="K64" s="100">
        <v>15.88</v>
      </c>
      <c r="L64" s="100">
        <v>16.079999999999998</v>
      </c>
      <c r="M64" s="100">
        <v>16.84</v>
      </c>
      <c r="N64" s="100">
        <v>219.2</v>
      </c>
      <c r="O64" s="100">
        <v>0</v>
      </c>
      <c r="P64" s="100">
        <v>0.52</v>
      </c>
      <c r="Q64" s="100">
        <v>9.32</v>
      </c>
      <c r="R64" s="6"/>
      <c r="S64" s="6"/>
      <c r="T64" s="156"/>
      <c r="U64" s="6"/>
    </row>
    <row r="65" spans="1:21" customFormat="1">
      <c r="A65" s="201" t="s">
        <v>492</v>
      </c>
      <c r="B65" s="100">
        <v>4.2</v>
      </c>
      <c r="C65" s="100">
        <v>11.19</v>
      </c>
      <c r="D65" s="100">
        <v>9.2200000000000006</v>
      </c>
      <c r="E65" s="100">
        <v>9.3000000000000007</v>
      </c>
      <c r="F65" s="100">
        <v>6.55</v>
      </c>
      <c r="G65" s="100">
        <v>58.37</v>
      </c>
      <c r="H65" s="100">
        <v>24.72</v>
      </c>
      <c r="I65" s="100">
        <v>6.29</v>
      </c>
      <c r="J65" s="100">
        <v>0.27</v>
      </c>
      <c r="K65" s="100">
        <v>30.54</v>
      </c>
      <c r="L65" s="100">
        <v>13.91</v>
      </c>
      <c r="M65" s="100">
        <v>14.46</v>
      </c>
      <c r="N65" s="100">
        <v>87.1</v>
      </c>
      <c r="O65" s="100">
        <v>0</v>
      </c>
      <c r="P65" s="100">
        <v>0.53</v>
      </c>
      <c r="Q65" s="100">
        <v>9.32</v>
      </c>
      <c r="R65" s="6"/>
      <c r="S65" s="6"/>
      <c r="T65" s="156"/>
      <c r="U65" s="6"/>
    </row>
    <row r="66" spans="1:21" customFormat="1">
      <c r="A66" s="201" t="s">
        <v>493</v>
      </c>
      <c r="B66" s="100">
        <v>3.63</v>
      </c>
      <c r="C66" s="100">
        <v>10.91</v>
      </c>
      <c r="D66" s="100">
        <v>8.61</v>
      </c>
      <c r="E66" s="100">
        <v>8.6</v>
      </c>
      <c r="F66" s="100">
        <v>3.26</v>
      </c>
      <c r="G66" s="100">
        <v>58.37</v>
      </c>
      <c r="H66" s="100">
        <v>24.72</v>
      </c>
      <c r="I66" s="100">
        <v>6.15</v>
      </c>
      <c r="J66" s="100">
        <v>0.2</v>
      </c>
      <c r="K66" s="100">
        <v>358.48</v>
      </c>
      <c r="L66" s="100">
        <v>17.84</v>
      </c>
      <c r="M66" s="100">
        <v>25.29</v>
      </c>
      <c r="N66" s="100">
        <v>47.9</v>
      </c>
      <c r="O66" s="100">
        <v>0</v>
      </c>
      <c r="P66" s="100">
        <v>0.55000000000000004</v>
      </c>
      <c r="Q66" s="100">
        <v>9.32</v>
      </c>
      <c r="R66" s="6"/>
      <c r="S66" s="6"/>
      <c r="T66" s="156"/>
      <c r="U66" s="6"/>
    </row>
    <row r="67" spans="1:21" customFormat="1">
      <c r="A67" s="201" t="s">
        <v>494</v>
      </c>
      <c r="B67" s="100">
        <v>2.94</v>
      </c>
      <c r="C67" s="100">
        <v>10.24</v>
      </c>
      <c r="D67" s="100">
        <v>7.71</v>
      </c>
      <c r="E67" s="100">
        <v>8.1</v>
      </c>
      <c r="F67" s="100">
        <v>6.34</v>
      </c>
      <c r="G67" s="100">
        <v>56.46</v>
      </c>
      <c r="H67" s="100">
        <v>21.88</v>
      </c>
      <c r="I67" s="100">
        <v>6.08</v>
      </c>
      <c r="J67" s="100">
        <v>0.18</v>
      </c>
      <c r="K67" s="100">
        <v>321.7</v>
      </c>
      <c r="L67" s="100">
        <v>22.1</v>
      </c>
      <c r="M67" s="100">
        <v>35.82</v>
      </c>
      <c r="N67" s="100">
        <v>50.8</v>
      </c>
      <c r="O67" s="100">
        <v>0</v>
      </c>
      <c r="P67" s="100">
        <v>0.53</v>
      </c>
      <c r="Q67" s="100">
        <v>9.32</v>
      </c>
      <c r="R67" s="6"/>
      <c r="S67" s="6"/>
      <c r="T67" s="156"/>
      <c r="U67" s="6"/>
    </row>
    <row r="68" spans="1:21" customFormat="1">
      <c r="A68" s="201" t="s">
        <v>495</v>
      </c>
      <c r="B68" s="100">
        <v>2.91</v>
      </c>
      <c r="C68" s="100">
        <v>9.84</v>
      </c>
      <c r="D68" s="100">
        <v>7.48</v>
      </c>
      <c r="E68" s="100">
        <v>7.95</v>
      </c>
      <c r="F68" s="100">
        <v>4.0999999999999996</v>
      </c>
      <c r="G68" s="100">
        <v>55.73</v>
      </c>
      <c r="H68" s="100">
        <v>21.83</v>
      </c>
      <c r="I68" s="100">
        <v>5.93</v>
      </c>
      <c r="J68" s="100">
        <v>0.18</v>
      </c>
      <c r="K68" s="100">
        <v>14.99</v>
      </c>
      <c r="L68" s="100">
        <v>16.559999999999999</v>
      </c>
      <c r="M68" s="100">
        <v>22.27</v>
      </c>
      <c r="N68" s="100">
        <v>44.6</v>
      </c>
      <c r="O68" s="100">
        <v>0</v>
      </c>
      <c r="P68" s="100">
        <v>0.57999999999999996</v>
      </c>
      <c r="Q68" s="100">
        <v>9.32</v>
      </c>
      <c r="R68" s="6"/>
      <c r="S68" s="6"/>
      <c r="T68" s="156"/>
      <c r="U68" s="6"/>
    </row>
    <row r="69" spans="1:21" customFormat="1">
      <c r="A69" s="201" t="s">
        <v>496</v>
      </c>
      <c r="B69" s="100">
        <v>3.22</v>
      </c>
      <c r="C69" s="100">
        <v>10.3</v>
      </c>
      <c r="D69" s="100">
        <v>7.97</v>
      </c>
      <c r="E69" s="100">
        <v>8.4</v>
      </c>
      <c r="F69" s="100">
        <v>6.21</v>
      </c>
      <c r="G69" s="100">
        <v>55.73</v>
      </c>
      <c r="H69" s="100">
        <v>21.83</v>
      </c>
      <c r="I69" s="100">
        <v>5.88</v>
      </c>
      <c r="J69" s="100">
        <v>0.16</v>
      </c>
      <c r="K69" s="100">
        <v>23.74</v>
      </c>
      <c r="L69" s="100">
        <v>14.72</v>
      </c>
      <c r="M69" s="100">
        <v>17.920000000000002</v>
      </c>
      <c r="N69" s="100">
        <v>38.799999999999997</v>
      </c>
      <c r="O69" s="100">
        <v>0</v>
      </c>
      <c r="P69" s="100">
        <v>0.57999999999999996</v>
      </c>
      <c r="Q69" s="100">
        <v>9.32</v>
      </c>
      <c r="R69" s="6"/>
      <c r="S69" s="6"/>
      <c r="T69" s="156"/>
      <c r="U69" s="6"/>
    </row>
    <row r="70" spans="1:21" customFormat="1">
      <c r="A70" s="201" t="s">
        <v>497</v>
      </c>
      <c r="B70" s="100">
        <v>3.36</v>
      </c>
      <c r="C70" s="100">
        <v>10.199999999999999</v>
      </c>
      <c r="D70" s="100">
        <v>8.02</v>
      </c>
      <c r="E70" s="100">
        <v>8.25</v>
      </c>
      <c r="F70" s="100">
        <v>5.31</v>
      </c>
      <c r="G70" s="100">
        <v>55.73</v>
      </c>
      <c r="H70" s="100">
        <v>21.83</v>
      </c>
      <c r="I70" s="100">
        <v>5.78</v>
      </c>
      <c r="J70" s="100">
        <v>0.22</v>
      </c>
      <c r="K70" s="100">
        <v>15.62</v>
      </c>
      <c r="L70" s="100">
        <v>13.25</v>
      </c>
      <c r="M70" s="100">
        <v>14.28</v>
      </c>
      <c r="N70" s="100">
        <v>31.4</v>
      </c>
      <c r="O70" s="100">
        <v>0</v>
      </c>
      <c r="P70" s="100">
        <v>0.57999999999999996</v>
      </c>
      <c r="Q70" s="100">
        <v>9.32</v>
      </c>
      <c r="R70" s="6"/>
      <c r="S70" s="6"/>
      <c r="T70" s="156"/>
      <c r="U70" s="6"/>
    </row>
    <row r="71" spans="1:21" customFormat="1">
      <c r="A71" s="201" t="s">
        <v>498</v>
      </c>
      <c r="B71" s="100">
        <v>3.98</v>
      </c>
      <c r="C71" s="100">
        <v>11.14</v>
      </c>
      <c r="D71" s="100">
        <v>9.02</v>
      </c>
      <c r="E71" s="100">
        <v>7.7</v>
      </c>
      <c r="F71" s="100">
        <v>5.31</v>
      </c>
      <c r="G71" s="100">
        <v>56.52</v>
      </c>
      <c r="H71" s="100">
        <v>20.56</v>
      </c>
      <c r="I71" s="100">
        <v>5.65</v>
      </c>
      <c r="J71" s="100">
        <v>0.21</v>
      </c>
      <c r="K71" s="100">
        <v>21.48</v>
      </c>
      <c r="L71" s="100">
        <v>14.59</v>
      </c>
      <c r="M71" s="100">
        <v>17.649999999999999</v>
      </c>
      <c r="N71" s="100">
        <v>33.6</v>
      </c>
      <c r="O71" s="100">
        <v>0</v>
      </c>
      <c r="P71" s="100">
        <v>0.6</v>
      </c>
      <c r="Q71" s="100">
        <v>9.32</v>
      </c>
      <c r="R71" s="6"/>
      <c r="S71" s="6"/>
      <c r="T71" s="156"/>
      <c r="U71" s="6"/>
    </row>
    <row r="72" spans="1:21" customFormat="1">
      <c r="A72" s="201" t="s">
        <v>499</v>
      </c>
      <c r="B72" s="100">
        <v>4.2300000000000004</v>
      </c>
      <c r="C72" s="100">
        <v>11.4</v>
      </c>
      <c r="D72" s="100">
        <v>9.35</v>
      </c>
      <c r="E72" s="100">
        <v>8.73</v>
      </c>
      <c r="F72" s="100">
        <v>3.92</v>
      </c>
      <c r="G72" s="100">
        <v>56.81</v>
      </c>
      <c r="H72" s="100">
        <v>20.54</v>
      </c>
      <c r="I72" s="100">
        <v>5.75</v>
      </c>
      <c r="J72" s="100">
        <v>0.36</v>
      </c>
      <c r="K72" s="100">
        <v>26.53</v>
      </c>
      <c r="L72" s="100">
        <v>12.85</v>
      </c>
      <c r="M72" s="100">
        <v>13.23</v>
      </c>
      <c r="N72" s="100">
        <v>35.6</v>
      </c>
      <c r="O72" s="100">
        <v>0</v>
      </c>
      <c r="P72" s="100">
        <v>0.59</v>
      </c>
      <c r="Q72" s="100">
        <v>9.32</v>
      </c>
      <c r="R72" s="6"/>
      <c r="S72" s="6"/>
      <c r="T72" s="156"/>
      <c r="U72" s="6"/>
    </row>
    <row r="73" spans="1:21" customFormat="1">
      <c r="A73" s="201" t="s">
        <v>500</v>
      </c>
      <c r="B73" s="100">
        <v>4.1500000000000004</v>
      </c>
      <c r="C73" s="100">
        <v>10.52</v>
      </c>
      <c r="D73" s="100">
        <v>8.83</v>
      </c>
      <c r="E73" s="100">
        <v>8.08</v>
      </c>
      <c r="F73" s="100">
        <v>3.2</v>
      </c>
      <c r="G73" s="100">
        <v>56.81</v>
      </c>
      <c r="H73" s="100">
        <v>20.54</v>
      </c>
      <c r="I73" s="100">
        <v>5.85</v>
      </c>
      <c r="J73" s="100">
        <v>0.47</v>
      </c>
      <c r="K73" s="100">
        <v>37.99</v>
      </c>
      <c r="L73" s="100">
        <v>8.1</v>
      </c>
      <c r="M73" s="100">
        <v>1.42</v>
      </c>
      <c r="N73" s="100">
        <v>31</v>
      </c>
      <c r="O73" s="100">
        <v>0</v>
      </c>
      <c r="P73" s="100">
        <v>0.57999999999999996</v>
      </c>
      <c r="Q73" s="100">
        <v>9.32</v>
      </c>
      <c r="R73" s="6"/>
      <c r="S73" s="6"/>
      <c r="T73" s="156"/>
      <c r="U73" s="6"/>
    </row>
    <row r="74" spans="1:21" customFormat="1">
      <c r="A74" s="201" t="s">
        <v>501</v>
      </c>
      <c r="B74" s="100">
        <v>4.3099999999999996</v>
      </c>
      <c r="C74" s="100">
        <v>11.05</v>
      </c>
      <c r="D74" s="100">
        <v>9.23</v>
      </c>
      <c r="E74" s="100">
        <v>7.92</v>
      </c>
      <c r="F74" s="100">
        <v>5.15</v>
      </c>
      <c r="G74" s="100">
        <v>56.81</v>
      </c>
      <c r="H74" s="100">
        <v>20.54</v>
      </c>
      <c r="I74" s="100">
        <v>5.85</v>
      </c>
      <c r="J74" s="100">
        <v>0.27</v>
      </c>
      <c r="K74" s="100">
        <v>27.32</v>
      </c>
      <c r="L74" s="100">
        <v>13.29</v>
      </c>
      <c r="M74" s="100">
        <v>14.48</v>
      </c>
      <c r="N74" s="100">
        <v>28.9</v>
      </c>
      <c r="O74" s="100">
        <v>0</v>
      </c>
      <c r="P74" s="100">
        <v>0.59</v>
      </c>
      <c r="Q74" s="100">
        <v>11.11</v>
      </c>
      <c r="R74" s="6"/>
      <c r="S74" s="6"/>
      <c r="T74" s="156"/>
      <c r="U74" s="6"/>
    </row>
    <row r="75" spans="1:21" customFormat="1">
      <c r="A75" s="201" t="s">
        <v>502</v>
      </c>
      <c r="B75" s="100">
        <v>4.47</v>
      </c>
      <c r="C75" s="100">
        <v>11.16</v>
      </c>
      <c r="D75" s="100">
        <v>9.42</v>
      </c>
      <c r="E75" s="100">
        <v>5.58</v>
      </c>
      <c r="F75" s="100">
        <v>2.62</v>
      </c>
      <c r="G75" s="100">
        <v>57.97</v>
      </c>
      <c r="H75" s="100">
        <v>24.34</v>
      </c>
      <c r="I75" s="100">
        <v>5.73</v>
      </c>
      <c r="J75" s="100">
        <v>0.38</v>
      </c>
      <c r="K75" s="100">
        <v>42.58</v>
      </c>
      <c r="L75" s="100">
        <v>8.17</v>
      </c>
      <c r="M75" s="100">
        <v>1.97</v>
      </c>
      <c r="N75" s="100">
        <v>17.8</v>
      </c>
      <c r="O75" s="100">
        <v>0</v>
      </c>
      <c r="P75" s="100">
        <v>0.6</v>
      </c>
      <c r="Q75" s="100">
        <v>9.32</v>
      </c>
      <c r="R75" s="6"/>
      <c r="S75" s="6"/>
      <c r="T75" s="156"/>
      <c r="U75" s="6"/>
    </row>
    <row r="76" spans="1:21" customFormat="1">
      <c r="A76" s="201" t="s">
        <v>503</v>
      </c>
      <c r="B76" s="100">
        <v>4.99</v>
      </c>
      <c r="C76" s="100">
        <v>12.03</v>
      </c>
      <c r="D76" s="100">
        <v>10.28</v>
      </c>
      <c r="E76" s="100">
        <v>7.4</v>
      </c>
      <c r="F76" s="100">
        <v>2.13</v>
      </c>
      <c r="G76" s="100">
        <v>58.39</v>
      </c>
      <c r="H76" s="100">
        <v>24.4</v>
      </c>
      <c r="I76" s="100">
        <v>5.72</v>
      </c>
      <c r="J76" s="100">
        <v>0.25</v>
      </c>
      <c r="K76" s="100">
        <v>40.020000000000003</v>
      </c>
      <c r="L76" s="100">
        <v>9.9700000000000006</v>
      </c>
      <c r="M76" s="100">
        <v>6.57</v>
      </c>
      <c r="N76" s="100">
        <v>11.9</v>
      </c>
      <c r="O76" s="100">
        <v>0</v>
      </c>
      <c r="P76" s="100">
        <v>0.61</v>
      </c>
      <c r="Q76" s="100">
        <v>9.32</v>
      </c>
      <c r="R76" s="6"/>
      <c r="S76" s="6"/>
      <c r="T76" s="156"/>
      <c r="U76" s="6"/>
    </row>
    <row r="77" spans="1:21" customFormat="1">
      <c r="A77" s="201" t="s">
        <v>504</v>
      </c>
      <c r="B77" s="100">
        <v>4.95</v>
      </c>
      <c r="C77" s="100">
        <v>11.05</v>
      </c>
      <c r="D77" s="100">
        <v>9.74</v>
      </c>
      <c r="E77" s="100">
        <v>7.13</v>
      </c>
      <c r="F77" s="100">
        <v>2</v>
      </c>
      <c r="G77" s="100">
        <v>58.39</v>
      </c>
      <c r="H77" s="100">
        <v>24.4</v>
      </c>
      <c r="I77" s="100">
        <v>5.68</v>
      </c>
      <c r="J77" s="100">
        <v>0.23</v>
      </c>
      <c r="K77" s="100">
        <v>58.25</v>
      </c>
      <c r="L77" s="100">
        <v>9.1</v>
      </c>
      <c r="M77" s="100">
        <v>4.57</v>
      </c>
      <c r="N77" s="100">
        <v>7.2</v>
      </c>
      <c r="O77" s="100">
        <v>0</v>
      </c>
      <c r="P77" s="100">
        <v>0.63</v>
      </c>
      <c r="Q77" s="100">
        <v>9.32</v>
      </c>
      <c r="R77" s="6"/>
      <c r="S77" s="6"/>
      <c r="T77" s="156"/>
      <c r="U77" s="6"/>
    </row>
    <row r="78" spans="1:21" customFormat="1">
      <c r="A78" s="201" t="s">
        <v>505</v>
      </c>
      <c r="B78" s="100">
        <v>4.93</v>
      </c>
      <c r="C78" s="100">
        <v>11.2</v>
      </c>
      <c r="D78" s="100">
        <v>9.81</v>
      </c>
      <c r="E78" s="100">
        <v>6.92</v>
      </c>
      <c r="F78" s="100">
        <v>2</v>
      </c>
      <c r="G78" s="100">
        <v>58.39</v>
      </c>
      <c r="H78" s="100">
        <v>24.4</v>
      </c>
      <c r="I78" s="100">
        <v>5.76</v>
      </c>
      <c r="J78" s="100">
        <v>0.17</v>
      </c>
      <c r="K78" s="100">
        <v>156.9</v>
      </c>
      <c r="L78" s="100">
        <v>14.74</v>
      </c>
      <c r="M78" s="100">
        <v>19.07</v>
      </c>
      <c r="N78" s="100">
        <v>4.4000000000000004</v>
      </c>
      <c r="O78" s="100">
        <v>0</v>
      </c>
      <c r="P78" s="100">
        <v>0.63</v>
      </c>
      <c r="Q78" s="100">
        <v>9.32</v>
      </c>
      <c r="R78" s="6"/>
      <c r="S78" s="6"/>
      <c r="T78" s="156"/>
      <c r="U78" s="6"/>
    </row>
    <row r="79" spans="1:21" customFormat="1">
      <c r="A79" s="201" t="s">
        <v>506</v>
      </c>
      <c r="B79" s="100">
        <v>4.3600000000000003</v>
      </c>
      <c r="C79" s="100">
        <v>10.61</v>
      </c>
      <c r="D79" s="100">
        <v>9.0399999999999991</v>
      </c>
      <c r="E79" s="100">
        <v>7.12</v>
      </c>
      <c r="F79" s="100">
        <v>2</v>
      </c>
      <c r="G79" s="100">
        <v>61.75</v>
      </c>
      <c r="H79" s="100">
        <v>24.97</v>
      </c>
      <c r="I79" s="100">
        <v>6.62</v>
      </c>
      <c r="J79" s="100">
        <v>0.21</v>
      </c>
      <c r="K79" s="100">
        <v>165.69</v>
      </c>
      <c r="L79" s="100">
        <v>16.21</v>
      </c>
      <c r="M79" s="100">
        <v>22.8</v>
      </c>
      <c r="N79" s="100">
        <v>3.2</v>
      </c>
      <c r="O79" s="100">
        <v>0</v>
      </c>
      <c r="P79" s="100">
        <v>0.62</v>
      </c>
      <c r="Q79" s="100">
        <v>9.32</v>
      </c>
      <c r="R79" s="6"/>
      <c r="S79" s="6"/>
      <c r="T79" s="156"/>
      <c r="U79" s="6"/>
    </row>
    <row r="80" spans="1:21" customFormat="1">
      <c r="A80" s="201" t="s">
        <v>507</v>
      </c>
      <c r="B80" s="100">
        <v>4.49</v>
      </c>
      <c r="C80" s="100">
        <v>8.85</v>
      </c>
      <c r="D80" s="100">
        <v>8.2200000000000006</v>
      </c>
      <c r="E80" s="100">
        <v>7.01</v>
      </c>
      <c r="F80" s="100">
        <v>2</v>
      </c>
      <c r="G80" s="100">
        <v>62.98</v>
      </c>
      <c r="H80" s="100">
        <v>25.12</v>
      </c>
      <c r="I80" s="100">
        <v>7.08</v>
      </c>
      <c r="J80" s="100">
        <v>0.2</v>
      </c>
      <c r="K80" s="100">
        <v>172.87</v>
      </c>
      <c r="L80" s="100">
        <v>16.600000000000001</v>
      </c>
      <c r="M80" s="100">
        <v>23.73</v>
      </c>
      <c r="N80" s="100">
        <v>2.8</v>
      </c>
      <c r="O80" s="100">
        <v>0</v>
      </c>
      <c r="P80" s="100">
        <v>0.61</v>
      </c>
      <c r="Q80" s="100">
        <v>9.32</v>
      </c>
      <c r="R80" s="6"/>
      <c r="S80" s="6"/>
      <c r="T80" s="156"/>
      <c r="U80" s="6"/>
    </row>
    <row r="81" spans="1:21" customFormat="1">
      <c r="A81" s="201" t="s">
        <v>508</v>
      </c>
      <c r="B81" s="100">
        <v>4.51</v>
      </c>
      <c r="C81" s="100">
        <v>8.41</v>
      </c>
      <c r="D81" s="100">
        <v>8.01</v>
      </c>
      <c r="E81" s="100">
        <v>5.49</v>
      </c>
      <c r="F81" s="100">
        <v>2</v>
      </c>
      <c r="G81" s="100">
        <v>62.98</v>
      </c>
      <c r="H81" s="100">
        <v>25.12</v>
      </c>
      <c r="I81" s="100">
        <v>6.6</v>
      </c>
      <c r="J81" s="100">
        <v>0.19</v>
      </c>
      <c r="K81" s="100">
        <v>167.51</v>
      </c>
      <c r="L81" s="100">
        <v>16.46</v>
      </c>
      <c r="M81" s="100">
        <v>23.36</v>
      </c>
      <c r="N81" s="100">
        <v>2.7</v>
      </c>
      <c r="O81" s="100">
        <v>0</v>
      </c>
      <c r="P81" s="100">
        <v>0.61</v>
      </c>
      <c r="Q81" s="100">
        <v>9.32</v>
      </c>
      <c r="R81" s="6"/>
      <c r="S81" s="6"/>
      <c r="T81" s="156"/>
      <c r="U81" s="6"/>
    </row>
    <row r="82" spans="1:21" customFormat="1">
      <c r="A82" s="201" t="s">
        <v>509</v>
      </c>
      <c r="B82" s="100">
        <v>4.75</v>
      </c>
      <c r="C82" s="100">
        <v>7.66</v>
      </c>
      <c r="D82" s="100">
        <v>7.81</v>
      </c>
      <c r="E82" s="100">
        <v>6.98</v>
      </c>
      <c r="F82" s="100">
        <v>2</v>
      </c>
      <c r="G82" s="100">
        <v>62.98</v>
      </c>
      <c r="H82" s="100">
        <v>25.12</v>
      </c>
      <c r="I82" s="100">
        <v>6.55</v>
      </c>
      <c r="J82" s="100">
        <v>0.22</v>
      </c>
      <c r="K82" s="100">
        <v>165.23</v>
      </c>
      <c r="L82" s="100">
        <v>15.83</v>
      </c>
      <c r="M82" s="100">
        <v>21.88</v>
      </c>
      <c r="N82" s="100">
        <v>2.4</v>
      </c>
      <c r="O82" s="100">
        <v>0</v>
      </c>
      <c r="P82" s="100">
        <v>0.62</v>
      </c>
      <c r="Q82" s="100">
        <v>9.32</v>
      </c>
      <c r="R82" s="6"/>
      <c r="S82" s="6"/>
      <c r="T82" s="156"/>
      <c r="U82" s="6"/>
    </row>
    <row r="83" spans="1:21" customFormat="1">
      <c r="A83" s="201" t="s">
        <v>510</v>
      </c>
      <c r="B83" s="100">
        <v>4.88</v>
      </c>
      <c r="C83" s="100">
        <v>7.31</v>
      </c>
      <c r="D83" s="100">
        <v>7.73</v>
      </c>
      <c r="E83" s="100">
        <v>7.07</v>
      </c>
      <c r="F83" s="100">
        <v>2</v>
      </c>
      <c r="G83" s="100">
        <v>62.64</v>
      </c>
      <c r="H83" s="100">
        <v>21.47</v>
      </c>
      <c r="I83" s="100">
        <v>6.6</v>
      </c>
      <c r="J83" s="100">
        <v>0.13</v>
      </c>
      <c r="K83" s="100">
        <v>163.51</v>
      </c>
      <c r="L83" s="100">
        <v>15.82</v>
      </c>
      <c r="M83" s="100">
        <v>21.92</v>
      </c>
      <c r="N83" s="100">
        <v>2.2999999999999998</v>
      </c>
      <c r="O83" s="100">
        <v>0</v>
      </c>
      <c r="P83" s="100">
        <v>0.62</v>
      </c>
      <c r="Q83" s="100">
        <v>9.32</v>
      </c>
      <c r="R83" s="6"/>
      <c r="S83" s="6"/>
      <c r="T83" s="156"/>
      <c r="U83" s="6"/>
    </row>
    <row r="84" spans="1:21" customFormat="1">
      <c r="A84" s="201" t="s">
        <v>511</v>
      </c>
      <c r="B84" s="100">
        <v>4.97</v>
      </c>
      <c r="C84" s="100">
        <v>7.07</v>
      </c>
      <c r="D84" s="100">
        <v>7.68</v>
      </c>
      <c r="E84" s="100">
        <v>7.22</v>
      </c>
      <c r="F84" s="100">
        <v>2</v>
      </c>
      <c r="G84" s="100">
        <v>62.51</v>
      </c>
      <c r="H84" s="100">
        <v>21.42</v>
      </c>
      <c r="I84" s="100">
        <v>6.55</v>
      </c>
      <c r="J84" s="100">
        <v>0.15</v>
      </c>
      <c r="K84" s="100">
        <v>182.04</v>
      </c>
      <c r="L84" s="100">
        <v>17.3</v>
      </c>
      <c r="M84" s="100">
        <v>25.57</v>
      </c>
      <c r="N84" s="100">
        <v>2.2999999999999998</v>
      </c>
      <c r="O84" s="100">
        <v>0</v>
      </c>
      <c r="P84" s="100">
        <v>0.62</v>
      </c>
      <c r="Q84" s="100">
        <v>9.32</v>
      </c>
      <c r="R84" s="6"/>
      <c r="S84" s="6"/>
      <c r="T84" s="156"/>
      <c r="U84" s="6"/>
    </row>
    <row r="85" spans="1:21" customFormat="1">
      <c r="A85" s="201" t="s">
        <v>512</v>
      </c>
      <c r="B85" s="100">
        <v>5.0199999999999996</v>
      </c>
      <c r="C85" s="100">
        <v>7.08</v>
      </c>
      <c r="D85" s="100">
        <v>7.73</v>
      </c>
      <c r="E85" s="100">
        <v>6.91</v>
      </c>
      <c r="F85" s="100">
        <v>2</v>
      </c>
      <c r="G85" s="100">
        <v>62.51</v>
      </c>
      <c r="H85" s="100">
        <v>21.42</v>
      </c>
      <c r="I85" s="100">
        <v>6.58</v>
      </c>
      <c r="J85" s="100">
        <v>0.14000000000000001</v>
      </c>
      <c r="K85" s="100">
        <v>155.6</v>
      </c>
      <c r="L85" s="100">
        <v>14.98</v>
      </c>
      <c r="M85" s="100">
        <v>19.75</v>
      </c>
      <c r="N85" s="100">
        <v>2.2999999999999998</v>
      </c>
      <c r="O85" s="100">
        <v>0</v>
      </c>
      <c r="P85" s="100">
        <v>0.63</v>
      </c>
      <c r="Q85" s="100">
        <v>9.32</v>
      </c>
      <c r="R85" s="6"/>
      <c r="S85" s="6"/>
      <c r="T85" s="156"/>
      <c r="U85" s="6"/>
    </row>
    <row r="86" spans="1:21" customFormat="1">
      <c r="A86" s="201" t="s">
        <v>513</v>
      </c>
      <c r="B86" s="100">
        <v>5.21</v>
      </c>
      <c r="C86" s="100">
        <v>6.74</v>
      </c>
      <c r="D86" s="100">
        <v>7.7</v>
      </c>
      <c r="E86" s="100">
        <v>6.97</v>
      </c>
      <c r="F86" s="100">
        <v>2</v>
      </c>
      <c r="G86" s="100">
        <v>62.51</v>
      </c>
      <c r="H86" s="100">
        <v>21.42</v>
      </c>
      <c r="I86" s="100">
        <v>6.64</v>
      </c>
      <c r="J86" s="100">
        <v>0.11</v>
      </c>
      <c r="K86" s="100">
        <v>153.06</v>
      </c>
      <c r="L86" s="100">
        <v>14.93</v>
      </c>
      <c r="M86" s="100">
        <v>19.649999999999999</v>
      </c>
      <c r="N86" s="100">
        <v>2.1</v>
      </c>
      <c r="O86" s="100">
        <v>0</v>
      </c>
      <c r="P86" s="100">
        <v>0.63</v>
      </c>
      <c r="Q86" s="100">
        <v>9.32</v>
      </c>
      <c r="R86" s="6"/>
      <c r="S86" s="6"/>
      <c r="T86" s="156"/>
      <c r="U86" s="6"/>
    </row>
    <row r="87" spans="1:21" customFormat="1">
      <c r="A87" s="201" t="s">
        <v>514</v>
      </c>
      <c r="B87" s="100">
        <v>4.91</v>
      </c>
      <c r="C87" s="100">
        <v>7.05</v>
      </c>
      <c r="D87" s="100">
        <v>7.62</v>
      </c>
      <c r="E87" s="100">
        <v>7</v>
      </c>
      <c r="F87" s="100">
        <v>2</v>
      </c>
      <c r="G87" s="100">
        <v>58.03</v>
      </c>
      <c r="H87" s="100">
        <v>23.17</v>
      </c>
      <c r="I87" s="100">
        <v>6.68</v>
      </c>
      <c r="J87" s="100">
        <v>0.22</v>
      </c>
      <c r="K87" s="100">
        <v>153.49</v>
      </c>
      <c r="L87" s="100">
        <v>14.82</v>
      </c>
      <c r="M87" s="100">
        <v>19.37</v>
      </c>
      <c r="N87" s="100">
        <v>2.1</v>
      </c>
      <c r="O87" s="100">
        <v>0</v>
      </c>
      <c r="P87" s="100">
        <v>0.6</v>
      </c>
      <c r="Q87" s="100">
        <v>9.32</v>
      </c>
      <c r="R87" s="6"/>
      <c r="S87" s="6"/>
      <c r="T87" s="156"/>
      <c r="U87" s="6"/>
    </row>
    <row r="88" spans="1:21" customFormat="1">
      <c r="A88" s="201" t="s">
        <v>515</v>
      </c>
      <c r="B88" s="100">
        <v>4.74</v>
      </c>
      <c r="C88" s="100">
        <v>7.26</v>
      </c>
      <c r="D88" s="100">
        <v>7.59</v>
      </c>
      <c r="E88" s="100">
        <v>6.81</v>
      </c>
      <c r="F88" s="100">
        <v>2</v>
      </c>
      <c r="G88" s="100">
        <v>56.41</v>
      </c>
      <c r="H88" s="100">
        <v>23.19</v>
      </c>
      <c r="I88" s="100">
        <v>6.73</v>
      </c>
      <c r="J88" s="100">
        <v>0.19</v>
      </c>
      <c r="K88" s="100">
        <v>164.08</v>
      </c>
      <c r="L88" s="100">
        <v>15.87</v>
      </c>
      <c r="M88" s="100">
        <v>21.88</v>
      </c>
      <c r="N88" s="100">
        <v>2.2000000000000002</v>
      </c>
      <c r="O88" s="100">
        <v>0</v>
      </c>
      <c r="P88" s="100">
        <v>0.57999999999999996</v>
      </c>
      <c r="Q88" s="100">
        <v>9.32</v>
      </c>
      <c r="R88" s="6"/>
      <c r="S88" s="6"/>
      <c r="T88" s="156"/>
      <c r="U88" s="6"/>
    </row>
    <row r="89" spans="1:21" customFormat="1">
      <c r="A89" s="201" t="s">
        <v>516</v>
      </c>
      <c r="B89" s="100">
        <v>4.6399999999999997</v>
      </c>
      <c r="C89" s="100">
        <v>7.34</v>
      </c>
      <c r="D89" s="100">
        <v>7.56</v>
      </c>
      <c r="E89" s="100">
        <v>6.6</v>
      </c>
      <c r="F89" s="100">
        <v>2</v>
      </c>
      <c r="G89" s="100">
        <v>56.41</v>
      </c>
      <c r="H89" s="100">
        <v>23.19</v>
      </c>
      <c r="I89" s="100">
        <v>6.81</v>
      </c>
      <c r="J89" s="100">
        <v>0.13</v>
      </c>
      <c r="K89" s="100">
        <v>193.36</v>
      </c>
      <c r="L89" s="100">
        <v>18.09</v>
      </c>
      <c r="M89" s="100">
        <v>27.42</v>
      </c>
      <c r="N89" s="100">
        <v>2.2000000000000002</v>
      </c>
      <c r="O89" s="100">
        <v>0</v>
      </c>
      <c r="P89" s="100">
        <v>0.56999999999999995</v>
      </c>
      <c r="Q89" s="100">
        <v>9.32</v>
      </c>
      <c r="R89" s="6"/>
      <c r="S89" s="6"/>
      <c r="T89" s="156"/>
      <c r="U89" s="6"/>
    </row>
    <row r="90" spans="1:21" customFormat="1">
      <c r="A90" s="201" t="s">
        <v>517</v>
      </c>
      <c r="B90" s="100">
        <v>4.58</v>
      </c>
      <c r="C90" s="100">
        <v>7.39</v>
      </c>
      <c r="D90" s="100">
        <v>7.53</v>
      </c>
      <c r="E90" s="100">
        <v>6.94</v>
      </c>
      <c r="F90" s="100">
        <v>2</v>
      </c>
      <c r="G90" s="100">
        <v>56.41</v>
      </c>
      <c r="H90" s="100">
        <v>23.19</v>
      </c>
      <c r="I90" s="100">
        <v>6.86</v>
      </c>
      <c r="J90" s="100">
        <v>7.0000000000000007E-2</v>
      </c>
      <c r="K90" s="100">
        <v>178.58</v>
      </c>
      <c r="L90" s="100">
        <v>16.420000000000002</v>
      </c>
      <c r="M90" s="100">
        <v>23.18</v>
      </c>
      <c r="N90" s="100">
        <v>2.1</v>
      </c>
      <c r="O90" s="100">
        <v>0</v>
      </c>
      <c r="P90" s="100">
        <v>0.57999999999999996</v>
      </c>
      <c r="Q90" s="100">
        <v>9.32</v>
      </c>
      <c r="R90" s="6"/>
      <c r="S90" s="6"/>
      <c r="T90" s="156"/>
      <c r="U90" s="6"/>
    </row>
    <row r="91" spans="1:21" customFormat="1">
      <c r="A91" s="201" t="s">
        <v>518</v>
      </c>
      <c r="B91" s="100">
        <v>4.42</v>
      </c>
      <c r="C91" s="100">
        <v>7.55</v>
      </c>
      <c r="D91" s="100">
        <v>7.49</v>
      </c>
      <c r="E91" s="100">
        <v>7.3</v>
      </c>
      <c r="F91" s="100">
        <v>2</v>
      </c>
      <c r="G91" s="100">
        <v>59.74</v>
      </c>
      <c r="H91" s="100">
        <v>22.03</v>
      </c>
      <c r="I91" s="100">
        <v>6.9</v>
      </c>
      <c r="J91" s="100">
        <v>0.12</v>
      </c>
      <c r="K91" s="100">
        <v>151.56</v>
      </c>
      <c r="L91" s="100">
        <v>14.99</v>
      </c>
      <c r="M91" s="100">
        <v>19.559999999999999</v>
      </c>
      <c r="N91" s="100">
        <v>2.1</v>
      </c>
      <c r="O91" s="100">
        <v>0</v>
      </c>
      <c r="P91" s="100">
        <v>0.56999999999999995</v>
      </c>
      <c r="Q91" s="100">
        <v>9.32</v>
      </c>
      <c r="R91" s="6"/>
      <c r="S91" s="6"/>
      <c r="T91" s="156"/>
      <c r="U91" s="6"/>
    </row>
    <row r="92" spans="1:21" customFormat="1">
      <c r="A92" s="201" t="s">
        <v>519</v>
      </c>
      <c r="B92" s="100">
        <v>4.7699999999999996</v>
      </c>
      <c r="C92" s="100">
        <v>7.86</v>
      </c>
      <c r="D92" s="100">
        <v>7.93</v>
      </c>
      <c r="E92" s="100">
        <v>6.88</v>
      </c>
      <c r="F92" s="100">
        <v>2</v>
      </c>
      <c r="G92" s="100">
        <v>60.96</v>
      </c>
      <c r="H92" s="100">
        <v>22.01</v>
      </c>
      <c r="I92" s="100">
        <v>6.93</v>
      </c>
      <c r="J92" s="100">
        <v>0.23</v>
      </c>
      <c r="K92" s="100">
        <v>149.41999999999999</v>
      </c>
      <c r="L92" s="100">
        <v>14.55</v>
      </c>
      <c r="M92" s="100">
        <v>18.489999999999998</v>
      </c>
      <c r="N92" s="100">
        <v>2.1</v>
      </c>
      <c r="O92" s="100">
        <v>0</v>
      </c>
      <c r="P92" s="100">
        <v>0.59</v>
      </c>
      <c r="Q92" s="100">
        <v>9.32</v>
      </c>
      <c r="R92" s="6"/>
      <c r="S92" s="6"/>
      <c r="T92" s="156"/>
      <c r="U92" s="6"/>
    </row>
    <row r="93" spans="1:21" customFormat="1">
      <c r="A93" s="201" t="s">
        <v>520</v>
      </c>
      <c r="B93" s="100">
        <v>4.84</v>
      </c>
      <c r="C93" s="100">
        <v>7.92</v>
      </c>
      <c r="D93" s="100">
        <v>8.02</v>
      </c>
      <c r="E93" s="100">
        <v>7.12</v>
      </c>
      <c r="F93" s="100">
        <v>2</v>
      </c>
      <c r="G93" s="100">
        <v>60.96</v>
      </c>
      <c r="H93" s="100">
        <v>22.01</v>
      </c>
      <c r="I93" s="100">
        <v>7.01</v>
      </c>
      <c r="J93" s="100">
        <v>0.15</v>
      </c>
      <c r="K93" s="100">
        <v>185.07</v>
      </c>
      <c r="L93" s="100">
        <v>18.04</v>
      </c>
      <c r="M93" s="100">
        <v>27.21</v>
      </c>
      <c r="N93" s="100">
        <v>2.2000000000000002</v>
      </c>
      <c r="O93" s="100">
        <v>0</v>
      </c>
      <c r="P93" s="100">
        <v>0.59</v>
      </c>
      <c r="Q93" s="100">
        <v>9.27</v>
      </c>
      <c r="R93" s="6"/>
      <c r="S93" s="6"/>
      <c r="T93" s="156"/>
      <c r="U93" s="6"/>
    </row>
    <row r="94" spans="1:21" customFormat="1">
      <c r="A94" s="201" t="s">
        <v>521</v>
      </c>
      <c r="B94" s="100">
        <v>4.7300000000000004</v>
      </c>
      <c r="C94" s="100">
        <v>7.62</v>
      </c>
      <c r="D94" s="100">
        <v>7.77</v>
      </c>
      <c r="E94" s="100">
        <v>6.85</v>
      </c>
      <c r="F94" s="100">
        <v>2</v>
      </c>
      <c r="G94" s="100">
        <v>60.96</v>
      </c>
      <c r="H94" s="100">
        <v>22.01</v>
      </c>
      <c r="I94" s="100">
        <v>7.13</v>
      </c>
      <c r="J94" s="100">
        <v>0.16</v>
      </c>
      <c r="K94" s="100">
        <v>200.25</v>
      </c>
      <c r="L94" s="100">
        <v>17.82</v>
      </c>
      <c r="M94" s="100">
        <v>26.66</v>
      </c>
      <c r="N94" s="100">
        <v>2.2999999999999998</v>
      </c>
      <c r="O94" s="100">
        <v>0</v>
      </c>
      <c r="P94" s="100">
        <v>0.59</v>
      </c>
      <c r="Q94" s="100">
        <v>9.93</v>
      </c>
      <c r="R94" s="6"/>
      <c r="S94" s="6"/>
      <c r="T94" s="156"/>
      <c r="U94" s="6"/>
    </row>
    <row r="95" spans="1:21" customFormat="1">
      <c r="A95" s="201" t="s">
        <v>522</v>
      </c>
      <c r="B95" s="100">
        <v>4.7</v>
      </c>
      <c r="C95" s="100">
        <v>7.24</v>
      </c>
      <c r="D95" s="100">
        <v>7.56</v>
      </c>
      <c r="E95" s="100">
        <v>6.87</v>
      </c>
      <c r="F95" s="100">
        <v>2</v>
      </c>
      <c r="G95" s="100">
        <v>63.96</v>
      </c>
      <c r="H95" s="100">
        <v>24.5</v>
      </c>
      <c r="I95" s="100">
        <v>7.25</v>
      </c>
      <c r="J95" s="100">
        <v>0.12</v>
      </c>
      <c r="K95" s="100">
        <v>171.38</v>
      </c>
      <c r="L95" s="100">
        <v>16.78</v>
      </c>
      <c r="M95" s="100">
        <v>24.06</v>
      </c>
      <c r="N95" s="100">
        <v>2.1</v>
      </c>
      <c r="O95" s="100">
        <v>0</v>
      </c>
      <c r="P95" s="100">
        <v>0.6</v>
      </c>
      <c r="Q95" s="100">
        <v>17.73</v>
      </c>
      <c r="R95" s="6"/>
      <c r="S95" s="6"/>
      <c r="T95" s="156"/>
      <c r="U95" s="6"/>
    </row>
    <row r="96" spans="1:21" customFormat="1">
      <c r="A96" s="201" t="s">
        <v>523</v>
      </c>
      <c r="B96" s="100">
        <v>4.74</v>
      </c>
      <c r="C96" s="100">
        <v>6.93</v>
      </c>
      <c r="D96" s="100">
        <v>7.42</v>
      </c>
      <c r="E96" s="100">
        <v>6.91</v>
      </c>
      <c r="F96" s="100">
        <v>2</v>
      </c>
      <c r="G96" s="100">
        <v>65.05</v>
      </c>
      <c r="H96" s="100">
        <v>24.54</v>
      </c>
      <c r="I96" s="100">
        <v>7.29</v>
      </c>
      <c r="J96" s="100">
        <v>0.12</v>
      </c>
      <c r="K96" s="100">
        <v>197.64</v>
      </c>
      <c r="L96" s="100">
        <v>18.63</v>
      </c>
      <c r="M96" s="100">
        <v>28.67</v>
      </c>
      <c r="N96" s="100">
        <v>2.1</v>
      </c>
      <c r="O96" s="100">
        <v>0</v>
      </c>
      <c r="P96" s="100">
        <v>0.61</v>
      </c>
      <c r="Q96" s="100">
        <v>9.32</v>
      </c>
      <c r="R96" s="6"/>
      <c r="S96" s="6"/>
      <c r="T96" s="156"/>
      <c r="U96" s="6"/>
    </row>
    <row r="97" spans="1:28" customFormat="1">
      <c r="A97" s="201" t="s">
        <v>524</v>
      </c>
      <c r="B97" s="100">
        <v>4.71</v>
      </c>
      <c r="C97" s="100">
        <v>6.79</v>
      </c>
      <c r="D97" s="100">
        <v>7.32</v>
      </c>
      <c r="E97" s="100">
        <v>6.94</v>
      </c>
      <c r="F97" s="100">
        <v>2</v>
      </c>
      <c r="G97" s="100">
        <v>65.05</v>
      </c>
      <c r="H97" s="100">
        <v>24.54</v>
      </c>
      <c r="I97" s="100">
        <v>7.35</v>
      </c>
      <c r="J97" s="100">
        <v>0.1</v>
      </c>
      <c r="K97" s="100">
        <v>203.23</v>
      </c>
      <c r="L97" s="100">
        <v>19.2</v>
      </c>
      <c r="M97" s="100">
        <v>30.12</v>
      </c>
      <c r="N97" s="100">
        <v>2.1</v>
      </c>
      <c r="O97" s="100">
        <v>0</v>
      </c>
      <c r="P97" s="100">
        <v>0.61</v>
      </c>
      <c r="Q97" s="100">
        <v>9.32</v>
      </c>
      <c r="R97" s="6"/>
      <c r="S97" s="6"/>
      <c r="T97" s="156"/>
      <c r="U97" s="6"/>
    </row>
    <row r="98" spans="1:28" customFormat="1">
      <c r="A98" s="201" t="s">
        <v>525</v>
      </c>
      <c r="B98" s="100">
        <v>4.82</v>
      </c>
      <c r="C98" s="100">
        <v>6.68</v>
      </c>
      <c r="D98" s="100">
        <v>7.36</v>
      </c>
      <c r="E98" s="100">
        <v>6.93</v>
      </c>
      <c r="F98" s="100">
        <v>2</v>
      </c>
      <c r="G98" s="100">
        <v>65.05</v>
      </c>
      <c r="H98" s="100">
        <v>24.54</v>
      </c>
      <c r="I98" s="100">
        <v>7.47</v>
      </c>
      <c r="J98" s="100">
        <v>0.11</v>
      </c>
      <c r="K98" s="100">
        <v>196.25</v>
      </c>
      <c r="L98" s="100">
        <v>18.559999999999999</v>
      </c>
      <c r="M98" s="100">
        <v>28.58</v>
      </c>
      <c r="N98" s="100">
        <v>2</v>
      </c>
      <c r="O98" s="100">
        <v>0</v>
      </c>
      <c r="P98" s="100">
        <v>0.63</v>
      </c>
      <c r="Q98" s="100">
        <v>9.32</v>
      </c>
      <c r="R98" s="6"/>
      <c r="S98" s="6"/>
      <c r="T98" s="156"/>
      <c r="U98" s="6"/>
    </row>
    <row r="99" spans="1:28" customFormat="1">
      <c r="A99" s="201" t="s">
        <v>526</v>
      </c>
      <c r="B99" s="100">
        <v>5.2</v>
      </c>
      <c r="C99" s="100">
        <v>7.32</v>
      </c>
      <c r="D99" s="100">
        <v>7.99</v>
      </c>
      <c r="E99" s="100">
        <v>7.12</v>
      </c>
      <c r="F99" s="100">
        <v>2</v>
      </c>
      <c r="G99" s="100">
        <v>65</v>
      </c>
      <c r="H99" s="100">
        <v>28.92</v>
      </c>
      <c r="I99" s="100">
        <v>7.62</v>
      </c>
      <c r="J99" s="100">
        <v>0.11</v>
      </c>
      <c r="K99" s="100">
        <v>172.1</v>
      </c>
      <c r="L99" s="100">
        <v>16.18</v>
      </c>
      <c r="M99" s="100">
        <v>22.58</v>
      </c>
      <c r="N99" s="100">
        <v>2</v>
      </c>
      <c r="O99" s="100">
        <v>0</v>
      </c>
      <c r="P99" s="100">
        <v>0.66</v>
      </c>
      <c r="Q99" s="100">
        <v>9.32</v>
      </c>
      <c r="R99" s="6"/>
      <c r="S99" s="6"/>
      <c r="T99" s="156"/>
      <c r="U99" s="6"/>
    </row>
    <row r="100" spans="1:28" customFormat="1">
      <c r="A100" s="201" t="s">
        <v>527</v>
      </c>
      <c r="B100" s="100">
        <v>5.26</v>
      </c>
      <c r="C100" s="100">
        <v>7.32</v>
      </c>
      <c r="D100" s="100">
        <v>8.0399999999999991</v>
      </c>
      <c r="E100" s="100">
        <v>6.83</v>
      </c>
      <c r="F100" s="100">
        <v>2</v>
      </c>
      <c r="G100" s="100">
        <v>64.98</v>
      </c>
      <c r="H100" s="100">
        <v>28.99</v>
      </c>
      <c r="I100" s="100">
        <v>8.01</v>
      </c>
      <c r="J100" s="100">
        <v>0.17</v>
      </c>
      <c r="K100" s="100">
        <v>171.11</v>
      </c>
      <c r="L100" s="100">
        <v>16.899999999999999</v>
      </c>
      <c r="M100" s="100">
        <v>24.37</v>
      </c>
      <c r="N100" s="100">
        <v>2</v>
      </c>
      <c r="O100" s="100">
        <v>0</v>
      </c>
      <c r="P100" s="100">
        <v>0.65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528</v>
      </c>
      <c r="B101" s="100">
        <v>5.18</v>
      </c>
      <c r="C101" s="100">
        <v>7.22</v>
      </c>
      <c r="D101" s="100">
        <v>7.93</v>
      </c>
      <c r="E101" s="100">
        <v>6.96</v>
      </c>
      <c r="F101" s="100">
        <v>2</v>
      </c>
      <c r="G101" s="100">
        <v>64.98</v>
      </c>
      <c r="H101" s="100">
        <v>28.99</v>
      </c>
      <c r="I101" s="100">
        <v>8.35</v>
      </c>
      <c r="J101" s="100">
        <v>0.12</v>
      </c>
      <c r="K101" s="100">
        <v>176</v>
      </c>
      <c r="L101" s="100">
        <v>17.07</v>
      </c>
      <c r="M101" s="100">
        <v>24.83</v>
      </c>
      <c r="N101" s="100">
        <v>2.1</v>
      </c>
      <c r="O101" s="100">
        <v>0</v>
      </c>
      <c r="P101" s="100">
        <v>0.67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529</v>
      </c>
      <c r="B102" s="100">
        <v>6.81</v>
      </c>
      <c r="C102" s="100">
        <v>8.84</v>
      </c>
      <c r="D102" s="100">
        <v>10.08</v>
      </c>
      <c r="E102" s="100">
        <v>7.36</v>
      </c>
      <c r="F102" s="100">
        <v>2</v>
      </c>
      <c r="G102" s="100">
        <v>64.98</v>
      </c>
      <c r="H102" s="100">
        <v>28.99</v>
      </c>
      <c r="I102" s="100">
        <v>8.39</v>
      </c>
      <c r="J102" s="100">
        <v>0.17</v>
      </c>
      <c r="K102" s="100">
        <v>156.88</v>
      </c>
      <c r="L102" s="100">
        <v>15.52</v>
      </c>
      <c r="M102" s="100">
        <v>20.94</v>
      </c>
      <c r="N102" s="100">
        <v>2.1</v>
      </c>
      <c r="O102" s="100">
        <v>0</v>
      </c>
      <c r="P102" s="100">
        <v>0.7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530</v>
      </c>
      <c r="B103" s="100">
        <v>8.56</v>
      </c>
      <c r="C103" s="100">
        <v>10.130000000000001</v>
      </c>
      <c r="D103" s="100">
        <v>12.16</v>
      </c>
      <c r="E103" s="100">
        <v>7.4</v>
      </c>
      <c r="F103" s="100">
        <v>2</v>
      </c>
      <c r="G103" s="100">
        <v>70.66</v>
      </c>
      <c r="H103" s="100">
        <v>26.72</v>
      </c>
      <c r="I103" s="100">
        <v>8.5299999999999994</v>
      </c>
      <c r="J103" s="100">
        <v>0.11</v>
      </c>
      <c r="K103" s="100">
        <v>177.31</v>
      </c>
      <c r="L103" s="100">
        <v>17.48</v>
      </c>
      <c r="M103" s="100">
        <v>25.84</v>
      </c>
      <c r="N103" s="100">
        <v>2.1</v>
      </c>
      <c r="O103" s="100">
        <v>0</v>
      </c>
      <c r="P103" s="100">
        <v>0.73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531</v>
      </c>
      <c r="B104" s="100">
        <v>10.36</v>
      </c>
      <c r="C104" s="100">
        <v>10.33</v>
      </c>
      <c r="D104" s="100">
        <v>13.7</v>
      </c>
      <c r="E104" s="100">
        <v>8.0299999999999994</v>
      </c>
      <c r="F104" s="100">
        <v>2</v>
      </c>
      <c r="G104" s="100">
        <v>72.73</v>
      </c>
      <c r="H104" s="100">
        <v>26.69</v>
      </c>
      <c r="I104" s="100">
        <v>8.89</v>
      </c>
      <c r="J104" s="100">
        <v>0.1</v>
      </c>
      <c r="K104" s="100">
        <v>290.39</v>
      </c>
      <c r="L104" s="100">
        <v>19.489999999999998</v>
      </c>
      <c r="M104" s="100">
        <v>30.76</v>
      </c>
      <c r="N104" s="100">
        <v>1.9</v>
      </c>
      <c r="O104" s="100">
        <v>0</v>
      </c>
      <c r="P104" s="100">
        <v>0.76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2.88</v>
      </c>
      <c r="C106" s="158">
        <f>MIN(C9:C104)</f>
        <v>6.62</v>
      </c>
      <c r="D106" s="158">
        <f t="shared" ref="D106:Q106" si="0">MIN(D9:D104)</f>
        <v>7.13</v>
      </c>
      <c r="E106" s="158">
        <f t="shared" si="0"/>
        <v>5.49</v>
      </c>
      <c r="F106" s="158">
        <f t="shared" si="0"/>
        <v>2</v>
      </c>
      <c r="G106" s="158">
        <f t="shared" si="0"/>
        <v>55.73</v>
      </c>
      <c r="H106" s="158">
        <f t="shared" si="0"/>
        <v>20.54</v>
      </c>
      <c r="I106" s="158">
        <f t="shared" si="0"/>
        <v>5.65</v>
      </c>
      <c r="J106" s="158">
        <f t="shared" si="0"/>
        <v>0.04</v>
      </c>
      <c r="K106" s="158">
        <f t="shared" si="0"/>
        <v>0.51</v>
      </c>
      <c r="L106" s="158">
        <f t="shared" si="0"/>
        <v>6.73</v>
      </c>
      <c r="M106" s="158">
        <f t="shared" si="0"/>
        <v>-1.61</v>
      </c>
      <c r="N106" s="158">
        <f t="shared" si="0"/>
        <v>1.9</v>
      </c>
      <c r="O106" s="158">
        <f t="shared" si="0"/>
        <v>0</v>
      </c>
      <c r="P106" s="158">
        <f t="shared" si="0"/>
        <v>0.52</v>
      </c>
      <c r="Q106" s="158">
        <f t="shared" si="0"/>
        <v>9.27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19.63</v>
      </c>
      <c r="C107" s="157">
        <f t="shared" ref="C107:Q107" si="1">MAX(C9:C104)</f>
        <v>12.03</v>
      </c>
      <c r="D107" s="157">
        <f t="shared" si="1"/>
        <v>20.2</v>
      </c>
      <c r="E107" s="157">
        <f t="shared" si="1"/>
        <v>9.3000000000000007</v>
      </c>
      <c r="F107" s="157">
        <f t="shared" si="1"/>
        <v>8.18</v>
      </c>
      <c r="G107" s="157">
        <f t="shared" si="1"/>
        <v>89.04</v>
      </c>
      <c r="H107" s="157">
        <f t="shared" si="1"/>
        <v>31.56</v>
      </c>
      <c r="I107" s="157">
        <f t="shared" si="1"/>
        <v>8.89</v>
      </c>
      <c r="J107" s="157">
        <f t="shared" si="1"/>
        <v>0.67</v>
      </c>
      <c r="K107" s="157">
        <f t="shared" si="1"/>
        <v>358.48</v>
      </c>
      <c r="L107" s="157">
        <f t="shared" si="1"/>
        <v>28.7</v>
      </c>
      <c r="M107" s="157">
        <f t="shared" si="1"/>
        <v>43.11</v>
      </c>
      <c r="N107" s="157">
        <f t="shared" si="1"/>
        <v>592.9</v>
      </c>
      <c r="O107" s="157">
        <f t="shared" si="1"/>
        <v>0</v>
      </c>
      <c r="P107" s="157">
        <f t="shared" si="1"/>
        <v>0.76</v>
      </c>
      <c r="Q107" s="157">
        <f t="shared" si="1"/>
        <v>17.73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9.5786458333333364</v>
      </c>
      <c r="C108" s="158">
        <f t="shared" ref="C108:Q108" si="2">AVERAGE(C9:C104)</f>
        <v>8.6649999999999974</v>
      </c>
      <c r="D108" s="158">
        <f t="shared" si="2"/>
        <v>12.208854166666663</v>
      </c>
      <c r="E108" s="158">
        <f t="shared" si="2"/>
        <v>7.4814583333333351</v>
      </c>
      <c r="F108" s="158">
        <f t="shared" si="2"/>
        <v>2.5711458333333335</v>
      </c>
      <c r="G108" s="158">
        <f t="shared" si="2"/>
        <v>66.044687499999995</v>
      </c>
      <c r="H108" s="158">
        <f t="shared" si="2"/>
        <v>24.594166666666663</v>
      </c>
      <c r="I108" s="158">
        <f t="shared" si="2"/>
        <v>7.5571874999999977</v>
      </c>
      <c r="J108" s="158">
        <f t="shared" si="2"/>
        <v>0.22010416666666677</v>
      </c>
      <c r="K108" s="158">
        <f t="shared" si="2"/>
        <v>141.23770833333333</v>
      </c>
      <c r="L108" s="158">
        <f t="shared" si="2"/>
        <v>15.894791666666665</v>
      </c>
      <c r="M108" s="158">
        <f t="shared" si="2"/>
        <v>19.255729166666661</v>
      </c>
      <c r="N108" s="158">
        <f t="shared" si="2"/>
        <v>111.121875</v>
      </c>
      <c r="O108" s="158">
        <f t="shared" si="2"/>
        <v>0</v>
      </c>
      <c r="P108" s="158">
        <f t="shared" si="2"/>
        <v>0.63354166666666667</v>
      </c>
      <c r="Q108" s="158">
        <f t="shared" si="2"/>
        <v>9.4334375000000161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5.6788217124388227</v>
      </c>
      <c r="C109" s="158">
        <f t="shared" ref="C109:Q109" si="3">STDEV(C9:C104)</f>
        <v>1.3658072608110736</v>
      </c>
      <c r="D109" s="158">
        <f t="shared" si="3"/>
        <v>4.5270540833135282</v>
      </c>
      <c r="E109" s="158">
        <f t="shared" si="3"/>
        <v>0.81204871407759871</v>
      </c>
      <c r="F109" s="158">
        <f t="shared" si="3"/>
        <v>1.2689447499827446</v>
      </c>
      <c r="G109" s="158">
        <f t="shared" si="3"/>
        <v>8.0353851580468678</v>
      </c>
      <c r="H109" s="158">
        <f t="shared" si="3"/>
        <v>2.9454484661367117</v>
      </c>
      <c r="I109" s="158">
        <f t="shared" si="3"/>
        <v>1.0322195840696351</v>
      </c>
      <c r="J109" s="158">
        <f t="shared" si="3"/>
        <v>0.13204062207212203</v>
      </c>
      <c r="K109" s="158">
        <f t="shared" si="3"/>
        <v>83.807496141036339</v>
      </c>
      <c r="L109" s="158">
        <f t="shared" si="3"/>
        <v>5.0283888764675524</v>
      </c>
      <c r="M109" s="158">
        <f t="shared" si="3"/>
        <v>10.872620828174126</v>
      </c>
      <c r="N109" s="158">
        <f t="shared" si="3"/>
        <v>178.50274490186422</v>
      </c>
      <c r="O109" s="158">
        <f t="shared" si="3"/>
        <v>0</v>
      </c>
      <c r="P109" s="158">
        <f t="shared" si="3"/>
        <v>6.1916398077384929E-2</v>
      </c>
      <c r="Q109" s="158">
        <f t="shared" si="3"/>
        <v>0.87712668247252812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6" sqref="H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532</v>
      </c>
      <c r="B9" s="100">
        <v>10.11</v>
      </c>
      <c r="C9" s="100">
        <v>10.75</v>
      </c>
      <c r="D9" s="100">
        <v>13.73</v>
      </c>
      <c r="E9" s="100">
        <v>7.81</v>
      </c>
      <c r="F9" s="100">
        <v>2</v>
      </c>
      <c r="G9" s="100">
        <v>72.73</v>
      </c>
      <c r="H9" s="100">
        <v>26.69</v>
      </c>
      <c r="I9" s="100">
        <v>9.43</v>
      </c>
      <c r="J9" s="100">
        <v>0.1</v>
      </c>
      <c r="K9" s="100">
        <v>56.72</v>
      </c>
      <c r="L9" s="100">
        <v>12.68</v>
      </c>
      <c r="M9" s="100">
        <v>13.65</v>
      </c>
      <c r="N9" s="100">
        <v>2.1</v>
      </c>
      <c r="O9" s="100">
        <v>0</v>
      </c>
      <c r="P9" s="100">
        <v>0.75</v>
      </c>
      <c r="Q9" s="100">
        <v>9.32</v>
      </c>
      <c r="R9" s="6"/>
      <c r="S9" s="6"/>
      <c r="T9" s="156"/>
      <c r="U9" s="6"/>
    </row>
    <row r="10" spans="1:21" customFormat="1">
      <c r="A10" s="201" t="s">
        <v>533</v>
      </c>
      <c r="B10" s="100">
        <v>9.17</v>
      </c>
      <c r="C10" s="100">
        <v>8.61</v>
      </c>
      <c r="D10" s="100">
        <v>11.86</v>
      </c>
      <c r="E10" s="100">
        <v>7.33</v>
      </c>
      <c r="F10" s="100">
        <v>2</v>
      </c>
      <c r="G10" s="100">
        <v>72.73</v>
      </c>
      <c r="H10" s="100">
        <v>26.69</v>
      </c>
      <c r="I10" s="100">
        <v>9.84</v>
      </c>
      <c r="J10" s="100">
        <v>0.26</v>
      </c>
      <c r="K10" s="100">
        <v>27.66</v>
      </c>
      <c r="L10" s="100">
        <v>12.49</v>
      </c>
      <c r="M10" s="100">
        <v>13</v>
      </c>
      <c r="N10" s="100">
        <v>2.2000000000000002</v>
      </c>
      <c r="O10" s="100">
        <v>0</v>
      </c>
      <c r="P10" s="100">
        <v>0.73</v>
      </c>
      <c r="Q10" s="100">
        <v>9.32</v>
      </c>
      <c r="R10" s="6"/>
      <c r="S10" s="6"/>
      <c r="T10" s="156"/>
      <c r="U10" s="6"/>
    </row>
    <row r="11" spans="1:21" customFormat="1">
      <c r="A11" s="201" t="s">
        <v>534</v>
      </c>
      <c r="B11" s="100">
        <v>9.1300000000000008</v>
      </c>
      <c r="C11" s="100">
        <v>7.93</v>
      </c>
      <c r="D11" s="100">
        <v>11.47</v>
      </c>
      <c r="E11" s="100">
        <v>7.53</v>
      </c>
      <c r="F11" s="100">
        <v>2</v>
      </c>
      <c r="G11" s="100">
        <v>76.040000000000006</v>
      </c>
      <c r="H11" s="100">
        <v>32.5</v>
      </c>
      <c r="I11" s="100">
        <v>9.74</v>
      </c>
      <c r="J11" s="100">
        <v>0.23</v>
      </c>
      <c r="K11" s="100">
        <v>25.34</v>
      </c>
      <c r="L11" s="100">
        <v>12.08</v>
      </c>
      <c r="M11" s="100">
        <v>12.06</v>
      </c>
      <c r="N11" s="100">
        <v>2.5</v>
      </c>
      <c r="O11" s="100">
        <v>0</v>
      </c>
      <c r="P11" s="100">
        <v>0.75</v>
      </c>
      <c r="Q11" s="100">
        <v>9.32</v>
      </c>
      <c r="R11" s="6"/>
      <c r="S11" s="6"/>
      <c r="T11" s="156"/>
      <c r="U11" s="6"/>
    </row>
    <row r="12" spans="1:21" customFormat="1">
      <c r="A12" s="201" t="s">
        <v>535</v>
      </c>
      <c r="B12" s="100">
        <v>9.26</v>
      </c>
      <c r="C12" s="100">
        <v>7.61</v>
      </c>
      <c r="D12" s="100">
        <v>11.41</v>
      </c>
      <c r="E12" s="100">
        <v>7.25</v>
      </c>
      <c r="F12" s="100">
        <v>2</v>
      </c>
      <c r="G12" s="100">
        <v>77.239999999999995</v>
      </c>
      <c r="H12" s="100">
        <v>32.58</v>
      </c>
      <c r="I12" s="100">
        <v>9.48</v>
      </c>
      <c r="J12" s="100">
        <v>0.22</v>
      </c>
      <c r="K12" s="100">
        <v>11.82</v>
      </c>
      <c r="L12" s="100">
        <v>14.9</v>
      </c>
      <c r="M12" s="100">
        <v>19.059999999999999</v>
      </c>
      <c r="N12" s="100">
        <v>2.4</v>
      </c>
      <c r="O12" s="100">
        <v>0</v>
      </c>
      <c r="P12" s="100">
        <v>0.78</v>
      </c>
      <c r="Q12" s="100">
        <v>9.32</v>
      </c>
      <c r="R12" s="6"/>
      <c r="S12" s="6"/>
      <c r="T12" s="156"/>
      <c r="U12" s="6"/>
    </row>
    <row r="13" spans="1:21" customFormat="1">
      <c r="A13" s="201" t="s">
        <v>536</v>
      </c>
      <c r="B13" s="100">
        <v>9.5399999999999991</v>
      </c>
      <c r="C13" s="100">
        <v>7.5</v>
      </c>
      <c r="D13" s="100">
        <v>11.57</v>
      </c>
      <c r="E13" s="100">
        <v>7.36</v>
      </c>
      <c r="F13" s="100">
        <v>2</v>
      </c>
      <c r="G13" s="100">
        <v>77.239999999999995</v>
      </c>
      <c r="H13" s="100">
        <v>32.58</v>
      </c>
      <c r="I13" s="100">
        <v>9.41</v>
      </c>
      <c r="J13" s="100">
        <v>0.28000000000000003</v>
      </c>
      <c r="K13" s="100">
        <v>25.59</v>
      </c>
      <c r="L13" s="100">
        <v>7.23</v>
      </c>
      <c r="M13" s="100">
        <v>-0.2</v>
      </c>
      <c r="N13" s="100">
        <v>2.4</v>
      </c>
      <c r="O13" s="100">
        <v>0</v>
      </c>
      <c r="P13" s="100">
        <v>0.78</v>
      </c>
      <c r="Q13" s="100">
        <v>9.32</v>
      </c>
      <c r="R13" s="6"/>
      <c r="S13" s="6"/>
      <c r="T13" s="156"/>
      <c r="U13" s="6"/>
    </row>
    <row r="14" spans="1:21" customFormat="1">
      <c r="A14" s="201" t="s">
        <v>537</v>
      </c>
      <c r="B14" s="100">
        <v>9.93</v>
      </c>
      <c r="C14" s="100">
        <v>7.38</v>
      </c>
      <c r="D14" s="100">
        <v>11.82</v>
      </c>
      <c r="E14" s="100">
        <v>7.47</v>
      </c>
      <c r="F14" s="100">
        <v>2</v>
      </c>
      <c r="G14" s="100">
        <v>77.239999999999995</v>
      </c>
      <c r="H14" s="100">
        <v>32.58</v>
      </c>
      <c r="I14" s="100">
        <v>9.43</v>
      </c>
      <c r="J14" s="100">
        <v>0.21</v>
      </c>
      <c r="K14" s="100">
        <v>26.84</v>
      </c>
      <c r="L14" s="100">
        <v>9.7200000000000006</v>
      </c>
      <c r="M14" s="100">
        <v>6.14</v>
      </c>
      <c r="N14" s="100">
        <v>2.2999999999999998</v>
      </c>
      <c r="O14" s="100">
        <v>0</v>
      </c>
      <c r="P14" s="100">
        <v>0.78</v>
      </c>
      <c r="Q14" s="100">
        <v>9.32</v>
      </c>
      <c r="R14" s="6"/>
      <c r="S14" s="6"/>
      <c r="T14" s="156"/>
      <c r="U14" s="6"/>
    </row>
    <row r="15" spans="1:21" customFormat="1">
      <c r="A15" s="201" t="s">
        <v>538</v>
      </c>
      <c r="B15" s="100">
        <v>10.45</v>
      </c>
      <c r="C15" s="100">
        <v>7.42</v>
      </c>
      <c r="D15" s="100">
        <v>12.25</v>
      </c>
      <c r="E15" s="100">
        <v>7.49</v>
      </c>
      <c r="F15" s="100">
        <v>2</v>
      </c>
      <c r="G15" s="100">
        <v>85.53</v>
      </c>
      <c r="H15" s="100">
        <v>32.57</v>
      </c>
      <c r="I15" s="100">
        <v>9.39</v>
      </c>
      <c r="J15" s="100">
        <v>0.13</v>
      </c>
      <c r="K15" s="100">
        <v>27.73</v>
      </c>
      <c r="L15" s="100">
        <v>8.2899999999999991</v>
      </c>
      <c r="M15" s="100">
        <v>2.58</v>
      </c>
      <c r="N15" s="100">
        <v>2.2000000000000002</v>
      </c>
      <c r="O15" s="100">
        <v>0</v>
      </c>
      <c r="P15" s="100">
        <v>0.78</v>
      </c>
      <c r="Q15" s="100">
        <v>9.32</v>
      </c>
      <c r="R15" s="6"/>
      <c r="S15" s="6"/>
      <c r="T15" s="156"/>
      <c r="U15" s="6"/>
    </row>
    <row r="16" spans="1:21" customFormat="1">
      <c r="A16" s="201" t="s">
        <v>539</v>
      </c>
      <c r="B16" s="100">
        <v>11.09</v>
      </c>
      <c r="C16" s="100">
        <v>7.42</v>
      </c>
      <c r="D16" s="100">
        <v>12.77</v>
      </c>
      <c r="E16" s="100">
        <v>7.5</v>
      </c>
      <c r="F16" s="100">
        <v>2</v>
      </c>
      <c r="G16" s="100">
        <v>88.72</v>
      </c>
      <c r="H16" s="100">
        <v>32.57</v>
      </c>
      <c r="I16" s="100">
        <v>9.3699999999999992</v>
      </c>
      <c r="J16" s="100">
        <v>0.15</v>
      </c>
      <c r="K16" s="100">
        <v>14.05</v>
      </c>
      <c r="L16" s="100">
        <v>13.56</v>
      </c>
      <c r="M16" s="100">
        <v>15.82</v>
      </c>
      <c r="N16" s="100">
        <v>2.1</v>
      </c>
      <c r="O16" s="100">
        <v>0</v>
      </c>
      <c r="P16" s="100">
        <v>0.78</v>
      </c>
      <c r="Q16" s="100">
        <v>9.32</v>
      </c>
      <c r="R16" s="6"/>
      <c r="S16" s="6"/>
      <c r="T16" s="156"/>
      <c r="U16" s="6"/>
    </row>
    <row r="17" spans="1:21" customFormat="1">
      <c r="A17" s="201" t="s">
        <v>540</v>
      </c>
      <c r="B17" s="100">
        <v>11.57</v>
      </c>
      <c r="C17" s="100">
        <v>7.49</v>
      </c>
      <c r="D17" s="100">
        <v>13.19</v>
      </c>
      <c r="E17" s="100">
        <v>6.44</v>
      </c>
      <c r="F17" s="100">
        <v>2</v>
      </c>
      <c r="G17" s="100">
        <v>88.72</v>
      </c>
      <c r="H17" s="100">
        <v>32.57</v>
      </c>
      <c r="I17" s="100">
        <v>9.3699999999999992</v>
      </c>
      <c r="J17" s="100">
        <v>0.21</v>
      </c>
      <c r="K17" s="100">
        <v>25.43</v>
      </c>
      <c r="L17" s="100">
        <v>11.5</v>
      </c>
      <c r="M17" s="100">
        <v>10.59</v>
      </c>
      <c r="N17" s="100">
        <v>2.1</v>
      </c>
      <c r="O17" s="100">
        <v>0</v>
      </c>
      <c r="P17" s="100">
        <v>0.79</v>
      </c>
      <c r="Q17" s="100">
        <v>9.32</v>
      </c>
      <c r="R17" s="6"/>
      <c r="S17" s="6"/>
      <c r="T17" s="156"/>
      <c r="U17" s="6"/>
    </row>
    <row r="18" spans="1:21" customFormat="1">
      <c r="A18" s="201" t="s">
        <v>541</v>
      </c>
      <c r="B18" s="100">
        <v>11.98</v>
      </c>
      <c r="C18" s="100">
        <v>7.53</v>
      </c>
      <c r="D18" s="100">
        <v>13.54</v>
      </c>
      <c r="E18" s="100">
        <v>7.81</v>
      </c>
      <c r="F18" s="100">
        <v>2</v>
      </c>
      <c r="G18" s="100">
        <v>88.72</v>
      </c>
      <c r="H18" s="100">
        <v>32.57</v>
      </c>
      <c r="I18" s="100">
        <v>9.3800000000000008</v>
      </c>
      <c r="J18" s="100">
        <v>0.24</v>
      </c>
      <c r="K18" s="100">
        <v>38.619999999999997</v>
      </c>
      <c r="L18" s="100">
        <v>8.5299999999999994</v>
      </c>
      <c r="M18" s="100">
        <v>3.23</v>
      </c>
      <c r="N18" s="100">
        <v>2.2000000000000002</v>
      </c>
      <c r="O18" s="100">
        <v>0</v>
      </c>
      <c r="P18" s="100">
        <v>0.79</v>
      </c>
      <c r="Q18" s="100">
        <v>9.32</v>
      </c>
      <c r="R18" s="6"/>
      <c r="S18" s="6"/>
      <c r="T18" s="156"/>
      <c r="U18" s="6"/>
    </row>
    <row r="19" spans="1:21" customFormat="1">
      <c r="A19" s="201" t="s">
        <v>542</v>
      </c>
      <c r="B19" s="100">
        <v>12.35</v>
      </c>
      <c r="C19" s="100">
        <v>7.53</v>
      </c>
      <c r="D19" s="100">
        <v>13.84</v>
      </c>
      <c r="E19" s="100">
        <v>7.69</v>
      </c>
      <c r="F19" s="100">
        <v>2</v>
      </c>
      <c r="G19" s="100">
        <v>101.26</v>
      </c>
      <c r="H19" s="100">
        <v>31.14</v>
      </c>
      <c r="I19" s="100">
        <v>9.4</v>
      </c>
      <c r="J19" s="100">
        <v>0.19</v>
      </c>
      <c r="K19" s="100">
        <v>46.84</v>
      </c>
      <c r="L19" s="100">
        <v>11.41</v>
      </c>
      <c r="M19" s="100">
        <v>10.44</v>
      </c>
      <c r="N19" s="100">
        <v>2.1</v>
      </c>
      <c r="O19" s="100">
        <v>0</v>
      </c>
      <c r="P19" s="100">
        <v>0.79</v>
      </c>
      <c r="Q19" s="100">
        <v>9.32</v>
      </c>
      <c r="R19" s="6"/>
      <c r="S19" s="6"/>
      <c r="T19" s="156"/>
      <c r="U19" s="6"/>
    </row>
    <row r="20" spans="1:21" customFormat="1">
      <c r="A20" s="201" t="s">
        <v>543</v>
      </c>
      <c r="B20" s="100">
        <v>12.85</v>
      </c>
      <c r="C20" s="100">
        <v>7.53</v>
      </c>
      <c r="D20" s="100">
        <v>14.24</v>
      </c>
      <c r="E20" s="100">
        <v>7.51</v>
      </c>
      <c r="F20" s="100">
        <v>2</v>
      </c>
      <c r="G20" s="100">
        <v>105.81</v>
      </c>
      <c r="H20" s="100">
        <v>31.09</v>
      </c>
      <c r="I20" s="100">
        <v>9.3800000000000008</v>
      </c>
      <c r="J20" s="100">
        <v>0.2</v>
      </c>
      <c r="K20" s="100">
        <v>40.9</v>
      </c>
      <c r="L20" s="100">
        <v>7.91</v>
      </c>
      <c r="M20" s="100">
        <v>1.68</v>
      </c>
      <c r="N20" s="100">
        <v>2.1</v>
      </c>
      <c r="O20" s="100">
        <v>0</v>
      </c>
      <c r="P20" s="100">
        <v>0.79</v>
      </c>
      <c r="Q20" s="100">
        <v>9.32</v>
      </c>
      <c r="R20" s="6"/>
      <c r="S20" s="6"/>
      <c r="T20" s="156"/>
      <c r="U20" s="6"/>
    </row>
    <row r="21" spans="1:21" customFormat="1">
      <c r="A21" s="201" t="s">
        <v>544</v>
      </c>
      <c r="B21" s="100">
        <v>13.23</v>
      </c>
      <c r="C21" s="100">
        <v>7.6</v>
      </c>
      <c r="D21" s="100">
        <v>14.58</v>
      </c>
      <c r="E21" s="100">
        <v>7.46</v>
      </c>
      <c r="F21" s="100">
        <v>2</v>
      </c>
      <c r="G21" s="100">
        <v>105.81</v>
      </c>
      <c r="H21" s="100">
        <v>31.09</v>
      </c>
      <c r="I21" s="100">
        <v>9.32</v>
      </c>
      <c r="J21" s="100">
        <v>0.18</v>
      </c>
      <c r="K21" s="100">
        <v>23.83</v>
      </c>
      <c r="L21" s="100">
        <v>12.3</v>
      </c>
      <c r="M21" s="100">
        <v>12.68</v>
      </c>
      <c r="N21" s="100">
        <v>2.1</v>
      </c>
      <c r="O21" s="100">
        <v>0</v>
      </c>
      <c r="P21" s="100">
        <v>0.78</v>
      </c>
      <c r="Q21" s="100">
        <v>9.32</v>
      </c>
      <c r="R21" s="6"/>
      <c r="S21" s="6"/>
      <c r="T21" s="156"/>
      <c r="U21" s="6"/>
    </row>
    <row r="22" spans="1:21" customFormat="1">
      <c r="A22" s="201" t="s">
        <v>545</v>
      </c>
      <c r="B22" s="100">
        <v>13.43</v>
      </c>
      <c r="C22" s="100">
        <v>7.48</v>
      </c>
      <c r="D22" s="100">
        <v>14.68</v>
      </c>
      <c r="E22" s="100">
        <v>7.36</v>
      </c>
      <c r="F22" s="100">
        <v>2</v>
      </c>
      <c r="G22" s="100">
        <v>105.81</v>
      </c>
      <c r="H22" s="100">
        <v>31.09</v>
      </c>
      <c r="I22" s="100">
        <v>9.24</v>
      </c>
      <c r="J22" s="100">
        <v>0.15</v>
      </c>
      <c r="K22" s="100">
        <v>32.22</v>
      </c>
      <c r="L22" s="100">
        <v>11.63</v>
      </c>
      <c r="M22" s="100">
        <v>11.02</v>
      </c>
      <c r="N22" s="100">
        <v>2.1</v>
      </c>
      <c r="O22" s="100">
        <v>0</v>
      </c>
      <c r="P22" s="100">
        <v>0.77</v>
      </c>
      <c r="Q22" s="100">
        <v>9.32</v>
      </c>
      <c r="R22" s="6"/>
      <c r="S22" s="6"/>
      <c r="T22" s="156"/>
      <c r="U22" s="6"/>
    </row>
    <row r="23" spans="1:21" customFormat="1">
      <c r="A23" s="201" t="s">
        <v>546</v>
      </c>
      <c r="B23" s="100">
        <v>13.57</v>
      </c>
      <c r="C23" s="100">
        <v>7.53</v>
      </c>
      <c r="D23" s="100">
        <v>14.82</v>
      </c>
      <c r="E23" s="100">
        <v>7.63</v>
      </c>
      <c r="F23" s="100">
        <v>2</v>
      </c>
      <c r="G23" s="100">
        <v>99.32</v>
      </c>
      <c r="H23" s="100">
        <v>29.91</v>
      </c>
      <c r="I23" s="100">
        <v>9.16</v>
      </c>
      <c r="J23" s="100">
        <v>0.11</v>
      </c>
      <c r="K23" s="100">
        <v>24.3</v>
      </c>
      <c r="L23" s="100">
        <v>10.31</v>
      </c>
      <c r="M23" s="100">
        <v>7.67</v>
      </c>
      <c r="N23" s="100">
        <v>2.1</v>
      </c>
      <c r="O23" s="100">
        <v>0</v>
      </c>
      <c r="P23" s="100">
        <v>0.77</v>
      </c>
      <c r="Q23" s="100">
        <v>9.32</v>
      </c>
      <c r="R23" s="6"/>
      <c r="S23" s="6"/>
      <c r="T23" s="156"/>
      <c r="U23" s="6"/>
    </row>
    <row r="24" spans="1:21" customFormat="1">
      <c r="A24" s="201" t="s">
        <v>547</v>
      </c>
      <c r="B24" s="100">
        <v>13.82</v>
      </c>
      <c r="C24" s="100">
        <v>7.53</v>
      </c>
      <c r="D24" s="100">
        <v>15.02</v>
      </c>
      <c r="E24" s="100">
        <v>7.46</v>
      </c>
      <c r="F24" s="100">
        <v>2</v>
      </c>
      <c r="G24" s="100">
        <v>96.96</v>
      </c>
      <c r="H24" s="100">
        <v>29.88</v>
      </c>
      <c r="I24" s="100">
        <v>9.11</v>
      </c>
      <c r="J24" s="100">
        <v>0.21</v>
      </c>
      <c r="K24" s="100">
        <v>48.69</v>
      </c>
      <c r="L24" s="100">
        <v>9.3800000000000008</v>
      </c>
      <c r="M24" s="100">
        <v>5.44</v>
      </c>
      <c r="N24" s="100">
        <v>2.1</v>
      </c>
      <c r="O24" s="100">
        <v>0</v>
      </c>
      <c r="P24" s="100">
        <v>0.77</v>
      </c>
      <c r="Q24" s="100">
        <v>9.32</v>
      </c>
      <c r="R24" s="6"/>
      <c r="S24" s="6"/>
      <c r="T24" s="156"/>
      <c r="U24" s="6"/>
    </row>
    <row r="25" spans="1:21" customFormat="1">
      <c r="A25" s="201" t="s">
        <v>548</v>
      </c>
      <c r="B25" s="100">
        <v>14.1</v>
      </c>
      <c r="C25" s="100">
        <v>7.61</v>
      </c>
      <c r="D25" s="100">
        <v>15.28</v>
      </c>
      <c r="E25" s="100">
        <v>7.74</v>
      </c>
      <c r="F25" s="100">
        <v>2</v>
      </c>
      <c r="G25" s="100">
        <v>96.96</v>
      </c>
      <c r="H25" s="100">
        <v>29.88</v>
      </c>
      <c r="I25" s="100">
        <v>9.08</v>
      </c>
      <c r="J25" s="100">
        <v>0.25</v>
      </c>
      <c r="K25" s="100">
        <v>40.99</v>
      </c>
      <c r="L25" s="100">
        <v>7.04</v>
      </c>
      <c r="M25" s="100">
        <v>-0.48</v>
      </c>
      <c r="N25" s="100">
        <v>2.1</v>
      </c>
      <c r="O25" s="100">
        <v>0</v>
      </c>
      <c r="P25" s="100">
        <v>0.76</v>
      </c>
      <c r="Q25" s="100">
        <v>9.32</v>
      </c>
      <c r="R25" s="6"/>
      <c r="S25" s="6"/>
      <c r="T25" s="156"/>
      <c r="U25" s="6"/>
    </row>
    <row r="26" spans="1:21" customFormat="1">
      <c r="A26" s="201" t="s">
        <v>549</v>
      </c>
      <c r="B26" s="100">
        <v>14.23</v>
      </c>
      <c r="C26" s="100">
        <v>7.65</v>
      </c>
      <c r="D26" s="100">
        <v>15.41</v>
      </c>
      <c r="E26" s="100">
        <v>7.8</v>
      </c>
      <c r="F26" s="100">
        <v>2</v>
      </c>
      <c r="G26" s="100">
        <v>96.96</v>
      </c>
      <c r="H26" s="100">
        <v>29.88</v>
      </c>
      <c r="I26" s="100">
        <v>9.0299999999999994</v>
      </c>
      <c r="J26" s="100">
        <v>0.25</v>
      </c>
      <c r="K26" s="100">
        <v>40.35</v>
      </c>
      <c r="L26" s="100">
        <v>9.5</v>
      </c>
      <c r="M26" s="100">
        <v>5.68</v>
      </c>
      <c r="N26" s="100">
        <v>2.1</v>
      </c>
      <c r="O26" s="100">
        <v>0</v>
      </c>
      <c r="P26" s="100">
        <v>0.76</v>
      </c>
      <c r="Q26" s="100">
        <v>9.32</v>
      </c>
      <c r="R26" s="6"/>
      <c r="S26" s="6"/>
      <c r="T26" s="156"/>
      <c r="U26" s="6"/>
    </row>
    <row r="27" spans="1:21" customFormat="1">
      <c r="A27" s="201" t="s">
        <v>550</v>
      </c>
      <c r="B27" s="100">
        <v>14.29</v>
      </c>
      <c r="C27" s="100">
        <v>7.64</v>
      </c>
      <c r="D27" s="100">
        <v>15.45</v>
      </c>
      <c r="E27" s="100">
        <v>7.63</v>
      </c>
      <c r="F27" s="100">
        <v>2</v>
      </c>
      <c r="G27" s="100">
        <v>96.47</v>
      </c>
      <c r="H27" s="100">
        <v>30.82</v>
      </c>
      <c r="I27" s="100">
        <v>8.93</v>
      </c>
      <c r="J27" s="100">
        <v>0.32</v>
      </c>
      <c r="K27" s="100">
        <v>41.25</v>
      </c>
      <c r="L27" s="100">
        <v>7.52</v>
      </c>
      <c r="M27" s="100">
        <v>0.78</v>
      </c>
      <c r="N27" s="100">
        <v>2.1</v>
      </c>
      <c r="O27" s="100">
        <v>0</v>
      </c>
      <c r="P27" s="100">
        <v>0.76</v>
      </c>
      <c r="Q27" s="100">
        <v>9.32</v>
      </c>
      <c r="R27" s="6"/>
      <c r="S27" s="6"/>
      <c r="T27" s="156"/>
      <c r="U27" s="6"/>
    </row>
    <row r="28" spans="1:21" customFormat="1">
      <c r="A28" s="201" t="s">
        <v>551</v>
      </c>
      <c r="B28" s="100">
        <v>14.34</v>
      </c>
      <c r="C28" s="100">
        <v>7.67</v>
      </c>
      <c r="D28" s="100">
        <v>15.5</v>
      </c>
      <c r="E28" s="100">
        <v>7.82</v>
      </c>
      <c r="F28" s="100">
        <v>2</v>
      </c>
      <c r="G28" s="100">
        <v>96.29</v>
      </c>
      <c r="H28" s="100">
        <v>30.85</v>
      </c>
      <c r="I28" s="100">
        <v>8.85</v>
      </c>
      <c r="J28" s="100">
        <v>0.31</v>
      </c>
      <c r="K28" s="100">
        <v>38.979999999999997</v>
      </c>
      <c r="L28" s="100">
        <v>6.73</v>
      </c>
      <c r="M28" s="100">
        <v>-1.28</v>
      </c>
      <c r="N28" s="100">
        <v>2.1</v>
      </c>
      <c r="O28" s="100">
        <v>0</v>
      </c>
      <c r="P28" s="100">
        <v>0.74</v>
      </c>
      <c r="Q28" s="100">
        <v>9.32</v>
      </c>
      <c r="R28" s="6"/>
      <c r="S28" s="6"/>
      <c r="T28" s="156"/>
      <c r="U28" s="6"/>
    </row>
    <row r="29" spans="1:21" customFormat="1">
      <c r="A29" s="201" t="s">
        <v>552</v>
      </c>
      <c r="B29" s="100">
        <v>14.41</v>
      </c>
      <c r="C29" s="100">
        <v>7.73</v>
      </c>
      <c r="D29" s="100">
        <v>15.6</v>
      </c>
      <c r="E29" s="100">
        <v>7.91</v>
      </c>
      <c r="F29" s="100">
        <v>2</v>
      </c>
      <c r="G29" s="100">
        <v>96.29</v>
      </c>
      <c r="H29" s="100">
        <v>30.85</v>
      </c>
      <c r="I29" s="100">
        <v>8.8000000000000007</v>
      </c>
      <c r="J29" s="100">
        <v>0.18</v>
      </c>
      <c r="K29" s="100">
        <v>53.98</v>
      </c>
      <c r="L29" s="100">
        <v>8.33</v>
      </c>
      <c r="M29" s="100">
        <v>2.89</v>
      </c>
      <c r="N29" s="100">
        <v>2.1</v>
      </c>
      <c r="O29" s="100">
        <v>0</v>
      </c>
      <c r="P29" s="100">
        <v>0.74</v>
      </c>
      <c r="Q29" s="100">
        <v>9.32</v>
      </c>
      <c r="R29" s="6"/>
      <c r="S29" s="6"/>
      <c r="T29" s="156"/>
      <c r="U29" s="6"/>
    </row>
    <row r="30" spans="1:21" customFormat="1">
      <c r="A30" s="201" t="s">
        <v>553</v>
      </c>
      <c r="B30" s="100">
        <v>14.47</v>
      </c>
      <c r="C30" s="100">
        <v>7.78</v>
      </c>
      <c r="D30" s="100">
        <v>15.67</v>
      </c>
      <c r="E30" s="100">
        <v>7.51</v>
      </c>
      <c r="F30" s="100">
        <v>2</v>
      </c>
      <c r="G30" s="100">
        <v>96.29</v>
      </c>
      <c r="H30" s="100">
        <v>30.85</v>
      </c>
      <c r="I30" s="100">
        <v>8.76</v>
      </c>
      <c r="J30" s="100">
        <v>0.12</v>
      </c>
      <c r="K30" s="100">
        <v>79.45</v>
      </c>
      <c r="L30" s="100">
        <v>9.34</v>
      </c>
      <c r="M30" s="100">
        <v>5.45</v>
      </c>
      <c r="N30" s="100">
        <v>2.1</v>
      </c>
      <c r="O30" s="100">
        <v>0</v>
      </c>
      <c r="P30" s="100">
        <v>0.71</v>
      </c>
      <c r="Q30" s="100">
        <v>9.32</v>
      </c>
      <c r="R30" s="6"/>
      <c r="S30" s="6"/>
      <c r="T30" s="156"/>
      <c r="U30" s="6"/>
    </row>
    <row r="31" spans="1:21" customFormat="1">
      <c r="A31" s="201" t="s">
        <v>554</v>
      </c>
      <c r="B31" s="100">
        <v>14.32</v>
      </c>
      <c r="C31" s="100">
        <v>8.02</v>
      </c>
      <c r="D31" s="100">
        <v>15.67</v>
      </c>
      <c r="E31" s="100">
        <v>7.65</v>
      </c>
      <c r="F31" s="100">
        <v>2</v>
      </c>
      <c r="G31" s="100">
        <v>86.77</v>
      </c>
      <c r="H31" s="100">
        <v>31.61</v>
      </c>
      <c r="I31" s="100">
        <v>8.7200000000000006</v>
      </c>
      <c r="J31" s="100">
        <v>0.04</v>
      </c>
      <c r="K31" s="100">
        <v>155.69</v>
      </c>
      <c r="L31" s="100">
        <v>16.760000000000002</v>
      </c>
      <c r="M31" s="100">
        <v>24.05</v>
      </c>
      <c r="N31" s="100">
        <v>2.2000000000000002</v>
      </c>
      <c r="O31" s="100">
        <v>0</v>
      </c>
      <c r="P31" s="100">
        <v>0.68</v>
      </c>
      <c r="Q31" s="100">
        <v>9.32</v>
      </c>
      <c r="R31" s="6"/>
      <c r="S31" s="6"/>
      <c r="T31" s="156"/>
      <c r="U31" s="6"/>
    </row>
    <row r="32" spans="1:21" customFormat="1">
      <c r="A32" s="201" t="s">
        <v>555</v>
      </c>
      <c r="B32" s="100">
        <v>14.28</v>
      </c>
      <c r="C32" s="100">
        <v>8.14</v>
      </c>
      <c r="D32" s="100">
        <v>15.71</v>
      </c>
      <c r="E32" s="100">
        <v>7.68</v>
      </c>
      <c r="F32" s="100">
        <v>2</v>
      </c>
      <c r="G32" s="100">
        <v>83.31</v>
      </c>
      <c r="H32" s="100">
        <v>31.64</v>
      </c>
      <c r="I32" s="100">
        <v>8.6</v>
      </c>
      <c r="J32" s="100">
        <v>0.13</v>
      </c>
      <c r="K32" s="100">
        <v>154.16</v>
      </c>
      <c r="L32" s="100">
        <v>15.02</v>
      </c>
      <c r="M32" s="100">
        <v>19.72</v>
      </c>
      <c r="N32" s="100">
        <v>2.5</v>
      </c>
      <c r="O32" s="100">
        <v>0</v>
      </c>
      <c r="P32" s="100">
        <v>0.67</v>
      </c>
      <c r="Q32" s="100">
        <v>9.32</v>
      </c>
      <c r="R32" s="6"/>
      <c r="S32" s="6"/>
      <c r="T32" s="156"/>
      <c r="U32" s="6"/>
    </row>
    <row r="33" spans="1:21" customFormat="1">
      <c r="A33" s="201" t="s">
        <v>556</v>
      </c>
      <c r="B33" s="100">
        <v>14.14</v>
      </c>
      <c r="C33" s="100">
        <v>8.15</v>
      </c>
      <c r="D33" s="100">
        <v>15.6</v>
      </c>
      <c r="E33" s="100">
        <v>7.48</v>
      </c>
      <c r="F33" s="100">
        <v>2</v>
      </c>
      <c r="G33" s="100">
        <v>83.31</v>
      </c>
      <c r="H33" s="100">
        <v>31.64</v>
      </c>
      <c r="I33" s="100">
        <v>8.4700000000000006</v>
      </c>
      <c r="J33" s="100">
        <v>0.04</v>
      </c>
      <c r="K33" s="100">
        <v>142.46</v>
      </c>
      <c r="L33" s="100">
        <v>15.07</v>
      </c>
      <c r="M33" s="100">
        <v>19.8</v>
      </c>
      <c r="N33" s="100">
        <v>3.8</v>
      </c>
      <c r="O33" s="100">
        <v>0</v>
      </c>
      <c r="P33" s="100">
        <v>0.67</v>
      </c>
      <c r="Q33" s="100">
        <v>9.32</v>
      </c>
      <c r="R33" s="6"/>
      <c r="S33" s="6"/>
      <c r="T33" s="156"/>
      <c r="U33" s="6"/>
    </row>
    <row r="34" spans="1:21" customFormat="1">
      <c r="A34" s="201" t="s">
        <v>557</v>
      </c>
      <c r="B34" s="100">
        <v>14.49</v>
      </c>
      <c r="C34" s="100">
        <v>8.2200000000000006</v>
      </c>
      <c r="D34" s="100">
        <v>15.91</v>
      </c>
      <c r="E34" s="100">
        <v>7.95</v>
      </c>
      <c r="F34" s="100">
        <v>2</v>
      </c>
      <c r="G34" s="100">
        <v>83.31</v>
      </c>
      <c r="H34" s="100">
        <v>31.64</v>
      </c>
      <c r="I34" s="100">
        <v>8.41</v>
      </c>
      <c r="J34" s="100">
        <v>0.16</v>
      </c>
      <c r="K34" s="100">
        <v>5.74</v>
      </c>
      <c r="L34" s="100">
        <v>15.92</v>
      </c>
      <c r="M34" s="100">
        <v>21.47</v>
      </c>
      <c r="N34" s="100">
        <v>7.9</v>
      </c>
      <c r="O34" s="100">
        <v>0</v>
      </c>
      <c r="P34" s="100">
        <v>0.67</v>
      </c>
      <c r="Q34" s="100">
        <v>9.32</v>
      </c>
      <c r="R34" s="6"/>
      <c r="S34" s="6"/>
      <c r="T34" s="156"/>
      <c r="U34" s="6"/>
    </row>
    <row r="35" spans="1:21" customFormat="1">
      <c r="A35" s="201" t="s">
        <v>558</v>
      </c>
      <c r="B35" s="100">
        <v>14.96</v>
      </c>
      <c r="C35" s="100">
        <v>8.33</v>
      </c>
      <c r="D35" s="100">
        <v>16.34</v>
      </c>
      <c r="E35" s="100">
        <v>7.47</v>
      </c>
      <c r="F35" s="100">
        <v>2</v>
      </c>
      <c r="G35" s="100">
        <v>71.38</v>
      </c>
      <c r="H35" s="100">
        <v>28.19</v>
      </c>
      <c r="I35" s="100">
        <v>8.39</v>
      </c>
      <c r="J35" s="100">
        <v>0.17</v>
      </c>
      <c r="K35" s="100">
        <v>28.9</v>
      </c>
      <c r="L35" s="100">
        <v>11.19</v>
      </c>
      <c r="M35" s="100">
        <v>9.42</v>
      </c>
      <c r="N35" s="100">
        <v>17.2</v>
      </c>
      <c r="O35" s="100">
        <v>0</v>
      </c>
      <c r="P35" s="100">
        <v>0.67</v>
      </c>
      <c r="Q35" s="100">
        <v>9.32</v>
      </c>
      <c r="R35" s="6"/>
      <c r="S35" s="6"/>
      <c r="T35" s="156"/>
      <c r="U35" s="6"/>
    </row>
    <row r="36" spans="1:21" customFormat="1">
      <c r="A36" s="201" t="s">
        <v>559</v>
      </c>
      <c r="B36" s="100">
        <v>15.22</v>
      </c>
      <c r="C36" s="100">
        <v>8.41</v>
      </c>
      <c r="D36" s="100">
        <v>16.600000000000001</v>
      </c>
      <c r="E36" s="100">
        <v>7.62</v>
      </c>
      <c r="F36" s="100">
        <v>2</v>
      </c>
      <c r="G36" s="100">
        <v>67.040000000000006</v>
      </c>
      <c r="H36" s="100">
        <v>28.08</v>
      </c>
      <c r="I36" s="100">
        <v>8.3699999999999992</v>
      </c>
      <c r="J36" s="100">
        <v>0.34</v>
      </c>
      <c r="K36" s="100">
        <v>24.61</v>
      </c>
      <c r="L36" s="100">
        <v>11.66</v>
      </c>
      <c r="M36" s="100">
        <v>10.24</v>
      </c>
      <c r="N36" s="100">
        <v>28.9</v>
      </c>
      <c r="O36" s="100">
        <v>0</v>
      </c>
      <c r="P36" s="100">
        <v>0.67</v>
      </c>
      <c r="Q36" s="100">
        <v>9.32</v>
      </c>
      <c r="R36" s="6"/>
      <c r="S36" s="6"/>
      <c r="T36" s="156"/>
      <c r="U36" s="6"/>
    </row>
    <row r="37" spans="1:21" customFormat="1">
      <c r="A37" s="201" t="s">
        <v>560</v>
      </c>
      <c r="B37" s="100">
        <v>15.18</v>
      </c>
      <c r="C37" s="100">
        <v>8.39</v>
      </c>
      <c r="D37" s="100">
        <v>16.55</v>
      </c>
      <c r="E37" s="100">
        <v>7.49</v>
      </c>
      <c r="F37" s="100">
        <v>2</v>
      </c>
      <c r="G37" s="100">
        <v>67.040000000000006</v>
      </c>
      <c r="H37" s="100">
        <v>28.08</v>
      </c>
      <c r="I37" s="100">
        <v>8.35</v>
      </c>
      <c r="J37" s="100">
        <v>0.42</v>
      </c>
      <c r="K37" s="100">
        <v>34.93</v>
      </c>
      <c r="L37" s="100">
        <v>8.82</v>
      </c>
      <c r="M37" s="100">
        <v>2.88</v>
      </c>
      <c r="N37" s="100">
        <v>45.3</v>
      </c>
      <c r="O37" s="100">
        <v>0</v>
      </c>
      <c r="P37" s="100">
        <v>0.66</v>
      </c>
      <c r="Q37" s="100">
        <v>9.32</v>
      </c>
      <c r="R37" s="6"/>
      <c r="S37" s="6"/>
      <c r="T37" s="156"/>
      <c r="U37" s="6"/>
    </row>
    <row r="38" spans="1:21" customFormat="1">
      <c r="A38" s="201" t="s">
        <v>561</v>
      </c>
      <c r="B38" s="100">
        <v>14.97</v>
      </c>
      <c r="C38" s="100">
        <v>8.34</v>
      </c>
      <c r="D38" s="100">
        <v>16.36</v>
      </c>
      <c r="E38" s="100">
        <v>7.68</v>
      </c>
      <c r="F38" s="100">
        <v>2</v>
      </c>
      <c r="G38" s="100">
        <v>67.040000000000006</v>
      </c>
      <c r="H38" s="100">
        <v>28.08</v>
      </c>
      <c r="I38" s="100">
        <v>8.3699999999999992</v>
      </c>
      <c r="J38" s="100">
        <v>0.37</v>
      </c>
      <c r="K38" s="100">
        <v>31.75</v>
      </c>
      <c r="L38" s="100">
        <v>8.76</v>
      </c>
      <c r="M38" s="100">
        <v>2.37</v>
      </c>
      <c r="N38" s="100">
        <v>59.8</v>
      </c>
      <c r="O38" s="100">
        <v>0</v>
      </c>
      <c r="P38" s="100">
        <v>0.66</v>
      </c>
      <c r="Q38" s="100">
        <v>9.32</v>
      </c>
      <c r="R38" s="6"/>
      <c r="S38" s="6"/>
      <c r="T38" s="156"/>
      <c r="U38" s="6"/>
    </row>
    <row r="39" spans="1:21" customFormat="1">
      <c r="A39" s="201" t="s">
        <v>562</v>
      </c>
      <c r="B39" s="100">
        <v>14.88</v>
      </c>
      <c r="C39" s="100">
        <v>8.31</v>
      </c>
      <c r="D39" s="100">
        <v>16.27</v>
      </c>
      <c r="E39" s="100">
        <v>7.66</v>
      </c>
      <c r="F39" s="100">
        <v>2</v>
      </c>
      <c r="G39" s="100">
        <v>83.58</v>
      </c>
      <c r="H39" s="100">
        <v>30.63</v>
      </c>
      <c r="I39" s="100">
        <v>8.4</v>
      </c>
      <c r="J39" s="100">
        <v>0.66</v>
      </c>
      <c r="K39" s="100">
        <v>41.59</v>
      </c>
      <c r="L39" s="100">
        <v>7.79</v>
      </c>
      <c r="M39" s="100">
        <v>-1.1299999999999999</v>
      </c>
      <c r="N39" s="100">
        <v>105.7</v>
      </c>
      <c r="O39" s="100">
        <v>0</v>
      </c>
      <c r="P39" s="100">
        <v>0.67</v>
      </c>
      <c r="Q39" s="100">
        <v>9.32</v>
      </c>
      <c r="R39" s="6"/>
      <c r="S39" s="6"/>
      <c r="T39" s="156"/>
      <c r="U39" s="6"/>
    </row>
    <row r="40" spans="1:21" customFormat="1">
      <c r="A40" s="201" t="s">
        <v>563</v>
      </c>
      <c r="B40" s="100">
        <v>14.75</v>
      </c>
      <c r="C40" s="100">
        <v>8.34</v>
      </c>
      <c r="D40" s="100">
        <v>16.18</v>
      </c>
      <c r="E40" s="100">
        <v>7.62</v>
      </c>
      <c r="F40" s="100">
        <v>2</v>
      </c>
      <c r="G40" s="100">
        <v>89.59</v>
      </c>
      <c r="H40" s="100">
        <v>30.71</v>
      </c>
      <c r="I40" s="100">
        <v>8.4700000000000006</v>
      </c>
      <c r="J40" s="100">
        <v>0.66</v>
      </c>
      <c r="K40" s="100">
        <v>35.49</v>
      </c>
      <c r="L40" s="100">
        <v>8.44</v>
      </c>
      <c r="M40" s="100">
        <v>-2.44</v>
      </c>
      <c r="N40" s="100">
        <v>200.2</v>
      </c>
      <c r="O40" s="100">
        <v>0</v>
      </c>
      <c r="P40" s="100">
        <v>0.66</v>
      </c>
      <c r="Q40" s="100">
        <v>9.32</v>
      </c>
      <c r="R40" s="6"/>
      <c r="S40" s="6"/>
      <c r="T40" s="156"/>
      <c r="U40" s="6"/>
    </row>
    <row r="41" spans="1:21" customFormat="1">
      <c r="A41" s="201" t="s">
        <v>564</v>
      </c>
      <c r="B41" s="100">
        <v>14.5</v>
      </c>
      <c r="C41" s="100">
        <v>8.5399999999999991</v>
      </c>
      <c r="D41" s="100">
        <v>16.09</v>
      </c>
      <c r="E41" s="100">
        <v>7.72</v>
      </c>
      <c r="F41" s="100">
        <v>2</v>
      </c>
      <c r="G41" s="100">
        <v>89.59</v>
      </c>
      <c r="H41" s="100">
        <v>30.71</v>
      </c>
      <c r="I41" s="100">
        <v>8.4700000000000006</v>
      </c>
      <c r="J41" s="100">
        <v>0.43</v>
      </c>
      <c r="K41" s="100">
        <v>52.7</v>
      </c>
      <c r="L41" s="100">
        <v>9.7899999999999991</v>
      </c>
      <c r="M41" s="100">
        <v>0.69</v>
      </c>
      <c r="N41" s="100">
        <v>244.7</v>
      </c>
      <c r="O41" s="100">
        <v>0</v>
      </c>
      <c r="P41" s="100">
        <v>0.66</v>
      </c>
      <c r="Q41" s="100">
        <v>9.32</v>
      </c>
      <c r="R41" s="6"/>
      <c r="S41" s="6"/>
      <c r="T41" s="156"/>
      <c r="U41" s="6"/>
    </row>
    <row r="42" spans="1:21" customFormat="1">
      <c r="A42" s="201" t="s">
        <v>565</v>
      </c>
      <c r="B42" s="100">
        <v>14.2</v>
      </c>
      <c r="C42" s="100">
        <v>8.6</v>
      </c>
      <c r="D42" s="100">
        <v>15.88</v>
      </c>
      <c r="E42" s="100">
        <v>7.83</v>
      </c>
      <c r="F42" s="100">
        <v>2</v>
      </c>
      <c r="G42" s="100">
        <v>89.59</v>
      </c>
      <c r="H42" s="100">
        <v>30.71</v>
      </c>
      <c r="I42" s="100">
        <v>8.43</v>
      </c>
      <c r="J42" s="100">
        <v>0.49</v>
      </c>
      <c r="K42" s="100">
        <v>44.13</v>
      </c>
      <c r="L42" s="100">
        <v>11.37</v>
      </c>
      <c r="M42" s="100">
        <v>3.56</v>
      </c>
      <c r="N42" s="100">
        <v>289.60000000000002</v>
      </c>
      <c r="O42" s="100">
        <v>0</v>
      </c>
      <c r="P42" s="100">
        <v>0.66</v>
      </c>
      <c r="Q42" s="100">
        <v>9.32</v>
      </c>
      <c r="R42" s="6"/>
      <c r="S42" s="6"/>
      <c r="T42" s="156"/>
      <c r="U42" s="6"/>
    </row>
    <row r="43" spans="1:21" customFormat="1">
      <c r="A43" s="201" t="s">
        <v>566</v>
      </c>
      <c r="B43" s="100">
        <v>13.66</v>
      </c>
      <c r="C43" s="100">
        <v>8.8000000000000007</v>
      </c>
      <c r="D43" s="100">
        <v>15.55</v>
      </c>
      <c r="E43" s="100">
        <v>8.0500000000000007</v>
      </c>
      <c r="F43" s="100">
        <v>2</v>
      </c>
      <c r="G43" s="100">
        <v>91.15</v>
      </c>
      <c r="H43" s="100">
        <v>29.3</v>
      </c>
      <c r="I43" s="100">
        <v>8.42</v>
      </c>
      <c r="J43" s="100">
        <v>0.34</v>
      </c>
      <c r="K43" s="100">
        <v>60.73</v>
      </c>
      <c r="L43" s="100">
        <v>12.17</v>
      </c>
      <c r="M43" s="100">
        <v>4.51</v>
      </c>
      <c r="N43" s="100">
        <v>335.9</v>
      </c>
      <c r="O43" s="100">
        <v>0</v>
      </c>
      <c r="P43" s="100">
        <v>0.65</v>
      </c>
      <c r="Q43" s="100">
        <v>9.32</v>
      </c>
      <c r="R43" s="6"/>
      <c r="S43" s="6"/>
      <c r="T43" s="156"/>
      <c r="U43" s="6"/>
    </row>
    <row r="44" spans="1:21" customFormat="1">
      <c r="A44" s="201" t="s">
        <v>567</v>
      </c>
      <c r="B44" s="100">
        <v>13.13</v>
      </c>
      <c r="C44" s="100">
        <v>9</v>
      </c>
      <c r="D44" s="100">
        <v>15.23</v>
      </c>
      <c r="E44" s="100">
        <v>8.3000000000000007</v>
      </c>
      <c r="F44" s="100">
        <v>2</v>
      </c>
      <c r="G44" s="100">
        <v>91.71</v>
      </c>
      <c r="H44" s="100">
        <v>29.26</v>
      </c>
      <c r="I44" s="100">
        <v>8.3800000000000008</v>
      </c>
      <c r="J44" s="100">
        <v>0.52</v>
      </c>
      <c r="K44" s="100">
        <v>51.92</v>
      </c>
      <c r="L44" s="100">
        <v>13.34</v>
      </c>
      <c r="M44" s="100">
        <v>6.38</v>
      </c>
      <c r="N44" s="100">
        <v>383.6</v>
      </c>
      <c r="O44" s="100">
        <v>0</v>
      </c>
      <c r="P44" s="100">
        <v>0.65</v>
      </c>
      <c r="Q44" s="100">
        <v>9.32</v>
      </c>
      <c r="R44" s="6"/>
      <c r="S44" s="6"/>
      <c r="T44" s="156"/>
      <c r="U44" s="6"/>
    </row>
    <row r="45" spans="1:21" customFormat="1">
      <c r="A45" s="201" t="s">
        <v>568</v>
      </c>
      <c r="B45" s="100">
        <v>12.69</v>
      </c>
      <c r="C45" s="100">
        <v>9.19</v>
      </c>
      <c r="D45" s="100">
        <v>14.97</v>
      </c>
      <c r="E45" s="100">
        <v>8.7100000000000009</v>
      </c>
      <c r="F45" s="100">
        <v>2</v>
      </c>
      <c r="G45" s="100">
        <v>91.71</v>
      </c>
      <c r="H45" s="100">
        <v>29.26</v>
      </c>
      <c r="I45" s="100">
        <v>8.3699999999999992</v>
      </c>
      <c r="J45" s="100">
        <v>0.65</v>
      </c>
      <c r="K45" s="100">
        <v>41.84</v>
      </c>
      <c r="L45" s="100">
        <v>11.73</v>
      </c>
      <c r="M45" s="100">
        <v>1.17</v>
      </c>
      <c r="N45" s="100">
        <v>428.8</v>
      </c>
      <c r="O45" s="100">
        <v>0</v>
      </c>
      <c r="P45" s="100">
        <v>0.66</v>
      </c>
      <c r="Q45" s="100">
        <v>9.32</v>
      </c>
      <c r="R45" s="6"/>
      <c r="S45" s="6"/>
      <c r="T45" s="156"/>
      <c r="U45" s="6"/>
    </row>
    <row r="46" spans="1:21" customFormat="1">
      <c r="A46" s="201" t="s">
        <v>569</v>
      </c>
      <c r="B46" s="100">
        <v>11.92</v>
      </c>
      <c r="C46" s="100">
        <v>9.11</v>
      </c>
      <c r="D46" s="100">
        <v>14.32</v>
      </c>
      <c r="E46" s="100">
        <v>8.5</v>
      </c>
      <c r="F46" s="100">
        <v>2</v>
      </c>
      <c r="G46" s="100">
        <v>91.71</v>
      </c>
      <c r="H46" s="100">
        <v>29.26</v>
      </c>
      <c r="I46" s="100">
        <v>8.44</v>
      </c>
      <c r="J46" s="100">
        <v>0.78</v>
      </c>
      <c r="K46" s="100">
        <v>43.11</v>
      </c>
      <c r="L46" s="100">
        <v>12.67</v>
      </c>
      <c r="M46" s="100">
        <v>2.65</v>
      </c>
      <c r="N46" s="100">
        <v>470.5</v>
      </c>
      <c r="O46" s="100">
        <v>0</v>
      </c>
      <c r="P46" s="100">
        <v>0.65</v>
      </c>
      <c r="Q46" s="100">
        <v>9.32</v>
      </c>
      <c r="R46" s="6"/>
      <c r="S46" s="6"/>
      <c r="T46" s="156"/>
      <c r="U46" s="6"/>
    </row>
    <row r="47" spans="1:21" customFormat="1">
      <c r="A47" s="201" t="s">
        <v>570</v>
      </c>
      <c r="B47" s="100">
        <v>11.38</v>
      </c>
      <c r="C47" s="100">
        <v>10.99</v>
      </c>
      <c r="D47" s="100">
        <v>14.87</v>
      </c>
      <c r="E47" s="100">
        <v>8.4600000000000009</v>
      </c>
      <c r="F47" s="100">
        <v>2</v>
      </c>
      <c r="G47" s="100">
        <v>91.7</v>
      </c>
      <c r="H47" s="100">
        <v>33.4</v>
      </c>
      <c r="I47" s="100">
        <v>8.4499999999999993</v>
      </c>
      <c r="J47" s="100">
        <v>0.54</v>
      </c>
      <c r="K47" s="100">
        <v>45.2</v>
      </c>
      <c r="L47" s="100">
        <v>11.68</v>
      </c>
      <c r="M47" s="100">
        <v>3.93</v>
      </c>
      <c r="N47" s="100">
        <v>311.39999999999998</v>
      </c>
      <c r="O47" s="100">
        <v>0</v>
      </c>
      <c r="P47" s="100">
        <v>0.64</v>
      </c>
      <c r="Q47" s="100">
        <v>9.32</v>
      </c>
      <c r="R47" s="6"/>
      <c r="S47" s="6"/>
      <c r="T47" s="156"/>
      <c r="U47" s="6"/>
    </row>
    <row r="48" spans="1:21" customFormat="1">
      <c r="A48" s="201" t="s">
        <v>571</v>
      </c>
      <c r="B48" s="100">
        <v>10.79</v>
      </c>
      <c r="C48" s="100">
        <v>10.06</v>
      </c>
      <c r="D48" s="100">
        <v>13.91</v>
      </c>
      <c r="E48" s="100">
        <v>9.07</v>
      </c>
      <c r="F48" s="100">
        <v>2</v>
      </c>
      <c r="G48" s="100">
        <v>91.69</v>
      </c>
      <c r="H48" s="100">
        <v>33.47</v>
      </c>
      <c r="I48" s="100">
        <v>8.36</v>
      </c>
      <c r="J48" s="100">
        <v>0.44</v>
      </c>
      <c r="K48" s="100">
        <v>57.88</v>
      </c>
      <c r="L48" s="100">
        <v>14.64</v>
      </c>
      <c r="M48" s="100">
        <v>8.99</v>
      </c>
      <c r="N48" s="100">
        <v>406.5</v>
      </c>
      <c r="O48" s="100">
        <v>0</v>
      </c>
      <c r="P48" s="100">
        <v>0.63</v>
      </c>
      <c r="Q48" s="100">
        <v>9.32</v>
      </c>
      <c r="R48" s="6"/>
      <c r="S48" s="6"/>
      <c r="T48" s="156"/>
      <c r="U48" s="6"/>
    </row>
    <row r="49" spans="1:21" customFormat="1">
      <c r="A49" s="201" t="s">
        <v>572</v>
      </c>
      <c r="B49" s="100">
        <v>10.09</v>
      </c>
      <c r="C49" s="100">
        <v>10.050000000000001</v>
      </c>
      <c r="D49" s="100">
        <v>13.35</v>
      </c>
      <c r="E49" s="100">
        <v>6.89</v>
      </c>
      <c r="F49" s="100">
        <v>2</v>
      </c>
      <c r="G49" s="100">
        <v>91.69</v>
      </c>
      <c r="H49" s="100">
        <v>33.47</v>
      </c>
      <c r="I49" s="100">
        <v>8.2799999999999994</v>
      </c>
      <c r="J49" s="100">
        <v>0.62</v>
      </c>
      <c r="K49" s="100">
        <v>38.049999999999997</v>
      </c>
      <c r="L49" s="100">
        <v>15.3</v>
      </c>
      <c r="M49" s="100">
        <v>6.91</v>
      </c>
      <c r="N49" s="100">
        <v>564.6</v>
      </c>
      <c r="O49" s="100">
        <v>0</v>
      </c>
      <c r="P49" s="100">
        <v>0.63</v>
      </c>
      <c r="Q49" s="100">
        <v>9.32</v>
      </c>
      <c r="R49" s="6"/>
      <c r="S49" s="6"/>
      <c r="T49" s="156"/>
      <c r="U49" s="6"/>
    </row>
    <row r="50" spans="1:21" customFormat="1">
      <c r="A50" s="201" t="s">
        <v>573</v>
      </c>
      <c r="B50" s="100">
        <v>9.5</v>
      </c>
      <c r="C50" s="100">
        <v>9.8699999999999992</v>
      </c>
      <c r="D50" s="100">
        <v>12.78</v>
      </c>
      <c r="E50" s="100">
        <v>9</v>
      </c>
      <c r="F50" s="100">
        <v>2.1</v>
      </c>
      <c r="G50" s="100">
        <v>91.69</v>
      </c>
      <c r="H50" s="100">
        <v>33.47</v>
      </c>
      <c r="I50" s="100">
        <v>8.1999999999999993</v>
      </c>
      <c r="J50" s="100">
        <v>0.56000000000000005</v>
      </c>
      <c r="K50" s="100">
        <v>40.450000000000003</v>
      </c>
      <c r="L50" s="100">
        <v>15.62</v>
      </c>
      <c r="M50" s="100">
        <v>7.3</v>
      </c>
      <c r="N50" s="100">
        <v>586.5</v>
      </c>
      <c r="O50" s="100">
        <v>0</v>
      </c>
      <c r="P50" s="100">
        <v>0.64</v>
      </c>
      <c r="Q50" s="100">
        <v>9.32</v>
      </c>
      <c r="R50" s="6"/>
      <c r="S50" s="6"/>
      <c r="T50" s="156"/>
      <c r="U50" s="6"/>
    </row>
    <row r="51" spans="1:21" customFormat="1">
      <c r="A51" s="201" t="s">
        <v>574</v>
      </c>
      <c r="B51" s="100">
        <v>9.14</v>
      </c>
      <c r="C51" s="100">
        <v>10.039999999999999</v>
      </c>
      <c r="D51" s="100">
        <v>12.58</v>
      </c>
      <c r="E51" s="100">
        <v>9.48</v>
      </c>
      <c r="F51" s="100">
        <v>2.34</v>
      </c>
      <c r="G51" s="100">
        <v>89.92</v>
      </c>
      <c r="H51" s="100">
        <v>28.4</v>
      </c>
      <c r="I51" s="100">
        <v>8.07</v>
      </c>
      <c r="J51" s="100">
        <v>0.64</v>
      </c>
      <c r="K51" s="100">
        <v>41.5</v>
      </c>
      <c r="L51" s="100">
        <v>14.52</v>
      </c>
      <c r="M51" s="100">
        <v>3.97</v>
      </c>
      <c r="N51" s="100">
        <v>612.1</v>
      </c>
      <c r="O51" s="100">
        <v>0</v>
      </c>
      <c r="P51" s="100">
        <v>0.67</v>
      </c>
      <c r="Q51" s="100">
        <v>9.32</v>
      </c>
      <c r="R51" s="6"/>
      <c r="S51" s="6"/>
      <c r="T51" s="156"/>
      <c r="U51" s="6"/>
    </row>
    <row r="52" spans="1:21" customFormat="1">
      <c r="A52" s="201" t="s">
        <v>575</v>
      </c>
      <c r="B52" s="100">
        <v>8.57</v>
      </c>
      <c r="C52" s="100">
        <v>9.49</v>
      </c>
      <c r="D52" s="100">
        <v>11.83</v>
      </c>
      <c r="E52" s="100">
        <v>8.61</v>
      </c>
      <c r="F52" s="100">
        <v>2</v>
      </c>
      <c r="G52" s="100">
        <v>89.23</v>
      </c>
      <c r="H52" s="100">
        <v>28.32</v>
      </c>
      <c r="I52" s="100">
        <v>7.94</v>
      </c>
      <c r="J52" s="100">
        <v>0.61</v>
      </c>
      <c r="K52" s="100">
        <v>46.95</v>
      </c>
      <c r="L52" s="100">
        <v>15.66</v>
      </c>
      <c r="M52" s="100">
        <v>7.68</v>
      </c>
      <c r="N52" s="100">
        <v>576.5</v>
      </c>
      <c r="O52" s="100">
        <v>0</v>
      </c>
      <c r="P52" s="100">
        <v>0.67</v>
      </c>
      <c r="Q52" s="100">
        <v>9.32</v>
      </c>
      <c r="R52" s="6"/>
      <c r="S52" s="6"/>
      <c r="T52" s="156"/>
      <c r="U52" s="6"/>
    </row>
    <row r="53" spans="1:21" customFormat="1">
      <c r="A53" s="201" t="s">
        <v>576</v>
      </c>
      <c r="B53" s="100">
        <v>7.92</v>
      </c>
      <c r="C53" s="100">
        <v>9.56</v>
      </c>
      <c r="D53" s="100">
        <v>11.35</v>
      </c>
      <c r="E53" s="100">
        <v>8.7799999999999994</v>
      </c>
      <c r="F53" s="100">
        <v>2.16</v>
      </c>
      <c r="G53" s="100">
        <v>89.23</v>
      </c>
      <c r="H53" s="100">
        <v>28.32</v>
      </c>
      <c r="I53" s="100">
        <v>7.84</v>
      </c>
      <c r="J53" s="100">
        <v>0.6</v>
      </c>
      <c r="K53" s="100">
        <v>28.68</v>
      </c>
      <c r="L53" s="100">
        <v>17.170000000000002</v>
      </c>
      <c r="M53" s="100">
        <v>9.76</v>
      </c>
      <c r="N53" s="100">
        <v>643.5</v>
      </c>
      <c r="O53" s="100">
        <v>0</v>
      </c>
      <c r="P53" s="100">
        <v>0.66</v>
      </c>
      <c r="Q53" s="100">
        <v>9.32</v>
      </c>
      <c r="R53" s="6"/>
      <c r="S53" s="6"/>
      <c r="T53" s="156"/>
      <c r="U53" s="6"/>
    </row>
    <row r="54" spans="1:21" customFormat="1">
      <c r="A54" s="201" t="s">
        <v>577</v>
      </c>
      <c r="B54" s="100">
        <v>7.43</v>
      </c>
      <c r="C54" s="100">
        <v>9.4600000000000009</v>
      </c>
      <c r="D54" s="100">
        <v>10.9</v>
      </c>
      <c r="E54" s="100">
        <v>8.7200000000000006</v>
      </c>
      <c r="F54" s="100">
        <v>2</v>
      </c>
      <c r="G54" s="100">
        <v>89.23</v>
      </c>
      <c r="H54" s="100">
        <v>28.32</v>
      </c>
      <c r="I54" s="100">
        <v>7.73</v>
      </c>
      <c r="J54" s="100">
        <v>0.5</v>
      </c>
      <c r="K54" s="100">
        <v>56.33</v>
      </c>
      <c r="L54" s="100">
        <v>15.88</v>
      </c>
      <c r="M54" s="100">
        <v>6.29</v>
      </c>
      <c r="N54" s="100">
        <v>662.6</v>
      </c>
      <c r="O54" s="100">
        <v>0</v>
      </c>
      <c r="P54" s="100">
        <v>0.66</v>
      </c>
      <c r="Q54" s="100">
        <v>9.32</v>
      </c>
      <c r="R54" s="6"/>
      <c r="S54" s="6"/>
      <c r="T54" s="156"/>
      <c r="U54" s="6"/>
    </row>
    <row r="55" spans="1:21" customFormat="1">
      <c r="A55" s="201" t="s">
        <v>578</v>
      </c>
      <c r="B55" s="100">
        <v>6.88</v>
      </c>
      <c r="C55" s="100">
        <v>9.15</v>
      </c>
      <c r="D55" s="100">
        <v>10.3</v>
      </c>
      <c r="E55" s="100">
        <v>5.51</v>
      </c>
      <c r="F55" s="100">
        <v>2</v>
      </c>
      <c r="G55" s="100">
        <v>76.62</v>
      </c>
      <c r="H55" s="100">
        <v>26.04</v>
      </c>
      <c r="I55" s="100">
        <v>7.6</v>
      </c>
      <c r="J55" s="100">
        <v>0.53</v>
      </c>
      <c r="K55" s="100">
        <v>49.05</v>
      </c>
      <c r="L55" s="100">
        <v>16.920000000000002</v>
      </c>
      <c r="M55" s="100">
        <v>8.56</v>
      </c>
      <c r="N55" s="100">
        <v>675</v>
      </c>
      <c r="O55" s="100">
        <v>0</v>
      </c>
      <c r="P55" s="100">
        <v>0.65</v>
      </c>
      <c r="Q55" s="100">
        <v>9.32</v>
      </c>
      <c r="R55" s="6"/>
      <c r="S55" s="6"/>
      <c r="T55" s="156"/>
      <c r="U55" s="6"/>
    </row>
    <row r="56" spans="1:21" customFormat="1">
      <c r="A56" s="201" t="s">
        <v>579</v>
      </c>
      <c r="B56" s="100">
        <v>6.41</v>
      </c>
      <c r="C56" s="100">
        <v>9.0299999999999994</v>
      </c>
      <c r="D56" s="100">
        <v>9.86</v>
      </c>
      <c r="E56" s="100">
        <v>7.81</v>
      </c>
      <c r="F56" s="100">
        <v>2.04</v>
      </c>
      <c r="G56" s="100">
        <v>72.040000000000006</v>
      </c>
      <c r="H56" s="100">
        <v>25.97</v>
      </c>
      <c r="I56" s="100">
        <v>7.51</v>
      </c>
      <c r="J56" s="100">
        <v>0.49</v>
      </c>
      <c r="K56" s="100">
        <v>43</v>
      </c>
      <c r="L56" s="100">
        <v>17.86</v>
      </c>
      <c r="M56" s="100">
        <v>11.08</v>
      </c>
      <c r="N56" s="100">
        <v>668.3</v>
      </c>
      <c r="O56" s="100">
        <v>0</v>
      </c>
      <c r="P56" s="100">
        <v>0.65</v>
      </c>
      <c r="Q56" s="100">
        <v>9.32</v>
      </c>
      <c r="R56" s="6"/>
      <c r="S56" s="6"/>
      <c r="T56" s="156"/>
      <c r="U56" s="6"/>
    </row>
    <row r="57" spans="1:21" customFormat="1">
      <c r="A57" s="201" t="s">
        <v>580</v>
      </c>
      <c r="B57" s="100">
        <v>5.96</v>
      </c>
      <c r="C57" s="100">
        <v>9.01</v>
      </c>
      <c r="D57" s="100">
        <v>9.49</v>
      </c>
      <c r="E57" s="100">
        <v>8.6300000000000008</v>
      </c>
      <c r="F57" s="100">
        <v>2</v>
      </c>
      <c r="G57" s="100">
        <v>72.040000000000006</v>
      </c>
      <c r="H57" s="100">
        <v>25.97</v>
      </c>
      <c r="I57" s="100">
        <v>7.46</v>
      </c>
      <c r="J57" s="100">
        <v>0.34</v>
      </c>
      <c r="K57" s="100">
        <v>46.8</v>
      </c>
      <c r="L57" s="100">
        <v>18.68</v>
      </c>
      <c r="M57" s="100">
        <v>14.34</v>
      </c>
      <c r="N57" s="100">
        <v>591.70000000000005</v>
      </c>
      <c r="O57" s="100">
        <v>0</v>
      </c>
      <c r="P57" s="100">
        <v>0.63</v>
      </c>
      <c r="Q57" s="100">
        <v>9.32</v>
      </c>
      <c r="R57" s="6"/>
      <c r="S57" s="6"/>
      <c r="T57" s="156"/>
      <c r="U57" s="6"/>
    </row>
    <row r="58" spans="1:21" customFormat="1">
      <c r="A58" s="201" t="s">
        <v>581</v>
      </c>
      <c r="B58" s="100">
        <v>5.47</v>
      </c>
      <c r="C58" s="100">
        <v>8.98</v>
      </c>
      <c r="D58" s="100">
        <v>9.08</v>
      </c>
      <c r="E58" s="100">
        <v>8.1999999999999993</v>
      </c>
      <c r="F58" s="100">
        <v>2</v>
      </c>
      <c r="G58" s="100">
        <v>72.040000000000006</v>
      </c>
      <c r="H58" s="100">
        <v>25.97</v>
      </c>
      <c r="I58" s="100">
        <v>7.3</v>
      </c>
      <c r="J58" s="100">
        <v>0.34</v>
      </c>
      <c r="K58" s="100">
        <v>59.58</v>
      </c>
      <c r="L58" s="100">
        <v>17.32</v>
      </c>
      <c r="M58" s="100">
        <v>10.199999999999999</v>
      </c>
      <c r="N58" s="100">
        <v>651.70000000000005</v>
      </c>
      <c r="O58" s="100">
        <v>0</v>
      </c>
      <c r="P58" s="100">
        <v>0.63</v>
      </c>
      <c r="Q58" s="100">
        <v>9.32</v>
      </c>
      <c r="R58" s="6"/>
      <c r="S58" s="6"/>
      <c r="T58" s="156"/>
      <c r="U58" s="6"/>
    </row>
    <row r="59" spans="1:21" customFormat="1">
      <c r="A59" s="201" t="s">
        <v>582</v>
      </c>
      <c r="B59" s="100">
        <v>5.1100000000000003</v>
      </c>
      <c r="C59" s="100">
        <v>8.89</v>
      </c>
      <c r="D59" s="100">
        <v>8.74</v>
      </c>
      <c r="E59" s="100">
        <v>7.84</v>
      </c>
      <c r="F59" s="100">
        <v>2</v>
      </c>
      <c r="G59" s="100">
        <v>65.069999999999993</v>
      </c>
      <c r="H59" s="100">
        <v>24.32</v>
      </c>
      <c r="I59" s="100">
        <v>7.17</v>
      </c>
      <c r="J59" s="100">
        <v>0.41</v>
      </c>
      <c r="K59" s="100">
        <v>54.03</v>
      </c>
      <c r="L59" s="100">
        <v>17.079999999999998</v>
      </c>
      <c r="M59" s="100">
        <v>10.84</v>
      </c>
      <c r="N59" s="100">
        <v>598.5</v>
      </c>
      <c r="O59" s="100">
        <v>0</v>
      </c>
      <c r="P59" s="100">
        <v>0.63</v>
      </c>
      <c r="Q59" s="100">
        <v>9.32</v>
      </c>
      <c r="R59" s="6"/>
      <c r="S59" s="6"/>
      <c r="T59" s="156"/>
      <c r="U59" s="6"/>
    </row>
    <row r="60" spans="1:21" customFormat="1">
      <c r="A60" s="201" t="s">
        <v>583</v>
      </c>
      <c r="B60" s="100">
        <v>4.91</v>
      </c>
      <c r="C60" s="100">
        <v>9.06</v>
      </c>
      <c r="D60" s="100">
        <v>8.67</v>
      </c>
      <c r="E60" s="100">
        <v>7.48</v>
      </c>
      <c r="F60" s="100">
        <v>2</v>
      </c>
      <c r="G60" s="100">
        <v>62.54</v>
      </c>
      <c r="H60" s="100">
        <v>24.3</v>
      </c>
      <c r="I60" s="100">
        <v>7.08</v>
      </c>
      <c r="J60" s="100">
        <v>0.32</v>
      </c>
      <c r="K60" s="100">
        <v>351.81</v>
      </c>
      <c r="L60" s="100">
        <v>21.48</v>
      </c>
      <c r="M60" s="100">
        <v>26.73</v>
      </c>
      <c r="N60" s="100">
        <v>391.5</v>
      </c>
      <c r="O60" s="100">
        <v>0</v>
      </c>
      <c r="P60" s="100">
        <v>0.62</v>
      </c>
      <c r="Q60" s="100">
        <v>9.32</v>
      </c>
      <c r="R60" s="6"/>
      <c r="S60" s="6"/>
      <c r="T60" s="156"/>
      <c r="U60" s="6"/>
    </row>
    <row r="61" spans="1:21" customFormat="1">
      <c r="A61" s="201" t="s">
        <v>584</v>
      </c>
      <c r="B61" s="100">
        <v>4.87</v>
      </c>
      <c r="C61" s="100">
        <v>9.14</v>
      </c>
      <c r="D61" s="100">
        <v>8.68</v>
      </c>
      <c r="E61" s="100">
        <v>7.18</v>
      </c>
      <c r="F61" s="100">
        <v>2</v>
      </c>
      <c r="G61" s="100">
        <v>62.54</v>
      </c>
      <c r="H61" s="100">
        <v>24.3</v>
      </c>
      <c r="I61" s="100">
        <v>6.98</v>
      </c>
      <c r="J61" s="100">
        <v>0.37</v>
      </c>
      <c r="K61" s="100">
        <v>31.31</v>
      </c>
      <c r="L61" s="100">
        <v>16.940000000000001</v>
      </c>
      <c r="M61" s="100">
        <v>14.78</v>
      </c>
      <c r="N61" s="100">
        <v>410.4</v>
      </c>
      <c r="O61" s="100">
        <v>0</v>
      </c>
      <c r="P61" s="100">
        <v>0.62</v>
      </c>
      <c r="Q61" s="100">
        <v>9.32</v>
      </c>
      <c r="R61" s="6"/>
      <c r="S61" s="6"/>
      <c r="T61" s="156"/>
      <c r="U61" s="6"/>
    </row>
    <row r="62" spans="1:21" customFormat="1">
      <c r="A62" s="201" t="s">
        <v>585</v>
      </c>
      <c r="B62" s="100">
        <v>4.8499999999999996</v>
      </c>
      <c r="C62" s="100">
        <v>9.18</v>
      </c>
      <c r="D62" s="100">
        <v>8.68</v>
      </c>
      <c r="E62" s="100">
        <v>7.99</v>
      </c>
      <c r="F62" s="100">
        <v>2.14</v>
      </c>
      <c r="G62" s="100">
        <v>62.54</v>
      </c>
      <c r="H62" s="100">
        <v>24.3</v>
      </c>
      <c r="I62" s="100">
        <v>6.89</v>
      </c>
      <c r="J62" s="100">
        <v>0.45</v>
      </c>
      <c r="K62" s="100">
        <v>331.13</v>
      </c>
      <c r="L62" s="100">
        <v>24.53</v>
      </c>
      <c r="M62" s="100">
        <v>35.6</v>
      </c>
      <c r="N62" s="100">
        <v>302.7</v>
      </c>
      <c r="O62" s="100">
        <v>0</v>
      </c>
      <c r="P62" s="100">
        <v>0.61</v>
      </c>
      <c r="Q62" s="100">
        <v>9.32</v>
      </c>
      <c r="R62" s="6"/>
      <c r="S62" s="6"/>
      <c r="T62" s="156"/>
      <c r="U62" s="6"/>
    </row>
    <row r="63" spans="1:21" customFormat="1">
      <c r="A63" s="201" t="s">
        <v>586</v>
      </c>
      <c r="B63" s="100">
        <v>4.72</v>
      </c>
      <c r="C63" s="100">
        <v>9.35</v>
      </c>
      <c r="D63" s="100">
        <v>8.67</v>
      </c>
      <c r="E63" s="100">
        <v>9.07</v>
      </c>
      <c r="F63" s="100">
        <v>2.75</v>
      </c>
      <c r="G63" s="100">
        <v>64.2</v>
      </c>
      <c r="H63" s="100">
        <v>22.75</v>
      </c>
      <c r="I63" s="100">
        <v>6.82</v>
      </c>
      <c r="J63" s="100">
        <v>0.33</v>
      </c>
      <c r="K63" s="100">
        <v>322.63</v>
      </c>
      <c r="L63" s="100">
        <v>22.71</v>
      </c>
      <c r="M63" s="100">
        <v>31.34</v>
      </c>
      <c r="N63" s="100">
        <v>325.5</v>
      </c>
      <c r="O63" s="100">
        <v>0</v>
      </c>
      <c r="P63" s="100">
        <v>0.62</v>
      </c>
      <c r="Q63" s="100">
        <v>9.32</v>
      </c>
      <c r="R63" s="6"/>
      <c r="S63" s="6"/>
      <c r="T63" s="156"/>
      <c r="U63" s="6"/>
    </row>
    <row r="64" spans="1:21" customFormat="1">
      <c r="A64" s="201" t="s">
        <v>587</v>
      </c>
      <c r="B64" s="100">
        <v>4.59</v>
      </c>
      <c r="C64" s="100">
        <v>9.61</v>
      </c>
      <c r="D64" s="100">
        <v>8.7100000000000009</v>
      </c>
      <c r="E64" s="100">
        <v>9.67</v>
      </c>
      <c r="F64" s="100">
        <v>2</v>
      </c>
      <c r="G64" s="100">
        <v>64.8</v>
      </c>
      <c r="H64" s="100">
        <v>22.71</v>
      </c>
      <c r="I64" s="100">
        <v>6.73</v>
      </c>
      <c r="J64" s="100">
        <v>0.32</v>
      </c>
      <c r="K64" s="100">
        <v>8.8800000000000008</v>
      </c>
      <c r="L64" s="100">
        <v>15.33</v>
      </c>
      <c r="M64" s="100">
        <v>16.420000000000002</v>
      </c>
      <c r="N64" s="100">
        <v>165</v>
      </c>
      <c r="O64" s="100">
        <v>0</v>
      </c>
      <c r="P64" s="100">
        <v>0.61</v>
      </c>
      <c r="Q64" s="100">
        <v>9.32</v>
      </c>
      <c r="R64" s="6"/>
      <c r="S64" s="6"/>
      <c r="T64" s="156"/>
      <c r="U64" s="6"/>
    </row>
    <row r="65" spans="1:21" customFormat="1">
      <c r="A65" s="201" t="s">
        <v>588</v>
      </c>
      <c r="B65" s="100">
        <v>4.47</v>
      </c>
      <c r="C65" s="100">
        <v>10.039999999999999</v>
      </c>
      <c r="D65" s="100">
        <v>8.83</v>
      </c>
      <c r="E65" s="100">
        <v>9.27</v>
      </c>
      <c r="F65" s="100">
        <v>3.37</v>
      </c>
      <c r="G65" s="100">
        <v>64.8</v>
      </c>
      <c r="H65" s="100">
        <v>22.71</v>
      </c>
      <c r="I65" s="100">
        <v>6.66</v>
      </c>
      <c r="J65" s="100">
        <v>0.54</v>
      </c>
      <c r="K65" s="100">
        <v>28.65</v>
      </c>
      <c r="L65" s="100">
        <v>15.3</v>
      </c>
      <c r="M65" s="100">
        <v>16.690000000000001</v>
      </c>
      <c r="N65" s="100">
        <v>151.1</v>
      </c>
      <c r="O65" s="100">
        <v>0</v>
      </c>
      <c r="P65" s="100">
        <v>0.5</v>
      </c>
      <c r="Q65" s="100">
        <v>9.32</v>
      </c>
      <c r="R65" s="6"/>
      <c r="S65" s="6"/>
      <c r="T65" s="156"/>
      <c r="U65" s="6"/>
    </row>
    <row r="66" spans="1:21" customFormat="1">
      <c r="A66" s="201" t="s">
        <v>589</v>
      </c>
      <c r="B66" s="100">
        <v>4.13</v>
      </c>
      <c r="C66" s="100">
        <v>9.56</v>
      </c>
      <c r="D66" s="100">
        <v>8.31</v>
      </c>
      <c r="E66" s="100">
        <v>9.4700000000000006</v>
      </c>
      <c r="F66" s="100">
        <v>2.5099999999999998</v>
      </c>
      <c r="G66" s="100">
        <v>64.8</v>
      </c>
      <c r="H66" s="100">
        <v>22.71</v>
      </c>
      <c r="I66" s="100">
        <v>6.65</v>
      </c>
      <c r="J66" s="100">
        <v>7.0000000000000007E-2</v>
      </c>
      <c r="K66" s="100">
        <v>9.89</v>
      </c>
      <c r="L66" s="100">
        <v>16.82</v>
      </c>
      <c r="M66" s="100">
        <v>22.54</v>
      </c>
      <c r="N66" s="100">
        <v>69.8</v>
      </c>
      <c r="O66" s="100">
        <v>0</v>
      </c>
      <c r="P66" s="100">
        <v>0.52</v>
      </c>
      <c r="Q66" s="100">
        <v>9.32</v>
      </c>
      <c r="R66" s="6"/>
      <c r="S66" s="6"/>
      <c r="T66" s="156"/>
      <c r="U66" s="6"/>
    </row>
    <row r="67" spans="1:21" customFormat="1">
      <c r="A67" s="201" t="s">
        <v>590</v>
      </c>
      <c r="B67" s="100">
        <v>3.98</v>
      </c>
      <c r="C67" s="100">
        <v>10.28</v>
      </c>
      <c r="D67" s="100">
        <v>8.57</v>
      </c>
      <c r="E67" s="100">
        <v>12.91</v>
      </c>
      <c r="F67" s="100">
        <v>6.69</v>
      </c>
      <c r="G67" s="100">
        <v>61.18</v>
      </c>
      <c r="H67" s="100">
        <v>21.07</v>
      </c>
      <c r="I67" s="100">
        <v>6.6</v>
      </c>
      <c r="J67" s="100">
        <v>0.63</v>
      </c>
      <c r="K67" s="100">
        <v>31.59</v>
      </c>
      <c r="L67" s="100">
        <v>11.59</v>
      </c>
      <c r="M67" s="100">
        <v>9.6</v>
      </c>
      <c r="N67" s="100">
        <v>55.4</v>
      </c>
      <c r="O67" s="100">
        <v>0</v>
      </c>
      <c r="P67" s="100">
        <v>0.52</v>
      </c>
      <c r="Q67" s="100">
        <v>9.32</v>
      </c>
      <c r="R67" s="6"/>
      <c r="S67" s="6"/>
      <c r="T67" s="156"/>
      <c r="U67" s="6"/>
    </row>
    <row r="68" spans="1:21" customFormat="1">
      <c r="A68" s="201" t="s">
        <v>591</v>
      </c>
      <c r="B68" s="100">
        <v>4.03</v>
      </c>
      <c r="C68" s="100">
        <v>10.16</v>
      </c>
      <c r="D68" s="100">
        <v>8.5399999999999991</v>
      </c>
      <c r="E68" s="100">
        <v>12.96</v>
      </c>
      <c r="F68" s="100">
        <v>2.44</v>
      </c>
      <c r="G68" s="100">
        <v>59.86</v>
      </c>
      <c r="H68" s="100">
        <v>21.02</v>
      </c>
      <c r="I68" s="100">
        <v>6.45</v>
      </c>
      <c r="J68" s="100">
        <v>0.5</v>
      </c>
      <c r="K68" s="100">
        <v>26.78</v>
      </c>
      <c r="L68" s="100">
        <v>13.47</v>
      </c>
      <c r="M68" s="100">
        <v>14.39</v>
      </c>
      <c r="N68" s="100">
        <v>52</v>
      </c>
      <c r="O68" s="100">
        <v>0</v>
      </c>
      <c r="P68" s="100">
        <v>0.53</v>
      </c>
      <c r="Q68" s="100">
        <v>9.32</v>
      </c>
      <c r="R68" s="6"/>
      <c r="S68" s="6"/>
      <c r="T68" s="156"/>
      <c r="U68" s="6"/>
    </row>
    <row r="69" spans="1:21" customFormat="1">
      <c r="A69" s="201" t="s">
        <v>592</v>
      </c>
      <c r="B69" s="100">
        <v>4.01</v>
      </c>
      <c r="C69" s="100">
        <v>10.62</v>
      </c>
      <c r="D69" s="100">
        <v>8.77</v>
      </c>
      <c r="E69" s="100">
        <v>13.67</v>
      </c>
      <c r="F69" s="100">
        <v>5.48</v>
      </c>
      <c r="G69" s="100">
        <v>59.86</v>
      </c>
      <c r="H69" s="100">
        <v>21.02</v>
      </c>
      <c r="I69" s="100">
        <v>6.35</v>
      </c>
      <c r="J69" s="100">
        <v>0.37</v>
      </c>
      <c r="K69" s="100">
        <v>14.04</v>
      </c>
      <c r="L69" s="100">
        <v>15.33</v>
      </c>
      <c r="M69" s="100">
        <v>19.18</v>
      </c>
      <c r="N69" s="100">
        <v>46.7</v>
      </c>
      <c r="O69" s="100">
        <v>0</v>
      </c>
      <c r="P69" s="100">
        <v>0.51</v>
      </c>
      <c r="Q69" s="100">
        <v>9.32</v>
      </c>
      <c r="R69" s="6"/>
      <c r="S69" s="6"/>
      <c r="T69" s="156"/>
      <c r="U69" s="6"/>
    </row>
    <row r="70" spans="1:21" customFormat="1">
      <c r="A70" s="201" t="s">
        <v>593</v>
      </c>
      <c r="B70" s="100">
        <v>3.8</v>
      </c>
      <c r="C70" s="100">
        <v>11.34</v>
      </c>
      <c r="D70" s="100">
        <v>8.9700000000000006</v>
      </c>
      <c r="E70" s="100">
        <v>13.13</v>
      </c>
      <c r="F70" s="100">
        <v>7.5</v>
      </c>
      <c r="G70" s="100">
        <v>59.86</v>
      </c>
      <c r="H70" s="100">
        <v>21.02</v>
      </c>
      <c r="I70" s="100">
        <v>6.34</v>
      </c>
      <c r="J70" s="100">
        <v>0.28000000000000003</v>
      </c>
      <c r="K70" s="100">
        <v>8.27</v>
      </c>
      <c r="L70" s="100">
        <v>14.36</v>
      </c>
      <c r="M70" s="100">
        <v>16.95</v>
      </c>
      <c r="N70" s="100">
        <v>40</v>
      </c>
      <c r="O70" s="100">
        <v>0</v>
      </c>
      <c r="P70" s="100">
        <v>0.48</v>
      </c>
      <c r="Q70" s="100">
        <v>9.32</v>
      </c>
      <c r="R70" s="6"/>
      <c r="S70" s="6"/>
      <c r="T70" s="156"/>
      <c r="U70" s="6"/>
    </row>
    <row r="71" spans="1:21" customFormat="1">
      <c r="A71" s="201" t="s">
        <v>594</v>
      </c>
      <c r="B71" s="100">
        <v>3.54</v>
      </c>
      <c r="C71" s="100">
        <v>11.56</v>
      </c>
      <c r="D71" s="100">
        <v>8.8800000000000008</v>
      </c>
      <c r="E71" s="100">
        <v>13.91</v>
      </c>
      <c r="F71" s="100">
        <v>9.2899999999999991</v>
      </c>
      <c r="G71" s="100">
        <v>59.83</v>
      </c>
      <c r="H71" s="100">
        <v>22.66</v>
      </c>
      <c r="I71" s="100">
        <v>6.22</v>
      </c>
      <c r="J71" s="100">
        <v>0.4</v>
      </c>
      <c r="K71" s="100">
        <v>16.25</v>
      </c>
      <c r="L71" s="100">
        <v>12.97</v>
      </c>
      <c r="M71" s="100">
        <v>13.25</v>
      </c>
      <c r="N71" s="100">
        <v>41.7</v>
      </c>
      <c r="O71" s="100">
        <v>0</v>
      </c>
      <c r="P71" s="100">
        <v>0.46</v>
      </c>
      <c r="Q71" s="100">
        <v>9.32</v>
      </c>
      <c r="R71" s="6"/>
      <c r="S71" s="6"/>
      <c r="T71" s="156"/>
      <c r="U71" s="6"/>
    </row>
    <row r="72" spans="1:21" customFormat="1">
      <c r="A72" s="201" t="s">
        <v>595</v>
      </c>
      <c r="B72" s="100">
        <v>4.46</v>
      </c>
      <c r="C72" s="100">
        <v>12.67</v>
      </c>
      <c r="D72" s="100">
        <v>10.19</v>
      </c>
      <c r="E72" s="100">
        <v>12.15</v>
      </c>
      <c r="F72" s="100">
        <v>5.65</v>
      </c>
      <c r="G72" s="100">
        <v>59.82</v>
      </c>
      <c r="H72" s="100">
        <v>22.69</v>
      </c>
      <c r="I72" s="100">
        <v>6.03</v>
      </c>
      <c r="J72" s="100">
        <v>0.18</v>
      </c>
      <c r="K72" s="100">
        <v>346.13</v>
      </c>
      <c r="L72" s="100">
        <v>20.84</v>
      </c>
      <c r="M72" s="100">
        <v>32.869999999999997</v>
      </c>
      <c r="N72" s="100">
        <v>39</v>
      </c>
      <c r="O72" s="100">
        <v>0</v>
      </c>
      <c r="P72" s="100">
        <v>0.46</v>
      </c>
      <c r="Q72" s="100">
        <v>9.32</v>
      </c>
      <c r="R72" s="6"/>
      <c r="S72" s="6"/>
      <c r="T72" s="156"/>
      <c r="U72" s="6"/>
    </row>
    <row r="73" spans="1:21" customFormat="1">
      <c r="A73" s="201" t="s">
        <v>596</v>
      </c>
      <c r="B73" s="100">
        <v>5.21</v>
      </c>
      <c r="C73" s="100">
        <v>14.26</v>
      </c>
      <c r="D73" s="100">
        <v>11.63</v>
      </c>
      <c r="E73" s="100">
        <v>11.12</v>
      </c>
      <c r="F73" s="100">
        <v>3.97</v>
      </c>
      <c r="G73" s="100">
        <v>59.82</v>
      </c>
      <c r="H73" s="100">
        <v>22.69</v>
      </c>
      <c r="I73" s="100">
        <v>5.89</v>
      </c>
      <c r="J73" s="100">
        <v>0.31</v>
      </c>
      <c r="K73" s="100">
        <v>18.47</v>
      </c>
      <c r="L73" s="100">
        <v>15</v>
      </c>
      <c r="M73" s="100">
        <v>18.53</v>
      </c>
      <c r="N73" s="100">
        <v>29.9</v>
      </c>
      <c r="O73" s="100">
        <v>0</v>
      </c>
      <c r="P73" s="100">
        <v>0.46</v>
      </c>
      <c r="Q73" s="100">
        <v>9.32</v>
      </c>
      <c r="R73" s="6"/>
      <c r="S73" s="6"/>
      <c r="T73" s="156"/>
      <c r="U73" s="6"/>
    </row>
    <row r="74" spans="1:21" customFormat="1">
      <c r="A74" s="201" t="s">
        <v>597</v>
      </c>
      <c r="B74" s="100">
        <v>3.96</v>
      </c>
      <c r="C74" s="100">
        <v>12.28</v>
      </c>
      <c r="D74" s="100">
        <v>9.6</v>
      </c>
      <c r="E74" s="100">
        <v>9.8800000000000008</v>
      </c>
      <c r="F74" s="100">
        <v>2</v>
      </c>
      <c r="G74" s="100">
        <v>59.82</v>
      </c>
      <c r="H74" s="100">
        <v>22.69</v>
      </c>
      <c r="I74" s="100">
        <v>5.87</v>
      </c>
      <c r="J74" s="100">
        <v>0.23</v>
      </c>
      <c r="K74" s="100">
        <v>13.89</v>
      </c>
      <c r="L74" s="100">
        <v>13.09</v>
      </c>
      <c r="M74" s="100">
        <v>14.04</v>
      </c>
      <c r="N74" s="100">
        <v>20.9</v>
      </c>
      <c r="O74" s="100">
        <v>0</v>
      </c>
      <c r="P74" s="100">
        <v>0.46</v>
      </c>
      <c r="Q74" s="100">
        <v>9.32</v>
      </c>
      <c r="R74" s="6"/>
      <c r="S74" s="6"/>
      <c r="T74" s="156"/>
      <c r="U74" s="6"/>
    </row>
    <row r="75" spans="1:21" customFormat="1">
      <c r="A75" s="201" t="s">
        <v>598</v>
      </c>
      <c r="B75" s="100">
        <v>3.41</v>
      </c>
      <c r="C75" s="100">
        <v>11.35</v>
      </c>
      <c r="D75" s="100">
        <v>8.67</v>
      </c>
      <c r="E75" s="100">
        <v>8.8000000000000007</v>
      </c>
      <c r="F75" s="100">
        <v>2.12</v>
      </c>
      <c r="G75" s="100">
        <v>65.150000000000006</v>
      </c>
      <c r="H75" s="100">
        <v>23.72</v>
      </c>
      <c r="I75" s="100">
        <v>5.98</v>
      </c>
      <c r="J75" s="100">
        <v>0.19</v>
      </c>
      <c r="K75" s="100">
        <v>4.93</v>
      </c>
      <c r="L75" s="100">
        <v>15.24</v>
      </c>
      <c r="M75" s="100">
        <v>19.48</v>
      </c>
      <c r="N75" s="100">
        <v>15.6</v>
      </c>
      <c r="O75" s="100">
        <v>0</v>
      </c>
      <c r="P75" s="100">
        <v>0.47</v>
      </c>
      <c r="Q75" s="100">
        <v>9.32</v>
      </c>
      <c r="R75" s="6"/>
      <c r="S75" s="6"/>
      <c r="T75" s="156"/>
      <c r="U75" s="6"/>
    </row>
    <row r="76" spans="1:21" customFormat="1">
      <c r="A76" s="201" t="s">
        <v>599</v>
      </c>
      <c r="B76" s="100">
        <v>4.32</v>
      </c>
      <c r="C76" s="100">
        <v>12.71</v>
      </c>
      <c r="D76" s="100">
        <v>10.1</v>
      </c>
      <c r="E76" s="100">
        <v>8.1300000000000008</v>
      </c>
      <c r="F76" s="100">
        <v>2</v>
      </c>
      <c r="G76" s="100">
        <v>67.09</v>
      </c>
      <c r="H76" s="100">
        <v>23.74</v>
      </c>
      <c r="I76" s="100">
        <v>6.08</v>
      </c>
      <c r="J76" s="100">
        <v>0.21</v>
      </c>
      <c r="K76" s="100">
        <v>36.72</v>
      </c>
      <c r="L76" s="100">
        <v>11.76</v>
      </c>
      <c r="M76" s="100">
        <v>10.93</v>
      </c>
      <c r="N76" s="100">
        <v>10.8</v>
      </c>
      <c r="O76" s="100">
        <v>0</v>
      </c>
      <c r="P76" s="100">
        <v>0.48</v>
      </c>
      <c r="Q76" s="100">
        <v>9.32</v>
      </c>
      <c r="R76" s="6"/>
      <c r="S76" s="6"/>
      <c r="T76" s="156"/>
      <c r="U76" s="6"/>
    </row>
    <row r="77" spans="1:21" customFormat="1">
      <c r="A77" s="201" t="s">
        <v>600</v>
      </c>
      <c r="B77" s="100">
        <v>4.8600000000000003</v>
      </c>
      <c r="C77" s="100">
        <v>13.05</v>
      </c>
      <c r="D77" s="100">
        <v>10.72</v>
      </c>
      <c r="E77" s="100">
        <v>7.45</v>
      </c>
      <c r="F77" s="100">
        <v>2</v>
      </c>
      <c r="G77" s="100">
        <v>67.09</v>
      </c>
      <c r="H77" s="100">
        <v>23.74</v>
      </c>
      <c r="I77" s="100">
        <v>6.18</v>
      </c>
      <c r="J77" s="100">
        <v>0.16</v>
      </c>
      <c r="K77" s="100">
        <v>49.02</v>
      </c>
      <c r="L77" s="100">
        <v>8.77</v>
      </c>
      <c r="M77" s="100">
        <v>3.66</v>
      </c>
      <c r="N77" s="100">
        <v>6.5</v>
      </c>
      <c r="O77" s="100">
        <v>0</v>
      </c>
      <c r="P77" s="100">
        <v>0.5</v>
      </c>
      <c r="Q77" s="100">
        <v>9.32</v>
      </c>
      <c r="R77" s="6"/>
      <c r="S77" s="6"/>
      <c r="T77" s="156"/>
      <c r="U77" s="6"/>
    </row>
    <row r="78" spans="1:21" customFormat="1">
      <c r="A78" s="201" t="s">
        <v>601</v>
      </c>
      <c r="B78" s="100">
        <v>5.66</v>
      </c>
      <c r="C78" s="100">
        <v>14.56</v>
      </c>
      <c r="D78" s="100">
        <v>12.14</v>
      </c>
      <c r="E78" s="100">
        <v>7.37</v>
      </c>
      <c r="F78" s="100">
        <v>2</v>
      </c>
      <c r="G78" s="100">
        <v>67.09</v>
      </c>
      <c r="H78" s="100">
        <v>23.74</v>
      </c>
      <c r="I78" s="100">
        <v>6.33</v>
      </c>
      <c r="J78" s="100">
        <v>0.08</v>
      </c>
      <c r="K78" s="100">
        <v>73.7</v>
      </c>
      <c r="L78" s="100">
        <v>11.34</v>
      </c>
      <c r="M78" s="100">
        <v>10.25</v>
      </c>
      <c r="N78" s="100">
        <v>3.6</v>
      </c>
      <c r="O78" s="100">
        <v>0</v>
      </c>
      <c r="P78" s="100">
        <v>0.53</v>
      </c>
      <c r="Q78" s="100">
        <v>9.32</v>
      </c>
      <c r="R78" s="6"/>
      <c r="S78" s="6"/>
      <c r="T78" s="156"/>
      <c r="U78" s="6"/>
    </row>
    <row r="79" spans="1:21" customFormat="1">
      <c r="A79" s="201" t="s">
        <v>602</v>
      </c>
      <c r="B79" s="100">
        <v>5.6</v>
      </c>
      <c r="C79" s="100">
        <v>14.06</v>
      </c>
      <c r="D79" s="100">
        <v>11.84</v>
      </c>
      <c r="E79" s="100">
        <v>6.95</v>
      </c>
      <c r="F79" s="100">
        <v>2</v>
      </c>
      <c r="G79" s="100">
        <v>72.790000000000006</v>
      </c>
      <c r="H79" s="100">
        <v>27.2</v>
      </c>
      <c r="I79" s="100">
        <v>6.6</v>
      </c>
      <c r="J79" s="100">
        <v>0.15</v>
      </c>
      <c r="K79" s="100">
        <v>141.63999999999999</v>
      </c>
      <c r="L79" s="100">
        <v>13.97</v>
      </c>
      <c r="M79" s="100">
        <v>16.98</v>
      </c>
      <c r="N79" s="100">
        <v>2.9</v>
      </c>
      <c r="O79" s="100">
        <v>0</v>
      </c>
      <c r="P79" s="100">
        <v>0.53</v>
      </c>
      <c r="Q79" s="100">
        <v>9.32</v>
      </c>
      <c r="R79" s="6"/>
      <c r="S79" s="6"/>
      <c r="T79" s="156"/>
      <c r="U79" s="6"/>
    </row>
    <row r="80" spans="1:21" customFormat="1">
      <c r="A80" s="201" t="s">
        <v>603</v>
      </c>
      <c r="B80" s="100">
        <v>5.47</v>
      </c>
      <c r="C80" s="100">
        <v>12.42</v>
      </c>
      <c r="D80" s="100">
        <v>10.87</v>
      </c>
      <c r="E80" s="100">
        <v>6.49</v>
      </c>
      <c r="F80" s="100">
        <v>2</v>
      </c>
      <c r="G80" s="100">
        <v>74.86</v>
      </c>
      <c r="H80" s="100">
        <v>27.26</v>
      </c>
      <c r="I80" s="100">
        <v>6.96</v>
      </c>
      <c r="J80" s="100">
        <v>0.17</v>
      </c>
      <c r="K80" s="100">
        <v>135.85</v>
      </c>
      <c r="L80" s="100">
        <v>13.6</v>
      </c>
      <c r="M80" s="100">
        <v>16.02</v>
      </c>
      <c r="N80" s="100">
        <v>2.6</v>
      </c>
      <c r="O80" s="100">
        <v>0</v>
      </c>
      <c r="P80" s="100">
        <v>0.53</v>
      </c>
      <c r="Q80" s="100">
        <v>9.33</v>
      </c>
      <c r="R80" s="6"/>
      <c r="S80" s="6"/>
      <c r="T80" s="156"/>
      <c r="U80" s="6"/>
    </row>
    <row r="81" spans="1:21" customFormat="1">
      <c r="A81" s="201" t="s">
        <v>604</v>
      </c>
      <c r="B81" s="100">
        <v>6.05</v>
      </c>
      <c r="C81" s="100">
        <v>12.32</v>
      </c>
      <c r="D81" s="100">
        <v>11.29</v>
      </c>
      <c r="E81" s="100">
        <v>5.73</v>
      </c>
      <c r="F81" s="100">
        <v>2</v>
      </c>
      <c r="G81" s="100">
        <v>74.86</v>
      </c>
      <c r="H81" s="100">
        <v>27.26</v>
      </c>
      <c r="I81" s="100">
        <v>7.12</v>
      </c>
      <c r="J81" s="100">
        <v>0.18</v>
      </c>
      <c r="K81" s="100">
        <v>142.05000000000001</v>
      </c>
      <c r="L81" s="100">
        <v>14.01</v>
      </c>
      <c r="M81" s="100">
        <v>17.059999999999999</v>
      </c>
      <c r="N81" s="100">
        <v>2.4</v>
      </c>
      <c r="O81" s="100">
        <v>0</v>
      </c>
      <c r="P81" s="100">
        <v>0.54</v>
      </c>
      <c r="Q81" s="100">
        <v>9.3699999999999992</v>
      </c>
      <c r="R81" s="6"/>
      <c r="S81" s="6"/>
      <c r="T81" s="156"/>
      <c r="U81" s="6"/>
    </row>
    <row r="82" spans="1:21" customFormat="1">
      <c r="A82" s="201" t="s">
        <v>605</v>
      </c>
      <c r="B82" s="100">
        <v>5.61</v>
      </c>
      <c r="C82" s="100">
        <v>11.51</v>
      </c>
      <c r="D82" s="100">
        <v>10.52</v>
      </c>
      <c r="E82" s="100">
        <v>6.61</v>
      </c>
      <c r="F82" s="100">
        <v>2</v>
      </c>
      <c r="G82" s="100">
        <v>74.86</v>
      </c>
      <c r="H82" s="100">
        <v>27.26</v>
      </c>
      <c r="I82" s="100">
        <v>7.13</v>
      </c>
      <c r="J82" s="100">
        <v>0.22</v>
      </c>
      <c r="K82" s="100">
        <v>145.69</v>
      </c>
      <c r="L82" s="100">
        <v>14.37</v>
      </c>
      <c r="M82" s="100">
        <v>18.07</v>
      </c>
      <c r="N82" s="100">
        <v>2.4</v>
      </c>
      <c r="O82" s="100">
        <v>0</v>
      </c>
      <c r="P82" s="100">
        <v>0.54</v>
      </c>
      <c r="Q82" s="100">
        <v>9.43</v>
      </c>
      <c r="R82" s="6"/>
      <c r="S82" s="6"/>
      <c r="T82" s="156"/>
      <c r="U82" s="6"/>
    </row>
    <row r="83" spans="1:21" customFormat="1">
      <c r="A83" s="201" t="s">
        <v>606</v>
      </c>
      <c r="B83" s="100">
        <v>5.66</v>
      </c>
      <c r="C83" s="100">
        <v>10.66</v>
      </c>
      <c r="D83" s="100">
        <v>10.11</v>
      </c>
      <c r="E83" s="100">
        <v>6.33</v>
      </c>
      <c r="F83" s="100">
        <v>2</v>
      </c>
      <c r="G83" s="100">
        <v>86.24</v>
      </c>
      <c r="H83" s="100">
        <v>27.46</v>
      </c>
      <c r="I83" s="100">
        <v>7.23</v>
      </c>
      <c r="J83" s="100">
        <v>0.23</v>
      </c>
      <c r="K83" s="100">
        <v>190.25</v>
      </c>
      <c r="L83" s="100">
        <v>17.96</v>
      </c>
      <c r="M83" s="100">
        <v>27</v>
      </c>
      <c r="N83" s="100">
        <v>2.6</v>
      </c>
      <c r="O83" s="100">
        <v>0</v>
      </c>
      <c r="P83" s="100">
        <v>0.55000000000000004</v>
      </c>
      <c r="Q83" s="100">
        <v>9.33</v>
      </c>
      <c r="R83" s="6"/>
      <c r="S83" s="6"/>
      <c r="T83" s="156"/>
      <c r="U83" s="6"/>
    </row>
    <row r="84" spans="1:21" customFormat="1">
      <c r="A84" s="201" t="s">
        <v>607</v>
      </c>
      <c r="B84" s="100">
        <v>5.72</v>
      </c>
      <c r="C84" s="100">
        <v>10.02</v>
      </c>
      <c r="D84" s="100">
        <v>9.82</v>
      </c>
      <c r="E84" s="100">
        <v>6.15</v>
      </c>
      <c r="F84" s="100">
        <v>2</v>
      </c>
      <c r="G84" s="100">
        <v>90.37</v>
      </c>
      <c r="H84" s="100">
        <v>27.46</v>
      </c>
      <c r="I84" s="100">
        <v>7.34</v>
      </c>
      <c r="J84" s="100">
        <v>0.17</v>
      </c>
      <c r="K84" s="100">
        <v>193.7</v>
      </c>
      <c r="L84" s="100">
        <v>18.149999999999999</v>
      </c>
      <c r="M84" s="100">
        <v>27.42</v>
      </c>
      <c r="N84" s="100">
        <v>2.5</v>
      </c>
      <c r="O84" s="100">
        <v>0</v>
      </c>
      <c r="P84" s="100">
        <v>0.56000000000000005</v>
      </c>
      <c r="Q84" s="100">
        <v>9.32</v>
      </c>
      <c r="R84" s="6"/>
      <c r="S84" s="6"/>
      <c r="T84" s="156"/>
      <c r="U84" s="6"/>
    </row>
    <row r="85" spans="1:21" customFormat="1">
      <c r="A85" s="201" t="s">
        <v>608</v>
      </c>
      <c r="B85" s="100">
        <v>5.69</v>
      </c>
      <c r="C85" s="100">
        <v>9.39</v>
      </c>
      <c r="D85" s="100">
        <v>9.4700000000000006</v>
      </c>
      <c r="E85" s="100">
        <v>5.97</v>
      </c>
      <c r="F85" s="100">
        <v>2</v>
      </c>
      <c r="G85" s="100">
        <v>90.37</v>
      </c>
      <c r="H85" s="100">
        <v>27.46</v>
      </c>
      <c r="I85" s="100">
        <v>7.42</v>
      </c>
      <c r="J85" s="100">
        <v>0.12</v>
      </c>
      <c r="K85" s="100">
        <v>191.15</v>
      </c>
      <c r="L85" s="100">
        <v>18.239999999999998</v>
      </c>
      <c r="M85" s="100">
        <v>27.73</v>
      </c>
      <c r="N85" s="100">
        <v>2.2999999999999998</v>
      </c>
      <c r="O85" s="100">
        <v>0</v>
      </c>
      <c r="P85" s="100">
        <v>0.56000000000000005</v>
      </c>
      <c r="Q85" s="100">
        <v>9.32</v>
      </c>
      <c r="R85" s="6"/>
      <c r="S85" s="6"/>
      <c r="T85" s="156"/>
      <c r="U85" s="6"/>
    </row>
    <row r="86" spans="1:21" customFormat="1">
      <c r="A86" s="201" t="s">
        <v>609</v>
      </c>
      <c r="B86" s="100">
        <v>5.64</v>
      </c>
      <c r="C86" s="100">
        <v>9.2100000000000009</v>
      </c>
      <c r="D86" s="100">
        <v>9.33</v>
      </c>
      <c r="E86" s="100">
        <v>6.22</v>
      </c>
      <c r="F86" s="100">
        <v>2</v>
      </c>
      <c r="G86" s="100">
        <v>90.37</v>
      </c>
      <c r="H86" s="100">
        <v>27.46</v>
      </c>
      <c r="I86" s="100">
        <v>7.48</v>
      </c>
      <c r="J86" s="100">
        <v>0.13</v>
      </c>
      <c r="K86" s="100">
        <v>188.69</v>
      </c>
      <c r="L86" s="100">
        <v>18.21</v>
      </c>
      <c r="M86" s="100">
        <v>27.67</v>
      </c>
      <c r="N86" s="100">
        <v>2.1</v>
      </c>
      <c r="O86" s="100">
        <v>0</v>
      </c>
      <c r="P86" s="100">
        <v>0.56999999999999995</v>
      </c>
      <c r="Q86" s="100">
        <v>9.32</v>
      </c>
      <c r="R86" s="6"/>
      <c r="S86" s="6"/>
      <c r="T86" s="156"/>
      <c r="U86" s="6"/>
    </row>
    <row r="87" spans="1:21" customFormat="1">
      <c r="A87" s="201" t="s">
        <v>610</v>
      </c>
      <c r="B87" s="100">
        <v>5.56</v>
      </c>
      <c r="C87" s="100">
        <v>9.15</v>
      </c>
      <c r="D87" s="100">
        <v>9.24</v>
      </c>
      <c r="E87" s="100">
        <v>6.14</v>
      </c>
      <c r="F87" s="100">
        <v>2</v>
      </c>
      <c r="G87" s="100">
        <v>94.39</v>
      </c>
      <c r="H87" s="100">
        <v>28.16</v>
      </c>
      <c r="I87" s="100">
        <v>7.55</v>
      </c>
      <c r="J87" s="100">
        <v>0.15</v>
      </c>
      <c r="K87" s="100">
        <v>191.94</v>
      </c>
      <c r="L87" s="100">
        <v>17.97</v>
      </c>
      <c r="M87" s="100">
        <v>27.03</v>
      </c>
      <c r="N87" s="100">
        <v>2.1</v>
      </c>
      <c r="O87" s="100">
        <v>0</v>
      </c>
      <c r="P87" s="100">
        <v>0.57999999999999996</v>
      </c>
      <c r="Q87" s="100">
        <v>9.32</v>
      </c>
      <c r="R87" s="6"/>
      <c r="S87" s="6"/>
      <c r="T87" s="156"/>
      <c r="U87" s="6"/>
    </row>
    <row r="88" spans="1:21" customFormat="1">
      <c r="A88" s="201" t="s">
        <v>611</v>
      </c>
      <c r="B88" s="100">
        <v>5.6</v>
      </c>
      <c r="C88" s="100">
        <v>8.64</v>
      </c>
      <c r="D88" s="100">
        <v>9.01</v>
      </c>
      <c r="E88" s="100">
        <v>5.99</v>
      </c>
      <c r="F88" s="100">
        <v>2</v>
      </c>
      <c r="G88" s="100">
        <v>95.86</v>
      </c>
      <c r="H88" s="100">
        <v>28.17</v>
      </c>
      <c r="I88" s="100">
        <v>7.7</v>
      </c>
      <c r="J88" s="100">
        <v>0.14000000000000001</v>
      </c>
      <c r="K88" s="100">
        <v>163.5</v>
      </c>
      <c r="L88" s="100">
        <v>16.239999999999998</v>
      </c>
      <c r="M88" s="100">
        <v>22.73</v>
      </c>
      <c r="N88" s="100">
        <v>2.1</v>
      </c>
      <c r="O88" s="100">
        <v>0</v>
      </c>
      <c r="P88" s="100">
        <v>0.56999999999999995</v>
      </c>
      <c r="Q88" s="100">
        <v>9.32</v>
      </c>
      <c r="R88" s="6"/>
      <c r="S88" s="6"/>
      <c r="T88" s="156"/>
      <c r="U88" s="6"/>
    </row>
    <row r="89" spans="1:21" customFormat="1">
      <c r="A89" s="201" t="s">
        <v>612</v>
      </c>
      <c r="B89" s="100">
        <v>5.58</v>
      </c>
      <c r="C89" s="100">
        <v>8.34</v>
      </c>
      <c r="D89" s="100">
        <v>8.83</v>
      </c>
      <c r="E89" s="100">
        <v>6.06</v>
      </c>
      <c r="F89" s="100">
        <v>2</v>
      </c>
      <c r="G89" s="100">
        <v>95.86</v>
      </c>
      <c r="H89" s="100">
        <v>28.17</v>
      </c>
      <c r="I89" s="100">
        <v>7.85</v>
      </c>
      <c r="J89" s="100">
        <v>0.24</v>
      </c>
      <c r="K89" s="100">
        <v>158.87</v>
      </c>
      <c r="L89" s="100">
        <v>15.53</v>
      </c>
      <c r="M89" s="100">
        <v>21.01</v>
      </c>
      <c r="N89" s="100">
        <v>2</v>
      </c>
      <c r="O89" s="100">
        <v>0</v>
      </c>
      <c r="P89" s="100">
        <v>0.59</v>
      </c>
      <c r="Q89" s="100">
        <v>9.32</v>
      </c>
      <c r="R89" s="6"/>
      <c r="S89" s="6"/>
      <c r="T89" s="156"/>
      <c r="U89" s="6"/>
    </row>
    <row r="90" spans="1:21" customFormat="1">
      <c r="A90" s="201" t="s">
        <v>613</v>
      </c>
      <c r="B90" s="100">
        <v>5.73</v>
      </c>
      <c r="C90" s="100">
        <v>7.99</v>
      </c>
      <c r="D90" s="100">
        <v>8.77</v>
      </c>
      <c r="E90" s="100">
        <v>5.95</v>
      </c>
      <c r="F90" s="100">
        <v>2</v>
      </c>
      <c r="G90" s="100">
        <v>95.86</v>
      </c>
      <c r="H90" s="100">
        <v>28.17</v>
      </c>
      <c r="I90" s="100">
        <v>7.98</v>
      </c>
      <c r="J90" s="100">
        <v>0.15</v>
      </c>
      <c r="K90" s="100">
        <v>179.71</v>
      </c>
      <c r="L90" s="100">
        <v>17.489999999999998</v>
      </c>
      <c r="M90" s="100">
        <v>25.96</v>
      </c>
      <c r="N90" s="100">
        <v>2.1</v>
      </c>
      <c r="O90" s="100">
        <v>0</v>
      </c>
      <c r="P90" s="100">
        <v>0.62</v>
      </c>
      <c r="Q90" s="100">
        <v>9.32</v>
      </c>
      <c r="R90" s="6"/>
      <c r="S90" s="6"/>
      <c r="T90" s="156"/>
      <c r="U90" s="6"/>
    </row>
    <row r="91" spans="1:21" customFormat="1">
      <c r="A91" s="201" t="s">
        <v>614</v>
      </c>
      <c r="B91" s="100">
        <v>6</v>
      </c>
      <c r="C91" s="100">
        <v>7.72</v>
      </c>
      <c r="D91" s="100">
        <v>8.84</v>
      </c>
      <c r="E91" s="100">
        <v>6.12</v>
      </c>
      <c r="F91" s="100">
        <v>2</v>
      </c>
      <c r="G91" s="100">
        <v>98.57</v>
      </c>
      <c r="H91" s="100">
        <v>30.55</v>
      </c>
      <c r="I91" s="100">
        <v>8.1</v>
      </c>
      <c r="J91" s="100">
        <v>0.18</v>
      </c>
      <c r="K91" s="100">
        <v>147.71</v>
      </c>
      <c r="L91" s="100">
        <v>14.31</v>
      </c>
      <c r="M91" s="100">
        <v>18.079999999999998</v>
      </c>
      <c r="N91" s="100">
        <v>2</v>
      </c>
      <c r="O91" s="100">
        <v>0</v>
      </c>
      <c r="P91" s="100">
        <v>0.64</v>
      </c>
      <c r="Q91" s="100">
        <v>9.34</v>
      </c>
      <c r="R91" s="6"/>
      <c r="S91" s="6"/>
      <c r="T91" s="156"/>
      <c r="U91" s="6"/>
    </row>
    <row r="92" spans="1:21" customFormat="1">
      <c r="A92" s="201" t="s">
        <v>615</v>
      </c>
      <c r="B92" s="100">
        <v>6.26</v>
      </c>
      <c r="C92" s="100">
        <v>7.45</v>
      </c>
      <c r="D92" s="100">
        <v>8.91</v>
      </c>
      <c r="E92" s="100">
        <v>6.44</v>
      </c>
      <c r="F92" s="100">
        <v>2</v>
      </c>
      <c r="G92" s="100">
        <v>99.56</v>
      </c>
      <c r="H92" s="100">
        <v>30.59</v>
      </c>
      <c r="I92" s="100">
        <v>8.14</v>
      </c>
      <c r="J92" s="100">
        <v>0.23</v>
      </c>
      <c r="K92" s="100">
        <v>155.16</v>
      </c>
      <c r="L92" s="100">
        <v>15.1</v>
      </c>
      <c r="M92" s="100">
        <v>20.010000000000002</v>
      </c>
      <c r="N92" s="100">
        <v>2.1</v>
      </c>
      <c r="O92" s="100">
        <v>0</v>
      </c>
      <c r="P92" s="100">
        <v>0.64</v>
      </c>
      <c r="Q92" s="100">
        <v>9.32</v>
      </c>
      <c r="R92" s="6"/>
      <c r="S92" s="6"/>
      <c r="T92" s="156"/>
      <c r="U92" s="6"/>
    </row>
    <row r="93" spans="1:21" customFormat="1">
      <c r="A93" s="201" t="s">
        <v>616</v>
      </c>
      <c r="B93" s="100">
        <v>6.66</v>
      </c>
      <c r="C93" s="100">
        <v>7.42</v>
      </c>
      <c r="D93" s="100">
        <v>9.2200000000000006</v>
      </c>
      <c r="E93" s="100">
        <v>6.35</v>
      </c>
      <c r="F93" s="100">
        <v>2</v>
      </c>
      <c r="G93" s="100">
        <v>99.56</v>
      </c>
      <c r="H93" s="100">
        <v>30.59</v>
      </c>
      <c r="I93" s="100">
        <v>8.23</v>
      </c>
      <c r="J93" s="100">
        <v>0.2</v>
      </c>
      <c r="K93" s="100">
        <v>157.63999999999999</v>
      </c>
      <c r="L93" s="100">
        <v>15.36</v>
      </c>
      <c r="M93" s="100">
        <v>20.69</v>
      </c>
      <c r="N93" s="100">
        <v>2</v>
      </c>
      <c r="O93" s="100">
        <v>0</v>
      </c>
      <c r="P93" s="100">
        <v>0.65</v>
      </c>
      <c r="Q93" s="100">
        <v>9.32</v>
      </c>
      <c r="R93" s="6"/>
      <c r="S93" s="6"/>
      <c r="T93" s="156"/>
      <c r="U93" s="6"/>
    </row>
    <row r="94" spans="1:21" customFormat="1">
      <c r="A94" s="201" t="s">
        <v>617</v>
      </c>
      <c r="B94" s="100">
        <v>7.35</v>
      </c>
      <c r="C94" s="100">
        <v>7.51</v>
      </c>
      <c r="D94" s="100">
        <v>9.82</v>
      </c>
      <c r="E94" s="100">
        <v>6.34</v>
      </c>
      <c r="F94" s="100">
        <v>2</v>
      </c>
      <c r="G94" s="100">
        <v>99.56</v>
      </c>
      <c r="H94" s="100">
        <v>30.59</v>
      </c>
      <c r="I94" s="100">
        <v>8.36</v>
      </c>
      <c r="J94" s="100">
        <v>0.18</v>
      </c>
      <c r="K94" s="100">
        <v>180.83</v>
      </c>
      <c r="L94" s="100">
        <v>17.27</v>
      </c>
      <c r="M94" s="100">
        <v>25.48</v>
      </c>
      <c r="N94" s="100">
        <v>2.1</v>
      </c>
      <c r="O94" s="100">
        <v>0</v>
      </c>
      <c r="P94" s="100">
        <v>0.66</v>
      </c>
      <c r="Q94" s="100">
        <v>9.32</v>
      </c>
      <c r="R94" s="6"/>
      <c r="S94" s="6"/>
      <c r="T94" s="156"/>
      <c r="U94" s="6"/>
    </row>
    <row r="95" spans="1:21" customFormat="1">
      <c r="A95" s="201" t="s">
        <v>618</v>
      </c>
      <c r="B95" s="100">
        <v>8.02</v>
      </c>
      <c r="C95" s="100">
        <v>7.6</v>
      </c>
      <c r="D95" s="100">
        <v>10.4</v>
      </c>
      <c r="E95" s="100">
        <v>6.05</v>
      </c>
      <c r="F95" s="100">
        <v>2</v>
      </c>
      <c r="G95" s="100">
        <v>105.95</v>
      </c>
      <c r="H95" s="100">
        <v>33.96</v>
      </c>
      <c r="I95" s="100">
        <v>8.52</v>
      </c>
      <c r="J95" s="100">
        <v>0.13</v>
      </c>
      <c r="K95" s="100">
        <v>190.4</v>
      </c>
      <c r="L95" s="100">
        <v>17.579999999999998</v>
      </c>
      <c r="M95" s="100">
        <v>26.27</v>
      </c>
      <c r="N95" s="100">
        <v>2.1</v>
      </c>
      <c r="O95" s="100">
        <v>0</v>
      </c>
      <c r="P95" s="100">
        <v>0.66</v>
      </c>
      <c r="Q95" s="100">
        <v>9.32</v>
      </c>
      <c r="R95" s="6"/>
      <c r="S95" s="6"/>
      <c r="T95" s="156"/>
      <c r="U95" s="6"/>
    </row>
    <row r="96" spans="1:21" customFormat="1">
      <c r="A96" s="201" t="s">
        <v>619</v>
      </c>
      <c r="B96" s="100">
        <v>8.43</v>
      </c>
      <c r="C96" s="100">
        <v>7.58</v>
      </c>
      <c r="D96" s="100">
        <v>10.72</v>
      </c>
      <c r="E96" s="100">
        <v>6.22</v>
      </c>
      <c r="F96" s="100">
        <v>2</v>
      </c>
      <c r="G96" s="100">
        <v>108.27</v>
      </c>
      <c r="H96" s="100">
        <v>34.01</v>
      </c>
      <c r="I96" s="100">
        <v>8.69</v>
      </c>
      <c r="J96" s="100">
        <v>0.13</v>
      </c>
      <c r="K96" s="100">
        <v>181.06</v>
      </c>
      <c r="L96" s="100">
        <v>17.04</v>
      </c>
      <c r="M96" s="100">
        <v>24.93</v>
      </c>
      <c r="N96" s="100">
        <v>2.1</v>
      </c>
      <c r="O96" s="100">
        <v>0</v>
      </c>
      <c r="P96" s="100">
        <v>0.67</v>
      </c>
      <c r="Q96" s="100">
        <v>9.32</v>
      </c>
      <c r="R96" s="6"/>
      <c r="S96" s="6"/>
      <c r="T96" s="156"/>
      <c r="U96" s="6"/>
    </row>
    <row r="97" spans="1:28" customFormat="1">
      <c r="A97" s="201" t="s">
        <v>620</v>
      </c>
      <c r="B97" s="100">
        <v>8.74</v>
      </c>
      <c r="C97" s="100">
        <v>7.56</v>
      </c>
      <c r="D97" s="100">
        <v>10.95</v>
      </c>
      <c r="E97" s="100">
        <v>6.25</v>
      </c>
      <c r="F97" s="100">
        <v>2</v>
      </c>
      <c r="G97" s="100">
        <v>108.27</v>
      </c>
      <c r="H97" s="100">
        <v>34.01</v>
      </c>
      <c r="I97" s="100">
        <v>8.81</v>
      </c>
      <c r="J97" s="100">
        <v>0.15</v>
      </c>
      <c r="K97" s="100">
        <v>193.31</v>
      </c>
      <c r="L97" s="100">
        <v>18.04</v>
      </c>
      <c r="M97" s="100">
        <v>27.45</v>
      </c>
      <c r="N97" s="100">
        <v>2.1</v>
      </c>
      <c r="O97" s="100">
        <v>0</v>
      </c>
      <c r="P97" s="100">
        <v>0.68</v>
      </c>
      <c r="Q97" s="100">
        <v>9.32</v>
      </c>
      <c r="R97" s="6"/>
      <c r="S97" s="6"/>
      <c r="T97" s="156"/>
      <c r="U97" s="6"/>
    </row>
    <row r="98" spans="1:28" customFormat="1">
      <c r="A98" s="201" t="s">
        <v>621</v>
      </c>
      <c r="B98" s="100">
        <v>9.09</v>
      </c>
      <c r="C98" s="100">
        <v>7.48</v>
      </c>
      <c r="D98" s="100">
        <v>11.2</v>
      </c>
      <c r="E98" s="100">
        <v>6.26</v>
      </c>
      <c r="F98" s="100">
        <v>2</v>
      </c>
      <c r="G98" s="100">
        <v>108.27</v>
      </c>
      <c r="H98" s="100">
        <v>34.01</v>
      </c>
      <c r="I98" s="100">
        <v>8.89</v>
      </c>
      <c r="J98" s="100">
        <v>0.14000000000000001</v>
      </c>
      <c r="K98" s="100">
        <v>183.44</v>
      </c>
      <c r="L98" s="100">
        <v>17.489999999999998</v>
      </c>
      <c r="M98" s="100">
        <v>26.06</v>
      </c>
      <c r="N98" s="100">
        <v>2.1</v>
      </c>
      <c r="O98" s="100">
        <v>0</v>
      </c>
      <c r="P98" s="100">
        <v>0.68</v>
      </c>
      <c r="Q98" s="100">
        <v>9.32</v>
      </c>
      <c r="R98" s="6"/>
      <c r="S98" s="6"/>
      <c r="T98" s="156"/>
      <c r="U98" s="6"/>
    </row>
    <row r="99" spans="1:28" customFormat="1">
      <c r="A99" s="201" t="s">
        <v>622</v>
      </c>
      <c r="B99" s="100">
        <v>9.4600000000000009</v>
      </c>
      <c r="C99" s="100">
        <v>7.57</v>
      </c>
      <c r="D99" s="100">
        <v>11.54</v>
      </c>
      <c r="E99" s="100">
        <v>6.31</v>
      </c>
      <c r="F99" s="100">
        <v>2</v>
      </c>
      <c r="G99" s="100">
        <v>100.22</v>
      </c>
      <c r="H99" s="100">
        <v>30.81</v>
      </c>
      <c r="I99" s="100">
        <v>8.9700000000000006</v>
      </c>
      <c r="J99" s="100">
        <v>0.15</v>
      </c>
      <c r="K99" s="100">
        <v>205.45</v>
      </c>
      <c r="L99" s="100">
        <v>18.75</v>
      </c>
      <c r="M99" s="100">
        <v>29.24</v>
      </c>
      <c r="N99" s="100">
        <v>2.1</v>
      </c>
      <c r="O99" s="100">
        <v>0</v>
      </c>
      <c r="P99" s="100">
        <v>0.68</v>
      </c>
      <c r="Q99" s="100">
        <v>11.33</v>
      </c>
      <c r="R99" s="6"/>
      <c r="S99" s="6"/>
      <c r="T99" s="156"/>
      <c r="U99" s="6"/>
    </row>
    <row r="100" spans="1:28" customFormat="1">
      <c r="A100" s="201" t="s">
        <v>623</v>
      </c>
      <c r="B100" s="100">
        <v>9.86</v>
      </c>
      <c r="C100" s="100">
        <v>7.53</v>
      </c>
      <c r="D100" s="100">
        <v>11.84</v>
      </c>
      <c r="E100" s="100">
        <v>6.31</v>
      </c>
      <c r="F100" s="100">
        <v>2</v>
      </c>
      <c r="G100" s="100">
        <v>97.29</v>
      </c>
      <c r="H100" s="100">
        <v>30.76</v>
      </c>
      <c r="I100" s="100">
        <v>9.01</v>
      </c>
      <c r="J100" s="100">
        <v>0.12</v>
      </c>
      <c r="K100" s="100">
        <v>192.71</v>
      </c>
      <c r="L100" s="100">
        <v>18.440000000000001</v>
      </c>
      <c r="M100" s="100">
        <v>28.42</v>
      </c>
      <c r="N100" s="100">
        <v>2.1</v>
      </c>
      <c r="O100" s="100">
        <v>0</v>
      </c>
      <c r="P100" s="100">
        <v>0.69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624</v>
      </c>
      <c r="B101" s="100">
        <v>10.34</v>
      </c>
      <c r="C101" s="100">
        <v>7.71</v>
      </c>
      <c r="D101" s="100">
        <v>12.32</v>
      </c>
      <c r="E101" s="100">
        <v>6.5</v>
      </c>
      <c r="F101" s="100">
        <v>2</v>
      </c>
      <c r="G101" s="100">
        <v>97.29</v>
      </c>
      <c r="H101" s="100">
        <v>30.76</v>
      </c>
      <c r="I101" s="100">
        <v>9.06</v>
      </c>
      <c r="J101" s="100">
        <v>0.12</v>
      </c>
      <c r="K101" s="100">
        <v>201.57</v>
      </c>
      <c r="L101" s="100">
        <v>18.84</v>
      </c>
      <c r="M101" s="100">
        <v>29.4</v>
      </c>
      <c r="N101" s="100">
        <v>2.1</v>
      </c>
      <c r="O101" s="100">
        <v>0</v>
      </c>
      <c r="P101" s="100">
        <v>0.69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625</v>
      </c>
      <c r="B102" s="100">
        <v>10.77</v>
      </c>
      <c r="C102" s="100">
        <v>7.82</v>
      </c>
      <c r="D102" s="100">
        <v>12.72</v>
      </c>
      <c r="E102" s="100">
        <v>6.71</v>
      </c>
      <c r="F102" s="100">
        <v>2</v>
      </c>
      <c r="G102" s="100">
        <v>97.29</v>
      </c>
      <c r="H102" s="100">
        <v>30.76</v>
      </c>
      <c r="I102" s="100">
        <v>9.1300000000000008</v>
      </c>
      <c r="J102" s="100">
        <v>0.1</v>
      </c>
      <c r="K102" s="100">
        <v>208.04</v>
      </c>
      <c r="L102" s="100">
        <v>19.25</v>
      </c>
      <c r="M102" s="100">
        <v>30.44</v>
      </c>
      <c r="N102" s="100">
        <v>2.1</v>
      </c>
      <c r="O102" s="100">
        <v>0</v>
      </c>
      <c r="P102" s="100">
        <v>0.7</v>
      </c>
      <c r="Q102" s="100">
        <v>22.17</v>
      </c>
      <c r="R102" s="6"/>
      <c r="S102" s="6"/>
      <c r="T102" s="156"/>
      <c r="U102" s="6"/>
    </row>
    <row r="103" spans="1:28" customFormat="1">
      <c r="A103" s="201" t="s">
        <v>626</v>
      </c>
      <c r="B103" s="100">
        <v>11.15</v>
      </c>
      <c r="C103" s="100">
        <v>7.81</v>
      </c>
      <c r="D103" s="100">
        <v>13.02</v>
      </c>
      <c r="E103" s="100">
        <v>6.68</v>
      </c>
      <c r="F103" s="100">
        <v>2</v>
      </c>
      <c r="G103" s="100">
        <v>97.02</v>
      </c>
      <c r="H103" s="100">
        <v>30.01</v>
      </c>
      <c r="I103" s="100">
        <v>9.19</v>
      </c>
      <c r="J103" s="100">
        <v>0.09</v>
      </c>
      <c r="K103" s="100">
        <v>173.53</v>
      </c>
      <c r="L103" s="100">
        <v>16.86</v>
      </c>
      <c r="M103" s="100">
        <v>24.49</v>
      </c>
      <c r="N103" s="100">
        <v>2.1</v>
      </c>
      <c r="O103" s="100">
        <v>0</v>
      </c>
      <c r="P103" s="100">
        <v>0.7</v>
      </c>
      <c r="Q103" s="100">
        <v>13.43</v>
      </c>
      <c r="R103" s="6"/>
      <c r="S103" s="6"/>
      <c r="T103" s="156"/>
      <c r="U103" s="6"/>
    </row>
    <row r="104" spans="1:28" customFormat="1">
      <c r="A104" s="201" t="s">
        <v>627</v>
      </c>
      <c r="B104" s="100">
        <v>11.8</v>
      </c>
      <c r="C104" s="100">
        <v>7.96</v>
      </c>
      <c r="D104" s="100">
        <v>13.62</v>
      </c>
      <c r="E104" s="100">
        <v>6.53</v>
      </c>
      <c r="F104" s="100">
        <v>2</v>
      </c>
      <c r="G104" s="100">
        <v>96.92</v>
      </c>
      <c r="H104" s="100">
        <v>29.99</v>
      </c>
      <c r="I104" s="100">
        <v>9.2200000000000006</v>
      </c>
      <c r="J104" s="100">
        <v>0.1</v>
      </c>
      <c r="K104" s="100">
        <v>181.12</v>
      </c>
      <c r="L104" s="100">
        <v>17.04</v>
      </c>
      <c r="M104" s="100">
        <v>24.89</v>
      </c>
      <c r="N104" s="100">
        <v>2.1</v>
      </c>
      <c r="O104" s="100">
        <v>0</v>
      </c>
      <c r="P104" s="100">
        <v>0.7</v>
      </c>
      <c r="Q104" s="100">
        <v>32.49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3.41</v>
      </c>
      <c r="C106" s="158">
        <f>MIN(C9:C104)</f>
        <v>7.38</v>
      </c>
      <c r="D106" s="158">
        <f t="shared" ref="D106:Q106" si="0">MIN(D9:D104)</f>
        <v>8.31</v>
      </c>
      <c r="E106" s="158">
        <f t="shared" si="0"/>
        <v>5.51</v>
      </c>
      <c r="F106" s="158">
        <f t="shared" si="0"/>
        <v>2</v>
      </c>
      <c r="G106" s="158">
        <f t="shared" si="0"/>
        <v>59.82</v>
      </c>
      <c r="H106" s="158">
        <f t="shared" si="0"/>
        <v>21.02</v>
      </c>
      <c r="I106" s="158">
        <f t="shared" si="0"/>
        <v>5.87</v>
      </c>
      <c r="J106" s="158">
        <f t="shared" si="0"/>
        <v>0.04</v>
      </c>
      <c r="K106" s="158">
        <f t="shared" si="0"/>
        <v>4.93</v>
      </c>
      <c r="L106" s="158">
        <f t="shared" si="0"/>
        <v>6.73</v>
      </c>
      <c r="M106" s="158">
        <f t="shared" si="0"/>
        <v>-2.44</v>
      </c>
      <c r="N106" s="158">
        <f t="shared" si="0"/>
        <v>2</v>
      </c>
      <c r="O106" s="158">
        <f t="shared" si="0"/>
        <v>0</v>
      </c>
      <c r="P106" s="158">
        <f t="shared" si="0"/>
        <v>0.46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15.22</v>
      </c>
      <c r="C107" s="157">
        <f t="shared" ref="C107:Q107" si="1">MAX(C9:C104)</f>
        <v>14.56</v>
      </c>
      <c r="D107" s="157">
        <f t="shared" si="1"/>
        <v>16.600000000000001</v>
      </c>
      <c r="E107" s="157">
        <f t="shared" si="1"/>
        <v>13.91</v>
      </c>
      <c r="F107" s="157">
        <f t="shared" si="1"/>
        <v>9.2899999999999991</v>
      </c>
      <c r="G107" s="157">
        <f t="shared" si="1"/>
        <v>108.27</v>
      </c>
      <c r="H107" s="157">
        <f t="shared" si="1"/>
        <v>34.01</v>
      </c>
      <c r="I107" s="157">
        <f t="shared" si="1"/>
        <v>9.84</v>
      </c>
      <c r="J107" s="157">
        <f t="shared" si="1"/>
        <v>0.78</v>
      </c>
      <c r="K107" s="157">
        <f t="shared" si="1"/>
        <v>351.81</v>
      </c>
      <c r="L107" s="157">
        <f t="shared" si="1"/>
        <v>24.53</v>
      </c>
      <c r="M107" s="157">
        <f t="shared" si="1"/>
        <v>35.6</v>
      </c>
      <c r="N107" s="157">
        <f t="shared" si="1"/>
        <v>675</v>
      </c>
      <c r="O107" s="157">
        <f t="shared" si="1"/>
        <v>0</v>
      </c>
      <c r="P107" s="157">
        <f t="shared" si="1"/>
        <v>0.79</v>
      </c>
      <c r="Q107" s="157">
        <f t="shared" si="1"/>
        <v>32.49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9.1133333333333351</v>
      </c>
      <c r="C108" s="158">
        <f t="shared" ref="C108:Q108" si="2">AVERAGE(C9:C104)</f>
        <v>9.0895833333333336</v>
      </c>
      <c r="D108" s="158">
        <f t="shared" si="2"/>
        <v>12.057500000000003</v>
      </c>
      <c r="E108" s="158">
        <f t="shared" si="2"/>
        <v>7.8457291666666675</v>
      </c>
      <c r="F108" s="158">
        <f t="shared" si="2"/>
        <v>2.3182291666666668</v>
      </c>
      <c r="G108" s="158">
        <f t="shared" si="2"/>
        <v>83.881041666666661</v>
      </c>
      <c r="H108" s="158">
        <f t="shared" si="2"/>
        <v>28.561875000000029</v>
      </c>
      <c r="I108" s="158">
        <f t="shared" si="2"/>
        <v>8.0591666666666697</v>
      </c>
      <c r="J108" s="158">
        <f t="shared" si="2"/>
        <v>0.28468749999999993</v>
      </c>
      <c r="K108" s="158">
        <f t="shared" si="2"/>
        <v>90.08260416666667</v>
      </c>
      <c r="L108" s="158">
        <f t="shared" si="2"/>
        <v>14.116562500000001</v>
      </c>
      <c r="M108" s="158">
        <f t="shared" si="2"/>
        <v>14.279687500000001</v>
      </c>
      <c r="N108" s="158">
        <f t="shared" si="2"/>
        <v>129.77708333333342</v>
      </c>
      <c r="O108" s="158">
        <f t="shared" si="2"/>
        <v>0</v>
      </c>
      <c r="P108" s="158">
        <f t="shared" si="2"/>
        <v>0.64572916666666669</v>
      </c>
      <c r="Q108" s="158">
        <f t="shared" si="2"/>
        <v>9.7610416666666797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3.8303724339098002</v>
      </c>
      <c r="C109" s="158">
        <f t="shared" ref="C109:Q109" si="3">STDEV(C9:C104)</f>
        <v>1.7266693930751251</v>
      </c>
      <c r="D109" s="158">
        <f t="shared" si="3"/>
        <v>2.6598678241794733</v>
      </c>
      <c r="E109" s="158">
        <f t="shared" si="3"/>
        <v>1.7204453186016317</v>
      </c>
      <c r="F109" s="158">
        <f t="shared" si="3"/>
        <v>1.1610430834670464</v>
      </c>
      <c r="G109" s="158">
        <f t="shared" si="3"/>
        <v>14.579962058947588</v>
      </c>
      <c r="H109" s="158">
        <f t="shared" si="3"/>
        <v>3.5655495811708113</v>
      </c>
      <c r="I109" s="158">
        <f t="shared" si="3"/>
        <v>1.06651292751723</v>
      </c>
      <c r="J109" s="158">
        <f t="shared" si="3"/>
        <v>0.17402935702134645</v>
      </c>
      <c r="K109" s="158">
        <f t="shared" si="3"/>
        <v>83.43055963203976</v>
      </c>
      <c r="L109" s="158">
        <f t="shared" si="3"/>
        <v>3.7894859610089853</v>
      </c>
      <c r="M109" s="158">
        <f t="shared" si="3"/>
        <v>9.6126344987510546</v>
      </c>
      <c r="N109" s="158">
        <f t="shared" si="3"/>
        <v>214.22101841895935</v>
      </c>
      <c r="O109" s="158">
        <f t="shared" si="3"/>
        <v>0</v>
      </c>
      <c r="P109" s="158">
        <f t="shared" si="3"/>
        <v>9.143009744771298E-2</v>
      </c>
      <c r="Q109" s="158">
        <f t="shared" si="3"/>
        <v>2.7227020167343952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628</v>
      </c>
      <c r="B9" s="100">
        <v>12.66</v>
      </c>
      <c r="C9" s="100">
        <v>8</v>
      </c>
      <c r="D9" s="100">
        <v>14.33</v>
      </c>
      <c r="E9" s="100">
        <v>6.61</v>
      </c>
      <c r="F9" s="100">
        <v>2</v>
      </c>
      <c r="G9" s="100">
        <v>96.92</v>
      </c>
      <c r="H9" s="100">
        <v>29.99</v>
      </c>
      <c r="I9" s="100">
        <v>9.24</v>
      </c>
      <c r="J9" s="100">
        <v>0.14000000000000001</v>
      </c>
      <c r="K9" s="100">
        <v>207.69</v>
      </c>
      <c r="L9" s="100">
        <v>19.149999999999999</v>
      </c>
      <c r="M9" s="100">
        <v>30.2</v>
      </c>
      <c r="N9" s="100">
        <v>2</v>
      </c>
      <c r="O9" s="100">
        <v>0</v>
      </c>
      <c r="P9" s="100">
        <v>0.7</v>
      </c>
      <c r="Q9" s="100">
        <v>11.01</v>
      </c>
      <c r="R9" s="6"/>
      <c r="S9" s="6"/>
      <c r="T9" s="156"/>
      <c r="U9" s="6"/>
    </row>
    <row r="10" spans="1:21" customFormat="1">
      <c r="A10" s="201" t="s">
        <v>629</v>
      </c>
      <c r="B10" s="100">
        <v>12.76</v>
      </c>
      <c r="C10" s="100">
        <v>8.0500000000000007</v>
      </c>
      <c r="D10" s="100">
        <v>14.43</v>
      </c>
      <c r="E10" s="100">
        <v>6.77</v>
      </c>
      <c r="F10" s="100">
        <v>2</v>
      </c>
      <c r="G10" s="100">
        <v>96.92</v>
      </c>
      <c r="H10" s="100">
        <v>29.99</v>
      </c>
      <c r="I10" s="100">
        <v>9.31</v>
      </c>
      <c r="J10" s="100">
        <v>0.13</v>
      </c>
      <c r="K10" s="100">
        <v>208.24</v>
      </c>
      <c r="L10" s="100">
        <v>18.760000000000002</v>
      </c>
      <c r="M10" s="100">
        <v>29.24</v>
      </c>
      <c r="N10" s="100">
        <v>2.2999999999999998</v>
      </c>
      <c r="O10" s="100">
        <v>0</v>
      </c>
      <c r="P10" s="100">
        <v>0.71</v>
      </c>
      <c r="Q10" s="100">
        <v>9.42</v>
      </c>
      <c r="R10" s="6"/>
      <c r="S10" s="6"/>
      <c r="T10" s="156"/>
      <c r="U10" s="6"/>
    </row>
    <row r="11" spans="1:21" customFormat="1">
      <c r="A11" s="201" t="s">
        <v>630</v>
      </c>
      <c r="B11" s="100">
        <v>12.9</v>
      </c>
      <c r="C11" s="100">
        <v>8.02</v>
      </c>
      <c r="D11" s="100">
        <v>14.53</v>
      </c>
      <c r="E11" s="100">
        <v>6.29</v>
      </c>
      <c r="F11" s="100">
        <v>2</v>
      </c>
      <c r="G11" s="100">
        <v>91.44</v>
      </c>
      <c r="H11" s="100">
        <v>26.62</v>
      </c>
      <c r="I11" s="100">
        <v>9.36</v>
      </c>
      <c r="J11" s="100">
        <v>0.08</v>
      </c>
      <c r="K11" s="100">
        <v>211.59</v>
      </c>
      <c r="L11" s="100">
        <v>19.47</v>
      </c>
      <c r="M11" s="100">
        <v>31.03</v>
      </c>
      <c r="N11" s="100">
        <v>2.1</v>
      </c>
      <c r="O11" s="100">
        <v>0</v>
      </c>
      <c r="P11" s="100">
        <v>0.71</v>
      </c>
      <c r="Q11" s="100">
        <v>9.32</v>
      </c>
      <c r="R11" s="6"/>
      <c r="S11" s="6"/>
      <c r="T11" s="156"/>
      <c r="U11" s="6"/>
    </row>
    <row r="12" spans="1:21" customFormat="1">
      <c r="A12" s="201" t="s">
        <v>631</v>
      </c>
      <c r="B12" s="100">
        <v>13.03</v>
      </c>
      <c r="C12" s="100">
        <v>7.91</v>
      </c>
      <c r="D12" s="100">
        <v>14.58</v>
      </c>
      <c r="E12" s="100">
        <v>6.73</v>
      </c>
      <c r="F12" s="100">
        <v>2</v>
      </c>
      <c r="G12" s="100">
        <v>89.44</v>
      </c>
      <c r="H12" s="100">
        <v>26.47</v>
      </c>
      <c r="I12" s="100">
        <v>9.3800000000000008</v>
      </c>
      <c r="J12" s="100">
        <v>0.09</v>
      </c>
      <c r="K12" s="100">
        <v>145.15</v>
      </c>
      <c r="L12" s="100">
        <v>14.57</v>
      </c>
      <c r="M12" s="100">
        <v>18.75</v>
      </c>
      <c r="N12" s="100">
        <v>2.1</v>
      </c>
      <c r="O12" s="100">
        <v>0</v>
      </c>
      <c r="P12" s="100">
        <v>0.7</v>
      </c>
      <c r="Q12" s="100">
        <v>9.32</v>
      </c>
      <c r="R12" s="6"/>
      <c r="S12" s="6"/>
      <c r="T12" s="156"/>
      <c r="U12" s="6"/>
    </row>
    <row r="13" spans="1:21" customFormat="1">
      <c r="A13" s="201" t="s">
        <v>632</v>
      </c>
      <c r="B13" s="100">
        <v>13.25</v>
      </c>
      <c r="C13" s="100">
        <v>7.82</v>
      </c>
      <c r="D13" s="100">
        <v>14.71</v>
      </c>
      <c r="E13" s="100">
        <v>6.4</v>
      </c>
      <c r="F13" s="100">
        <v>2</v>
      </c>
      <c r="G13" s="100">
        <v>89.44</v>
      </c>
      <c r="H13" s="100">
        <v>26.47</v>
      </c>
      <c r="I13" s="100">
        <v>9.4</v>
      </c>
      <c r="J13" s="100">
        <v>0.1</v>
      </c>
      <c r="K13" s="100">
        <v>185.77</v>
      </c>
      <c r="L13" s="100">
        <v>17.73</v>
      </c>
      <c r="M13" s="100">
        <v>26.65</v>
      </c>
      <c r="N13" s="100">
        <v>2.1</v>
      </c>
      <c r="O13" s="100">
        <v>0</v>
      </c>
      <c r="P13" s="100">
        <v>0.68</v>
      </c>
      <c r="Q13" s="100">
        <v>14.49</v>
      </c>
      <c r="R13" s="6"/>
      <c r="S13" s="6"/>
      <c r="T13" s="156"/>
      <c r="U13" s="6"/>
    </row>
    <row r="14" spans="1:21" customFormat="1">
      <c r="A14" s="201" t="s">
        <v>633</v>
      </c>
      <c r="B14" s="100">
        <v>14.26</v>
      </c>
      <c r="C14" s="100">
        <v>8.1</v>
      </c>
      <c r="D14" s="100">
        <v>15.67</v>
      </c>
      <c r="E14" s="100">
        <v>6.65</v>
      </c>
      <c r="F14" s="100">
        <v>2</v>
      </c>
      <c r="G14" s="100">
        <v>89.44</v>
      </c>
      <c r="H14" s="100">
        <v>26.47</v>
      </c>
      <c r="I14" s="100">
        <v>9.4700000000000006</v>
      </c>
      <c r="J14" s="100">
        <v>0.13</v>
      </c>
      <c r="K14" s="100">
        <v>161.78</v>
      </c>
      <c r="L14" s="100">
        <v>15.89</v>
      </c>
      <c r="M14" s="100">
        <v>21.98</v>
      </c>
      <c r="N14" s="100">
        <v>2.1</v>
      </c>
      <c r="O14" s="100">
        <v>0</v>
      </c>
      <c r="P14" s="100">
        <v>0.66</v>
      </c>
      <c r="Q14" s="100">
        <v>14.08</v>
      </c>
      <c r="R14" s="6"/>
      <c r="S14" s="6"/>
      <c r="T14" s="156"/>
      <c r="U14" s="6"/>
    </row>
    <row r="15" spans="1:21" customFormat="1">
      <c r="A15" s="201" t="s">
        <v>634</v>
      </c>
      <c r="B15" s="100">
        <v>15.81</v>
      </c>
      <c r="C15" s="100">
        <v>8.65</v>
      </c>
      <c r="D15" s="100">
        <v>17.2</v>
      </c>
      <c r="E15" s="100">
        <v>6.92</v>
      </c>
      <c r="F15" s="100">
        <v>2</v>
      </c>
      <c r="G15" s="100">
        <v>92.52</v>
      </c>
      <c r="H15" s="100">
        <v>28.83</v>
      </c>
      <c r="I15" s="100">
        <v>9.52</v>
      </c>
      <c r="J15" s="100">
        <v>0.18</v>
      </c>
      <c r="K15" s="100">
        <v>152.6</v>
      </c>
      <c r="L15" s="100">
        <v>15.05</v>
      </c>
      <c r="M15" s="100">
        <v>19.760000000000002</v>
      </c>
      <c r="N15" s="100">
        <v>2</v>
      </c>
      <c r="O15" s="100">
        <v>0</v>
      </c>
      <c r="P15" s="100">
        <v>0.67</v>
      </c>
      <c r="Q15" s="100">
        <v>10.48</v>
      </c>
      <c r="R15" s="6"/>
      <c r="S15" s="6"/>
      <c r="T15" s="156"/>
      <c r="U15" s="6"/>
    </row>
    <row r="16" spans="1:21" customFormat="1">
      <c r="A16" s="201" t="s">
        <v>635</v>
      </c>
      <c r="B16" s="100">
        <v>17.11</v>
      </c>
      <c r="C16" s="100">
        <v>8.9600000000000009</v>
      </c>
      <c r="D16" s="100">
        <v>18.41</v>
      </c>
      <c r="E16" s="100">
        <v>6.8</v>
      </c>
      <c r="F16" s="100">
        <v>2</v>
      </c>
      <c r="G16" s="100">
        <v>93.71</v>
      </c>
      <c r="H16" s="100">
        <v>28.95</v>
      </c>
      <c r="I16" s="100">
        <v>9.52</v>
      </c>
      <c r="J16" s="100">
        <v>0.11</v>
      </c>
      <c r="K16" s="100">
        <v>208.17</v>
      </c>
      <c r="L16" s="100">
        <v>19.260000000000002</v>
      </c>
      <c r="M16" s="100">
        <v>30.19</v>
      </c>
      <c r="N16" s="100">
        <v>2.1</v>
      </c>
      <c r="O16" s="100">
        <v>0</v>
      </c>
      <c r="P16" s="100">
        <v>0.67</v>
      </c>
      <c r="Q16" s="100">
        <v>10.01</v>
      </c>
      <c r="R16" s="6"/>
      <c r="S16" s="6"/>
      <c r="T16" s="156"/>
      <c r="U16" s="6"/>
    </row>
    <row r="17" spans="1:21" customFormat="1">
      <c r="A17" s="201" t="s">
        <v>636</v>
      </c>
      <c r="B17" s="100">
        <v>17.309999999999999</v>
      </c>
      <c r="C17" s="100">
        <v>8.9</v>
      </c>
      <c r="D17" s="100">
        <v>18.53</v>
      </c>
      <c r="E17" s="100">
        <v>5.25</v>
      </c>
      <c r="F17" s="100">
        <v>2</v>
      </c>
      <c r="G17" s="100">
        <v>93.71</v>
      </c>
      <c r="H17" s="100">
        <v>28.95</v>
      </c>
      <c r="I17" s="100">
        <v>9.58</v>
      </c>
      <c r="J17" s="100">
        <v>0.13</v>
      </c>
      <c r="K17" s="100">
        <v>225.15</v>
      </c>
      <c r="L17" s="100">
        <v>19.73</v>
      </c>
      <c r="M17" s="100">
        <v>31.41</v>
      </c>
      <c r="N17" s="100">
        <v>2.1</v>
      </c>
      <c r="O17" s="100">
        <v>0</v>
      </c>
      <c r="P17" s="100">
        <v>0.67</v>
      </c>
      <c r="Q17" s="100">
        <v>10.29</v>
      </c>
      <c r="R17" s="6"/>
      <c r="S17" s="6"/>
      <c r="T17" s="156"/>
      <c r="U17" s="6"/>
    </row>
    <row r="18" spans="1:21" customFormat="1">
      <c r="A18" s="201" t="s">
        <v>637</v>
      </c>
      <c r="B18" s="100">
        <v>17.04</v>
      </c>
      <c r="C18" s="100">
        <v>8.7799999999999994</v>
      </c>
      <c r="D18" s="100">
        <v>18.25</v>
      </c>
      <c r="E18" s="100">
        <v>6.41</v>
      </c>
      <c r="F18" s="100">
        <v>2</v>
      </c>
      <c r="G18" s="100">
        <v>93.71</v>
      </c>
      <c r="H18" s="100">
        <v>28.95</v>
      </c>
      <c r="I18" s="100">
        <v>9.64</v>
      </c>
      <c r="J18" s="100">
        <v>0.17</v>
      </c>
      <c r="K18" s="100">
        <v>165.65</v>
      </c>
      <c r="L18" s="100">
        <v>15.91</v>
      </c>
      <c r="M18" s="100">
        <v>21.97</v>
      </c>
      <c r="N18" s="100">
        <v>2.1</v>
      </c>
      <c r="O18" s="100">
        <v>0</v>
      </c>
      <c r="P18" s="100">
        <v>0.67</v>
      </c>
      <c r="Q18" s="100">
        <v>9.49</v>
      </c>
      <c r="R18" s="6"/>
      <c r="S18" s="6"/>
      <c r="T18" s="156"/>
      <c r="U18" s="6"/>
    </row>
    <row r="19" spans="1:21" customFormat="1">
      <c r="A19" s="201" t="s">
        <v>638</v>
      </c>
      <c r="B19" s="100">
        <v>16.64</v>
      </c>
      <c r="C19" s="100">
        <v>8.6199999999999992</v>
      </c>
      <c r="D19" s="100">
        <v>17.850000000000001</v>
      </c>
      <c r="E19" s="100">
        <v>6.2</v>
      </c>
      <c r="F19" s="100">
        <v>2</v>
      </c>
      <c r="G19" s="100">
        <v>84.31</v>
      </c>
      <c r="H19" s="100">
        <v>28.87</v>
      </c>
      <c r="I19" s="100">
        <v>9.66</v>
      </c>
      <c r="J19" s="100">
        <v>0.09</v>
      </c>
      <c r="K19" s="100">
        <v>171.43</v>
      </c>
      <c r="L19" s="100">
        <v>16.77</v>
      </c>
      <c r="M19" s="100">
        <v>24.05</v>
      </c>
      <c r="N19" s="100">
        <v>2.1</v>
      </c>
      <c r="O19" s="100">
        <v>0</v>
      </c>
      <c r="P19" s="100">
        <v>0.67</v>
      </c>
      <c r="Q19" s="100">
        <v>9.32</v>
      </c>
      <c r="R19" s="6"/>
      <c r="S19" s="6"/>
      <c r="T19" s="156"/>
      <c r="U19" s="6"/>
    </row>
    <row r="20" spans="1:21" customFormat="1">
      <c r="A20" s="201" t="s">
        <v>639</v>
      </c>
      <c r="B20" s="100">
        <v>16.25</v>
      </c>
      <c r="C20" s="100">
        <v>8.43</v>
      </c>
      <c r="D20" s="100">
        <v>17.43</v>
      </c>
      <c r="E20" s="100">
        <v>6.24</v>
      </c>
      <c r="F20" s="100">
        <v>2</v>
      </c>
      <c r="G20" s="100">
        <v>80.69</v>
      </c>
      <c r="H20" s="100">
        <v>28.87</v>
      </c>
      <c r="I20" s="100">
        <v>9.67</v>
      </c>
      <c r="J20" s="100">
        <v>0.18</v>
      </c>
      <c r="K20" s="100">
        <v>124.93</v>
      </c>
      <c r="L20" s="100">
        <v>12.74</v>
      </c>
      <c r="M20" s="100">
        <v>13.97</v>
      </c>
      <c r="N20" s="100">
        <v>2</v>
      </c>
      <c r="O20" s="100">
        <v>0</v>
      </c>
      <c r="P20" s="100">
        <v>0.67</v>
      </c>
      <c r="Q20" s="100">
        <v>9.4600000000000009</v>
      </c>
      <c r="R20" s="6"/>
      <c r="S20" s="6"/>
      <c r="T20" s="156"/>
      <c r="U20" s="6"/>
    </row>
    <row r="21" spans="1:21" customFormat="1">
      <c r="A21" s="201" t="s">
        <v>640</v>
      </c>
      <c r="B21" s="100">
        <v>15.9</v>
      </c>
      <c r="C21" s="100">
        <v>8.26</v>
      </c>
      <c r="D21" s="100">
        <v>17.059999999999999</v>
      </c>
      <c r="E21" s="100">
        <v>6.34</v>
      </c>
      <c r="F21" s="100">
        <v>2</v>
      </c>
      <c r="G21" s="100">
        <v>80.69</v>
      </c>
      <c r="H21" s="100">
        <v>28.87</v>
      </c>
      <c r="I21" s="100">
        <v>9.7100000000000009</v>
      </c>
      <c r="J21" s="100">
        <v>0.1</v>
      </c>
      <c r="K21" s="100">
        <v>130.53</v>
      </c>
      <c r="L21" s="100">
        <v>11.75</v>
      </c>
      <c r="M21" s="100">
        <v>11.49</v>
      </c>
      <c r="N21" s="100">
        <v>2.1</v>
      </c>
      <c r="O21" s="100">
        <v>0</v>
      </c>
      <c r="P21" s="100">
        <v>0.68</v>
      </c>
      <c r="Q21" s="100">
        <v>9.32</v>
      </c>
      <c r="R21" s="6"/>
      <c r="S21" s="6"/>
      <c r="T21" s="156"/>
      <c r="U21" s="6"/>
    </row>
    <row r="22" spans="1:21" customFormat="1">
      <c r="A22" s="201" t="s">
        <v>641</v>
      </c>
      <c r="B22" s="100">
        <v>15.46</v>
      </c>
      <c r="C22" s="100">
        <v>8.1199999999999992</v>
      </c>
      <c r="D22" s="100">
        <v>16.64</v>
      </c>
      <c r="E22" s="100">
        <v>6.32</v>
      </c>
      <c r="F22" s="100">
        <v>2</v>
      </c>
      <c r="G22" s="100">
        <v>80.69</v>
      </c>
      <c r="H22" s="100">
        <v>28.87</v>
      </c>
      <c r="I22" s="100">
        <v>9.84</v>
      </c>
      <c r="J22" s="100">
        <v>0.13</v>
      </c>
      <c r="K22" s="100">
        <v>78.31</v>
      </c>
      <c r="L22" s="100">
        <v>9.23</v>
      </c>
      <c r="M22" s="100">
        <v>5.12</v>
      </c>
      <c r="N22" s="100">
        <v>2.1</v>
      </c>
      <c r="O22" s="100">
        <v>0</v>
      </c>
      <c r="P22" s="100">
        <v>0.68</v>
      </c>
      <c r="Q22" s="100">
        <v>9.32</v>
      </c>
      <c r="R22" s="6"/>
      <c r="S22" s="6"/>
      <c r="T22" s="156"/>
      <c r="U22" s="6"/>
    </row>
    <row r="23" spans="1:21" customFormat="1">
      <c r="A23" s="201" t="s">
        <v>642</v>
      </c>
      <c r="B23" s="100">
        <v>15.19</v>
      </c>
      <c r="C23" s="100">
        <v>8</v>
      </c>
      <c r="D23" s="100">
        <v>16.36</v>
      </c>
      <c r="E23" s="100">
        <v>6.25</v>
      </c>
      <c r="F23" s="100">
        <v>2</v>
      </c>
      <c r="G23" s="100">
        <v>85.94</v>
      </c>
      <c r="H23" s="100">
        <v>30.32</v>
      </c>
      <c r="I23" s="100">
        <v>9.99</v>
      </c>
      <c r="J23" s="100">
        <v>0.14000000000000001</v>
      </c>
      <c r="K23" s="100">
        <v>120.53</v>
      </c>
      <c r="L23" s="100">
        <v>12.57</v>
      </c>
      <c r="M23" s="100">
        <v>13.57</v>
      </c>
      <c r="N23" s="100">
        <v>2</v>
      </c>
      <c r="O23" s="100">
        <v>0</v>
      </c>
      <c r="P23" s="100">
        <v>0.68</v>
      </c>
      <c r="Q23" s="100">
        <v>9.32</v>
      </c>
      <c r="R23" s="6"/>
      <c r="S23" s="6"/>
      <c r="T23" s="156"/>
      <c r="U23" s="6"/>
    </row>
    <row r="24" spans="1:21" customFormat="1">
      <c r="A24" s="201" t="s">
        <v>643</v>
      </c>
      <c r="B24" s="100">
        <v>15.67</v>
      </c>
      <c r="C24" s="100">
        <v>8.14</v>
      </c>
      <c r="D24" s="100">
        <v>16.82</v>
      </c>
      <c r="E24" s="100">
        <v>6.22</v>
      </c>
      <c r="F24" s="100">
        <v>2</v>
      </c>
      <c r="G24" s="100">
        <v>87.85</v>
      </c>
      <c r="H24" s="100">
        <v>30.37</v>
      </c>
      <c r="I24" s="100">
        <v>10.199999999999999</v>
      </c>
      <c r="J24" s="100">
        <v>0.08</v>
      </c>
      <c r="K24" s="100">
        <v>162.19</v>
      </c>
      <c r="L24" s="100">
        <v>14.82</v>
      </c>
      <c r="M24" s="100">
        <v>19.170000000000002</v>
      </c>
      <c r="N24" s="100">
        <v>2</v>
      </c>
      <c r="O24" s="100">
        <v>0</v>
      </c>
      <c r="P24" s="100">
        <v>0.69</v>
      </c>
      <c r="Q24" s="100">
        <v>9.49</v>
      </c>
      <c r="R24" s="6"/>
      <c r="S24" s="6"/>
      <c r="T24" s="156"/>
      <c r="U24" s="6"/>
    </row>
    <row r="25" spans="1:21" customFormat="1">
      <c r="A25" s="201" t="s">
        <v>644</v>
      </c>
      <c r="B25" s="100">
        <v>16.52</v>
      </c>
      <c r="C25" s="100">
        <v>8.35</v>
      </c>
      <c r="D25" s="100">
        <v>17.61</v>
      </c>
      <c r="E25" s="100">
        <v>6.21</v>
      </c>
      <c r="F25" s="100">
        <v>2</v>
      </c>
      <c r="G25" s="100">
        <v>87.85</v>
      </c>
      <c r="H25" s="100">
        <v>30.37</v>
      </c>
      <c r="I25" s="100">
        <v>10.37</v>
      </c>
      <c r="J25" s="100">
        <v>0.13</v>
      </c>
      <c r="K25" s="100">
        <v>193.85</v>
      </c>
      <c r="L25" s="100">
        <v>17.79</v>
      </c>
      <c r="M25" s="100">
        <v>26.67</v>
      </c>
      <c r="N25" s="100">
        <v>2.1</v>
      </c>
      <c r="O25" s="100">
        <v>0</v>
      </c>
      <c r="P25" s="100">
        <v>0.7</v>
      </c>
      <c r="Q25" s="100">
        <v>9.44</v>
      </c>
      <c r="R25" s="6"/>
      <c r="S25" s="6"/>
      <c r="T25" s="156"/>
      <c r="U25" s="6"/>
    </row>
    <row r="26" spans="1:21" customFormat="1">
      <c r="A26" s="201" t="s">
        <v>645</v>
      </c>
      <c r="B26" s="100">
        <v>16.87</v>
      </c>
      <c r="C26" s="100">
        <v>8.42</v>
      </c>
      <c r="D26" s="100">
        <v>17.93</v>
      </c>
      <c r="E26" s="100">
        <v>6.44</v>
      </c>
      <c r="F26" s="100">
        <v>2</v>
      </c>
      <c r="G26" s="100">
        <v>87.85</v>
      </c>
      <c r="H26" s="100">
        <v>30.37</v>
      </c>
      <c r="I26" s="100">
        <v>10.53</v>
      </c>
      <c r="J26" s="100">
        <v>0.09</v>
      </c>
      <c r="K26" s="100">
        <v>206.05</v>
      </c>
      <c r="L26" s="100">
        <v>19.43</v>
      </c>
      <c r="M26" s="100">
        <v>30.76</v>
      </c>
      <c r="N26" s="100">
        <v>2.1</v>
      </c>
      <c r="O26" s="100">
        <v>0</v>
      </c>
      <c r="P26" s="100">
        <v>0.7</v>
      </c>
      <c r="Q26" s="100">
        <v>9.9600000000000009</v>
      </c>
      <c r="R26" s="6"/>
      <c r="S26" s="6"/>
      <c r="T26" s="156"/>
      <c r="U26" s="6"/>
    </row>
    <row r="27" spans="1:21" customFormat="1">
      <c r="A27" s="201" t="s">
        <v>646</v>
      </c>
      <c r="B27" s="100">
        <v>16.829999999999998</v>
      </c>
      <c r="C27" s="100">
        <v>8.2899999999999991</v>
      </c>
      <c r="D27" s="100">
        <v>17.829999999999998</v>
      </c>
      <c r="E27" s="100">
        <v>6.36</v>
      </c>
      <c r="F27" s="100">
        <v>2</v>
      </c>
      <c r="G27" s="100">
        <v>91.35</v>
      </c>
      <c r="H27" s="100">
        <v>32.119999999999997</v>
      </c>
      <c r="I27" s="100">
        <v>10.67</v>
      </c>
      <c r="J27" s="100">
        <v>0.16</v>
      </c>
      <c r="K27" s="100">
        <v>208.1</v>
      </c>
      <c r="L27" s="100">
        <v>18.95</v>
      </c>
      <c r="M27" s="100">
        <v>29.53</v>
      </c>
      <c r="N27" s="100">
        <v>2</v>
      </c>
      <c r="O27" s="100">
        <v>0</v>
      </c>
      <c r="P27" s="100">
        <v>0.7</v>
      </c>
      <c r="Q27" s="100">
        <v>10.29</v>
      </c>
      <c r="R27" s="6"/>
      <c r="S27" s="6"/>
      <c r="T27" s="156"/>
      <c r="U27" s="6"/>
    </row>
    <row r="28" spans="1:21" customFormat="1">
      <c r="A28" s="201" t="s">
        <v>647</v>
      </c>
      <c r="B28" s="100">
        <v>16.510000000000002</v>
      </c>
      <c r="C28" s="100">
        <v>8.09</v>
      </c>
      <c r="D28" s="100">
        <v>17.47</v>
      </c>
      <c r="E28" s="100">
        <v>6.1</v>
      </c>
      <c r="F28" s="100">
        <v>2</v>
      </c>
      <c r="G28" s="100">
        <v>92.62</v>
      </c>
      <c r="H28" s="100">
        <v>32.18</v>
      </c>
      <c r="I28" s="100">
        <v>10.77</v>
      </c>
      <c r="J28" s="100">
        <v>0.17</v>
      </c>
      <c r="K28" s="100">
        <v>194.05</v>
      </c>
      <c r="L28" s="100">
        <v>18.03</v>
      </c>
      <c r="M28" s="100">
        <v>27.26</v>
      </c>
      <c r="N28" s="100">
        <v>2.2000000000000002</v>
      </c>
      <c r="O28" s="100">
        <v>0</v>
      </c>
      <c r="P28" s="100">
        <v>0.7</v>
      </c>
      <c r="Q28" s="100">
        <v>11.79</v>
      </c>
      <c r="R28" s="6"/>
      <c r="S28" s="6"/>
      <c r="T28" s="156"/>
      <c r="U28" s="6"/>
    </row>
    <row r="29" spans="1:21" customFormat="1">
      <c r="A29" s="201" t="s">
        <v>648</v>
      </c>
      <c r="B29" s="100">
        <v>16.09</v>
      </c>
      <c r="C29" s="100">
        <v>7.96</v>
      </c>
      <c r="D29" s="100">
        <v>17.059999999999999</v>
      </c>
      <c r="E29" s="100">
        <v>6.35</v>
      </c>
      <c r="F29" s="100">
        <v>2</v>
      </c>
      <c r="G29" s="100">
        <v>92.62</v>
      </c>
      <c r="H29" s="100">
        <v>32.18</v>
      </c>
      <c r="I29" s="100">
        <v>10.83</v>
      </c>
      <c r="J29" s="100">
        <v>0.12</v>
      </c>
      <c r="K29" s="100">
        <v>160.51</v>
      </c>
      <c r="L29" s="100">
        <v>15.07</v>
      </c>
      <c r="M29" s="100">
        <v>19.89</v>
      </c>
      <c r="N29" s="100">
        <v>2</v>
      </c>
      <c r="O29" s="100">
        <v>0</v>
      </c>
      <c r="P29" s="100">
        <v>0.69</v>
      </c>
      <c r="Q29" s="100">
        <v>10.58</v>
      </c>
      <c r="R29" s="6"/>
      <c r="S29" s="6"/>
      <c r="T29" s="156"/>
      <c r="U29" s="6"/>
    </row>
    <row r="30" spans="1:21" customFormat="1">
      <c r="A30" s="201" t="s">
        <v>649</v>
      </c>
      <c r="B30" s="100">
        <v>15.64</v>
      </c>
      <c r="C30" s="100">
        <v>7.85</v>
      </c>
      <c r="D30" s="100">
        <v>16.64</v>
      </c>
      <c r="E30" s="100">
        <v>6.27</v>
      </c>
      <c r="F30" s="100">
        <v>2</v>
      </c>
      <c r="G30" s="100">
        <v>92.62</v>
      </c>
      <c r="H30" s="100">
        <v>32.18</v>
      </c>
      <c r="I30" s="100">
        <v>10.86</v>
      </c>
      <c r="J30" s="100">
        <v>0.06</v>
      </c>
      <c r="K30" s="100">
        <v>163.68</v>
      </c>
      <c r="L30" s="100">
        <v>15.84</v>
      </c>
      <c r="M30" s="100">
        <v>21.81</v>
      </c>
      <c r="N30" s="100">
        <v>2.1</v>
      </c>
      <c r="O30" s="100">
        <v>0</v>
      </c>
      <c r="P30" s="100">
        <v>0.69</v>
      </c>
      <c r="Q30" s="100">
        <v>9.32</v>
      </c>
      <c r="R30" s="6"/>
      <c r="S30" s="6"/>
      <c r="T30" s="156"/>
      <c r="U30" s="6"/>
    </row>
    <row r="31" spans="1:21" customFormat="1">
      <c r="A31" s="201" t="s">
        <v>650</v>
      </c>
      <c r="B31" s="100">
        <v>15.32</v>
      </c>
      <c r="C31" s="100">
        <v>7.77</v>
      </c>
      <c r="D31" s="100">
        <v>16.350000000000001</v>
      </c>
      <c r="E31" s="100">
        <v>6.33</v>
      </c>
      <c r="F31" s="100">
        <v>2</v>
      </c>
      <c r="G31" s="100">
        <v>83.85</v>
      </c>
      <c r="H31" s="100">
        <v>31.36</v>
      </c>
      <c r="I31" s="100">
        <v>10.87</v>
      </c>
      <c r="J31" s="100">
        <v>0.09</v>
      </c>
      <c r="K31" s="100">
        <v>199.36</v>
      </c>
      <c r="L31" s="100">
        <v>18.510000000000002</v>
      </c>
      <c r="M31" s="100">
        <v>28.46</v>
      </c>
      <c r="N31" s="100">
        <v>2</v>
      </c>
      <c r="O31" s="100">
        <v>0</v>
      </c>
      <c r="P31" s="100">
        <v>0.68</v>
      </c>
      <c r="Q31" s="100">
        <v>9.32</v>
      </c>
      <c r="R31" s="6"/>
      <c r="S31" s="6"/>
      <c r="T31" s="156"/>
      <c r="U31" s="6"/>
    </row>
    <row r="32" spans="1:21" customFormat="1">
      <c r="A32" s="201" t="s">
        <v>651</v>
      </c>
      <c r="B32" s="100">
        <v>15.59</v>
      </c>
      <c r="C32" s="100">
        <v>7.78</v>
      </c>
      <c r="D32" s="100">
        <v>16.57</v>
      </c>
      <c r="E32" s="100">
        <v>6.41</v>
      </c>
      <c r="F32" s="100">
        <v>2</v>
      </c>
      <c r="G32" s="100">
        <v>80.66</v>
      </c>
      <c r="H32" s="100">
        <v>31.34</v>
      </c>
      <c r="I32" s="100">
        <v>10.86</v>
      </c>
      <c r="J32" s="100">
        <v>0.09</v>
      </c>
      <c r="K32" s="100">
        <v>177.8</v>
      </c>
      <c r="L32" s="100">
        <v>17.21</v>
      </c>
      <c r="M32" s="100">
        <v>25.15</v>
      </c>
      <c r="N32" s="100">
        <v>2.2999999999999998</v>
      </c>
      <c r="O32" s="100">
        <v>0</v>
      </c>
      <c r="P32" s="100">
        <v>0.69</v>
      </c>
      <c r="Q32" s="100">
        <v>9.32</v>
      </c>
      <c r="R32" s="6"/>
      <c r="S32" s="6"/>
      <c r="T32" s="156"/>
      <c r="U32" s="6"/>
    </row>
    <row r="33" spans="1:21" customFormat="1">
      <c r="A33" s="201" t="s">
        <v>652</v>
      </c>
      <c r="B33" s="100">
        <v>16.940000000000001</v>
      </c>
      <c r="C33" s="100">
        <v>8.09</v>
      </c>
      <c r="D33" s="100">
        <v>17.809999999999999</v>
      </c>
      <c r="E33" s="100">
        <v>6.81</v>
      </c>
      <c r="F33" s="100">
        <v>2</v>
      </c>
      <c r="G33" s="100">
        <v>80.66</v>
      </c>
      <c r="H33" s="100">
        <v>31.34</v>
      </c>
      <c r="I33" s="100">
        <v>10.84</v>
      </c>
      <c r="J33" s="100">
        <v>0.14000000000000001</v>
      </c>
      <c r="K33" s="100">
        <v>150.19</v>
      </c>
      <c r="L33" s="100">
        <v>14.62</v>
      </c>
      <c r="M33" s="100">
        <v>18.71</v>
      </c>
      <c r="N33" s="100">
        <v>3.7</v>
      </c>
      <c r="O33" s="100">
        <v>0</v>
      </c>
      <c r="P33" s="100">
        <v>0.71</v>
      </c>
      <c r="Q33" s="100">
        <v>9.32</v>
      </c>
      <c r="R33" s="6"/>
      <c r="S33" s="6"/>
      <c r="T33" s="156"/>
      <c r="U33" s="6"/>
    </row>
    <row r="34" spans="1:21" customFormat="1">
      <c r="A34" s="201" t="s">
        <v>653</v>
      </c>
      <c r="B34" s="100">
        <v>18.95</v>
      </c>
      <c r="C34" s="100">
        <v>8.9</v>
      </c>
      <c r="D34" s="100">
        <v>19.84</v>
      </c>
      <c r="E34" s="100">
        <v>7.1</v>
      </c>
      <c r="F34" s="100">
        <v>2</v>
      </c>
      <c r="G34" s="100">
        <v>80.66</v>
      </c>
      <c r="H34" s="100">
        <v>31.34</v>
      </c>
      <c r="I34" s="100">
        <v>10.83</v>
      </c>
      <c r="J34" s="100">
        <v>0.11</v>
      </c>
      <c r="K34" s="100">
        <v>168.22</v>
      </c>
      <c r="L34" s="100">
        <v>16.91</v>
      </c>
      <c r="M34" s="100">
        <v>24.42</v>
      </c>
      <c r="N34" s="100">
        <v>8</v>
      </c>
      <c r="O34" s="100">
        <v>0</v>
      </c>
      <c r="P34" s="100">
        <v>0.74</v>
      </c>
      <c r="Q34" s="100">
        <v>9.32</v>
      </c>
      <c r="R34" s="6"/>
      <c r="S34" s="6"/>
      <c r="T34" s="156"/>
      <c r="U34" s="6"/>
    </row>
    <row r="35" spans="1:21" customFormat="1">
      <c r="A35" s="201" t="s">
        <v>654</v>
      </c>
      <c r="B35" s="100">
        <v>20.65</v>
      </c>
      <c r="C35" s="100">
        <v>9.08</v>
      </c>
      <c r="D35" s="100">
        <v>21.3</v>
      </c>
      <c r="E35" s="100">
        <v>3.99</v>
      </c>
      <c r="F35" s="100">
        <v>2</v>
      </c>
      <c r="G35" s="100">
        <v>80.7</v>
      </c>
      <c r="H35" s="100">
        <v>33.97</v>
      </c>
      <c r="I35" s="100">
        <v>10.83</v>
      </c>
      <c r="J35" s="100">
        <v>0.09</v>
      </c>
      <c r="K35" s="100">
        <v>194.7</v>
      </c>
      <c r="L35" s="100">
        <v>18.47</v>
      </c>
      <c r="M35" s="100">
        <v>28.23</v>
      </c>
      <c r="N35" s="100">
        <v>15.2</v>
      </c>
      <c r="O35" s="100">
        <v>0</v>
      </c>
      <c r="P35" s="100">
        <v>0.75</v>
      </c>
      <c r="Q35" s="100">
        <v>9.32</v>
      </c>
      <c r="R35" s="6"/>
      <c r="S35" s="6"/>
      <c r="T35" s="156"/>
      <c r="U35" s="6"/>
    </row>
    <row r="36" spans="1:21" customFormat="1">
      <c r="A36" s="201" t="s">
        <v>655</v>
      </c>
      <c r="B36" s="100">
        <v>21.61</v>
      </c>
      <c r="C36" s="100">
        <v>9.1199999999999992</v>
      </c>
      <c r="D36" s="100">
        <v>22.09</v>
      </c>
      <c r="E36" s="100">
        <v>6.2</v>
      </c>
      <c r="F36" s="100">
        <v>2</v>
      </c>
      <c r="G36" s="100">
        <v>80.72</v>
      </c>
      <c r="H36" s="100">
        <v>34.01</v>
      </c>
      <c r="I36" s="100">
        <v>10.87</v>
      </c>
      <c r="J36" s="100">
        <v>0.22</v>
      </c>
      <c r="K36" s="100">
        <v>162.77000000000001</v>
      </c>
      <c r="L36" s="100">
        <v>16.38</v>
      </c>
      <c r="M36" s="100">
        <v>22.71</v>
      </c>
      <c r="N36" s="100">
        <v>26.6</v>
      </c>
      <c r="O36" s="100">
        <v>0</v>
      </c>
      <c r="P36" s="100">
        <v>0.74</v>
      </c>
      <c r="Q36" s="100">
        <v>9.32</v>
      </c>
      <c r="R36" s="6"/>
      <c r="S36" s="6"/>
      <c r="T36" s="156"/>
      <c r="U36" s="6"/>
    </row>
    <row r="37" spans="1:21" customFormat="1">
      <c r="A37" s="201" t="s">
        <v>656</v>
      </c>
      <c r="B37" s="100">
        <v>21.7</v>
      </c>
      <c r="C37" s="100">
        <v>9.15</v>
      </c>
      <c r="D37" s="100">
        <v>22.18</v>
      </c>
      <c r="E37" s="100">
        <v>6.47</v>
      </c>
      <c r="F37" s="100">
        <v>2</v>
      </c>
      <c r="G37" s="100">
        <v>80.72</v>
      </c>
      <c r="H37" s="100">
        <v>34.01</v>
      </c>
      <c r="I37" s="100">
        <v>10.92</v>
      </c>
      <c r="J37" s="100">
        <v>0.11</v>
      </c>
      <c r="K37" s="100">
        <v>117.14</v>
      </c>
      <c r="L37" s="100">
        <v>14.11</v>
      </c>
      <c r="M37" s="100">
        <v>16.61</v>
      </c>
      <c r="N37" s="100">
        <v>43.1</v>
      </c>
      <c r="O37" s="100">
        <v>0</v>
      </c>
      <c r="P37" s="100">
        <v>0.74</v>
      </c>
      <c r="Q37" s="100">
        <v>9.33</v>
      </c>
      <c r="R37" s="6"/>
      <c r="S37" s="6"/>
      <c r="T37" s="156"/>
      <c r="U37" s="6"/>
    </row>
    <row r="38" spans="1:21" customFormat="1">
      <c r="A38" s="201" t="s">
        <v>657</v>
      </c>
      <c r="B38" s="100">
        <v>21.54</v>
      </c>
      <c r="C38" s="100">
        <v>9.19</v>
      </c>
      <c r="D38" s="100">
        <v>22.07</v>
      </c>
      <c r="E38" s="100">
        <v>6.36</v>
      </c>
      <c r="F38" s="100">
        <v>2</v>
      </c>
      <c r="G38" s="100">
        <v>80.72</v>
      </c>
      <c r="H38" s="100">
        <v>34.01</v>
      </c>
      <c r="I38" s="100">
        <v>10.95</v>
      </c>
      <c r="J38" s="100">
        <v>0.12</v>
      </c>
      <c r="K38" s="100">
        <v>124</v>
      </c>
      <c r="L38" s="100">
        <v>13.33</v>
      </c>
      <c r="M38" s="100">
        <v>14.29</v>
      </c>
      <c r="N38" s="100">
        <v>58</v>
      </c>
      <c r="O38" s="100">
        <v>0</v>
      </c>
      <c r="P38" s="100">
        <v>0.74</v>
      </c>
      <c r="Q38" s="100">
        <v>9.8699999999999992</v>
      </c>
      <c r="R38" s="6"/>
      <c r="S38" s="6"/>
      <c r="T38" s="156"/>
      <c r="U38" s="6"/>
    </row>
    <row r="39" spans="1:21" customFormat="1">
      <c r="A39" s="201" t="s">
        <v>658</v>
      </c>
      <c r="B39" s="100">
        <v>21.57</v>
      </c>
      <c r="C39" s="100">
        <v>9.25</v>
      </c>
      <c r="D39" s="100">
        <v>22.13</v>
      </c>
      <c r="E39" s="100">
        <v>6.24</v>
      </c>
      <c r="F39" s="100">
        <v>2</v>
      </c>
      <c r="G39" s="100">
        <v>82.59</v>
      </c>
      <c r="H39" s="100">
        <v>33.26</v>
      </c>
      <c r="I39" s="100">
        <v>10.97</v>
      </c>
      <c r="J39" s="100">
        <v>0.1</v>
      </c>
      <c r="K39" s="100">
        <v>216.31</v>
      </c>
      <c r="L39" s="100">
        <v>20.28</v>
      </c>
      <c r="M39" s="100">
        <v>30.65</v>
      </c>
      <c r="N39" s="100">
        <v>103</v>
      </c>
      <c r="O39" s="100">
        <v>0</v>
      </c>
      <c r="P39" s="100">
        <v>0.74</v>
      </c>
      <c r="Q39" s="100">
        <v>9.32</v>
      </c>
      <c r="R39" s="6"/>
      <c r="S39" s="6"/>
      <c r="T39" s="156"/>
      <c r="U39" s="6"/>
    </row>
    <row r="40" spans="1:21" customFormat="1">
      <c r="A40" s="201" t="s">
        <v>659</v>
      </c>
      <c r="B40" s="100">
        <v>21.31</v>
      </c>
      <c r="C40" s="100">
        <v>9.34</v>
      </c>
      <c r="D40" s="100">
        <v>21.96</v>
      </c>
      <c r="E40" s="100">
        <v>6.26</v>
      </c>
      <c r="F40" s="100">
        <v>2</v>
      </c>
      <c r="G40" s="100">
        <v>83.27</v>
      </c>
      <c r="H40" s="100">
        <v>33.24</v>
      </c>
      <c r="I40" s="100">
        <v>11</v>
      </c>
      <c r="J40" s="100">
        <v>0.1</v>
      </c>
      <c r="K40" s="100">
        <v>205.38</v>
      </c>
      <c r="L40" s="100">
        <v>19.21</v>
      </c>
      <c r="M40" s="100">
        <v>25.73</v>
      </c>
      <c r="N40" s="100">
        <v>195.9</v>
      </c>
      <c r="O40" s="100">
        <v>0</v>
      </c>
      <c r="P40" s="100">
        <v>0.73</v>
      </c>
      <c r="Q40" s="100">
        <v>9.32</v>
      </c>
      <c r="R40" s="6"/>
      <c r="S40" s="6"/>
      <c r="T40" s="156"/>
      <c r="U40" s="6"/>
    </row>
    <row r="41" spans="1:21" customFormat="1">
      <c r="A41" s="201" t="s">
        <v>660</v>
      </c>
      <c r="B41" s="100">
        <v>20.92</v>
      </c>
      <c r="C41" s="100">
        <v>9.31</v>
      </c>
      <c r="D41" s="100">
        <v>21.64</v>
      </c>
      <c r="E41" s="100">
        <v>6.46</v>
      </c>
      <c r="F41" s="100">
        <v>2</v>
      </c>
      <c r="G41" s="100">
        <v>83.27</v>
      </c>
      <c r="H41" s="100">
        <v>33.24</v>
      </c>
      <c r="I41" s="100">
        <v>11.01</v>
      </c>
      <c r="J41" s="100">
        <v>0.05</v>
      </c>
      <c r="K41" s="100">
        <v>237.98</v>
      </c>
      <c r="L41" s="100">
        <v>22.8</v>
      </c>
      <c r="M41" s="100">
        <v>33.72</v>
      </c>
      <c r="N41" s="100">
        <v>240</v>
      </c>
      <c r="O41" s="100">
        <v>0</v>
      </c>
      <c r="P41" s="100">
        <v>0.73</v>
      </c>
      <c r="Q41" s="100">
        <v>9.32</v>
      </c>
      <c r="R41" s="6"/>
      <c r="S41" s="6"/>
      <c r="T41" s="156"/>
      <c r="U41" s="6"/>
    </row>
    <row r="42" spans="1:21" customFormat="1">
      <c r="A42" s="201" t="s">
        <v>661</v>
      </c>
      <c r="B42" s="100">
        <v>20.420000000000002</v>
      </c>
      <c r="C42" s="100">
        <v>9.42</v>
      </c>
      <c r="D42" s="100">
        <v>21.3</v>
      </c>
      <c r="E42" s="100">
        <v>6.35</v>
      </c>
      <c r="F42" s="100">
        <v>2</v>
      </c>
      <c r="G42" s="100">
        <v>83.27</v>
      </c>
      <c r="H42" s="100">
        <v>33.24</v>
      </c>
      <c r="I42" s="100">
        <v>11.02</v>
      </c>
      <c r="J42" s="100">
        <v>0.1</v>
      </c>
      <c r="K42" s="100">
        <v>206.98</v>
      </c>
      <c r="L42" s="100">
        <v>22.14</v>
      </c>
      <c r="M42" s="100">
        <v>31.12</v>
      </c>
      <c r="N42" s="100">
        <v>280.7</v>
      </c>
      <c r="O42" s="100">
        <v>0</v>
      </c>
      <c r="P42" s="100">
        <v>0.74</v>
      </c>
      <c r="Q42" s="100">
        <v>9.32</v>
      </c>
      <c r="R42" s="6"/>
      <c r="S42" s="6"/>
      <c r="T42" s="156"/>
      <c r="U42" s="6"/>
    </row>
    <row r="43" spans="1:21" customFormat="1">
      <c r="A43" s="201" t="s">
        <v>662</v>
      </c>
      <c r="B43" s="100">
        <v>19.79</v>
      </c>
      <c r="C43" s="100">
        <v>9.44</v>
      </c>
      <c r="D43" s="100">
        <v>20.8</v>
      </c>
      <c r="E43" s="100">
        <v>6.32</v>
      </c>
      <c r="F43" s="100">
        <v>2</v>
      </c>
      <c r="G43" s="100">
        <v>96.15</v>
      </c>
      <c r="H43" s="100">
        <v>33.880000000000003</v>
      </c>
      <c r="I43" s="100">
        <v>11.03</v>
      </c>
      <c r="J43" s="100">
        <v>0.27</v>
      </c>
      <c r="K43" s="100">
        <v>247.91</v>
      </c>
      <c r="L43" s="100">
        <v>24.72</v>
      </c>
      <c r="M43" s="100">
        <v>36.67</v>
      </c>
      <c r="N43" s="100">
        <v>320.2</v>
      </c>
      <c r="O43" s="100">
        <v>0</v>
      </c>
      <c r="P43" s="100">
        <v>0.74</v>
      </c>
      <c r="Q43" s="100">
        <v>9.32</v>
      </c>
      <c r="R43" s="6"/>
      <c r="S43" s="6"/>
      <c r="T43" s="156"/>
      <c r="U43" s="6"/>
    </row>
    <row r="44" spans="1:21" customFormat="1">
      <c r="A44" s="201" t="s">
        <v>663</v>
      </c>
      <c r="B44" s="100">
        <v>18.989999999999998</v>
      </c>
      <c r="C44" s="100">
        <v>9.52</v>
      </c>
      <c r="D44" s="100">
        <v>20.2</v>
      </c>
      <c r="E44" s="100">
        <v>6.41</v>
      </c>
      <c r="F44" s="100">
        <v>2</v>
      </c>
      <c r="G44" s="100">
        <v>100.83</v>
      </c>
      <c r="H44" s="100">
        <v>33.89</v>
      </c>
      <c r="I44" s="100">
        <v>11.01</v>
      </c>
      <c r="J44" s="100">
        <v>0.15</v>
      </c>
      <c r="K44" s="100">
        <v>216.15</v>
      </c>
      <c r="L44" s="100">
        <v>23.17</v>
      </c>
      <c r="M44" s="100">
        <v>31.88</v>
      </c>
      <c r="N44" s="100">
        <v>357.5</v>
      </c>
      <c r="O44" s="100">
        <v>0</v>
      </c>
      <c r="P44" s="100">
        <v>0.73</v>
      </c>
      <c r="Q44" s="100">
        <v>9.32</v>
      </c>
      <c r="R44" s="6"/>
      <c r="S44" s="6"/>
      <c r="T44" s="156"/>
      <c r="U44" s="6"/>
    </row>
    <row r="45" spans="1:21" customFormat="1">
      <c r="A45" s="201" t="s">
        <v>664</v>
      </c>
      <c r="B45" s="100">
        <v>18.09</v>
      </c>
      <c r="C45" s="100">
        <v>9.65</v>
      </c>
      <c r="D45" s="100">
        <v>19.55</v>
      </c>
      <c r="E45" s="100">
        <v>6.01</v>
      </c>
      <c r="F45" s="100">
        <v>2</v>
      </c>
      <c r="G45" s="100">
        <v>100.83</v>
      </c>
      <c r="H45" s="100">
        <v>33.89</v>
      </c>
      <c r="I45" s="100">
        <v>11</v>
      </c>
      <c r="J45" s="100">
        <v>0.18</v>
      </c>
      <c r="K45" s="100">
        <v>220.82</v>
      </c>
      <c r="L45" s="100">
        <v>22.1</v>
      </c>
      <c r="M45" s="100">
        <v>28.52</v>
      </c>
      <c r="N45" s="100">
        <v>388.5</v>
      </c>
      <c r="O45" s="100">
        <v>0</v>
      </c>
      <c r="P45" s="100">
        <v>0.73</v>
      </c>
      <c r="Q45" s="100">
        <v>9.32</v>
      </c>
      <c r="R45" s="6"/>
      <c r="S45" s="6"/>
      <c r="T45" s="156"/>
      <c r="U45" s="6"/>
    </row>
    <row r="46" spans="1:21" customFormat="1">
      <c r="A46" s="201" t="s">
        <v>665</v>
      </c>
      <c r="B46" s="100">
        <v>17</v>
      </c>
      <c r="C46" s="100">
        <v>9.76</v>
      </c>
      <c r="D46" s="100">
        <v>18.73</v>
      </c>
      <c r="E46" s="100">
        <v>6.44</v>
      </c>
      <c r="F46" s="100">
        <v>2</v>
      </c>
      <c r="G46" s="100">
        <v>100.83</v>
      </c>
      <c r="H46" s="100">
        <v>33.89</v>
      </c>
      <c r="I46" s="100">
        <v>11.05</v>
      </c>
      <c r="J46" s="100">
        <v>0.18</v>
      </c>
      <c r="K46" s="100">
        <v>135.69999999999999</v>
      </c>
      <c r="L46" s="100">
        <v>19.21</v>
      </c>
      <c r="M46" s="100">
        <v>20.07</v>
      </c>
      <c r="N46" s="100">
        <v>438.1</v>
      </c>
      <c r="O46" s="100">
        <v>0</v>
      </c>
      <c r="P46" s="100">
        <v>0.72</v>
      </c>
      <c r="Q46" s="100">
        <v>9.32</v>
      </c>
      <c r="R46" s="6"/>
      <c r="S46" s="6"/>
      <c r="T46" s="156"/>
      <c r="U46" s="6"/>
    </row>
    <row r="47" spans="1:21" customFormat="1">
      <c r="A47" s="201" t="s">
        <v>666</v>
      </c>
      <c r="B47" s="100">
        <v>15.86</v>
      </c>
      <c r="C47" s="100">
        <v>9.9499999999999993</v>
      </c>
      <c r="D47" s="100">
        <v>17.920000000000002</v>
      </c>
      <c r="E47" s="100">
        <v>6.25</v>
      </c>
      <c r="F47" s="100">
        <v>2</v>
      </c>
      <c r="G47" s="100">
        <v>88.36</v>
      </c>
      <c r="H47" s="100">
        <v>36</v>
      </c>
      <c r="I47" s="100">
        <v>11.06</v>
      </c>
      <c r="J47" s="100">
        <v>0.09</v>
      </c>
      <c r="K47" s="100">
        <v>243.19</v>
      </c>
      <c r="L47" s="100">
        <v>22.57</v>
      </c>
      <c r="M47" s="100">
        <v>31.75</v>
      </c>
      <c r="N47" s="100">
        <v>296.2</v>
      </c>
      <c r="O47" s="100">
        <v>0</v>
      </c>
      <c r="P47" s="100">
        <v>0.73</v>
      </c>
      <c r="Q47" s="100">
        <v>9.32</v>
      </c>
      <c r="R47" s="6"/>
      <c r="S47" s="6"/>
      <c r="T47" s="156"/>
      <c r="U47" s="6"/>
    </row>
    <row r="48" spans="1:21" customFormat="1">
      <c r="A48" s="201" t="s">
        <v>667</v>
      </c>
      <c r="B48" s="100">
        <v>14.71</v>
      </c>
      <c r="C48" s="100">
        <v>10.130000000000001</v>
      </c>
      <c r="D48" s="100">
        <v>17.09</v>
      </c>
      <c r="E48" s="100">
        <v>6.44</v>
      </c>
      <c r="F48" s="100">
        <v>2</v>
      </c>
      <c r="G48" s="100">
        <v>83.82</v>
      </c>
      <c r="H48" s="100">
        <v>36.03</v>
      </c>
      <c r="I48" s="100">
        <v>11.02</v>
      </c>
      <c r="J48" s="100">
        <v>0.16</v>
      </c>
      <c r="K48" s="100">
        <v>237.55</v>
      </c>
      <c r="L48" s="100">
        <v>21.72</v>
      </c>
      <c r="M48" s="100">
        <v>27.51</v>
      </c>
      <c r="N48" s="100">
        <v>388</v>
      </c>
      <c r="O48" s="100">
        <v>0</v>
      </c>
      <c r="P48" s="100">
        <v>0.72</v>
      </c>
      <c r="Q48" s="100">
        <v>9.32</v>
      </c>
      <c r="R48" s="6"/>
      <c r="S48" s="6"/>
      <c r="T48" s="156"/>
      <c r="U48" s="6"/>
    </row>
    <row r="49" spans="1:21" customFormat="1">
      <c r="A49" s="201" t="s">
        <v>668</v>
      </c>
      <c r="B49" s="100">
        <v>13.5</v>
      </c>
      <c r="C49" s="100">
        <v>10.09</v>
      </c>
      <c r="D49" s="100">
        <v>16.100000000000001</v>
      </c>
      <c r="E49" s="100">
        <v>5.47</v>
      </c>
      <c r="F49" s="100">
        <v>2</v>
      </c>
      <c r="G49" s="100">
        <v>83.82</v>
      </c>
      <c r="H49" s="100">
        <v>36.03</v>
      </c>
      <c r="I49" s="100">
        <v>10.98</v>
      </c>
      <c r="J49" s="100">
        <v>0.14000000000000001</v>
      </c>
      <c r="K49" s="100">
        <v>176.95</v>
      </c>
      <c r="L49" s="100">
        <v>21.94</v>
      </c>
      <c r="M49" s="100">
        <v>24.73</v>
      </c>
      <c r="N49" s="100">
        <v>530.4</v>
      </c>
      <c r="O49" s="100">
        <v>0</v>
      </c>
      <c r="P49" s="100">
        <v>0.71</v>
      </c>
      <c r="Q49" s="100">
        <v>9.32</v>
      </c>
      <c r="R49" s="6"/>
      <c r="S49" s="6"/>
      <c r="T49" s="156"/>
      <c r="U49" s="6"/>
    </row>
    <row r="50" spans="1:21" customFormat="1">
      <c r="A50" s="201" t="s">
        <v>669</v>
      </c>
      <c r="B50" s="100">
        <v>8.7200000000000006</v>
      </c>
      <c r="C50" s="100">
        <v>11.66</v>
      </c>
      <c r="D50" s="100">
        <v>13.08</v>
      </c>
      <c r="E50" s="100">
        <v>7.53</v>
      </c>
      <c r="F50" s="100">
        <v>2.83</v>
      </c>
      <c r="G50" s="100">
        <v>83.82</v>
      </c>
      <c r="H50" s="100">
        <v>36.03</v>
      </c>
      <c r="I50" s="100">
        <v>10.93</v>
      </c>
      <c r="J50" s="100">
        <v>0.26</v>
      </c>
      <c r="K50" s="100">
        <v>281.07</v>
      </c>
      <c r="L50" s="100">
        <v>26.58</v>
      </c>
      <c r="M50" s="100">
        <v>36.020000000000003</v>
      </c>
      <c r="N50" s="100">
        <v>544.70000000000005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201" t="s">
        <v>670</v>
      </c>
      <c r="B51" s="100">
        <v>2.91</v>
      </c>
      <c r="C51" s="100">
        <v>13.08</v>
      </c>
      <c r="D51" s="100">
        <v>9.17</v>
      </c>
      <c r="E51" s="100">
        <v>6.21</v>
      </c>
      <c r="F51" s="100">
        <v>8.39</v>
      </c>
      <c r="G51" s="100">
        <v>82.13</v>
      </c>
      <c r="H51" s="100">
        <v>36.65</v>
      </c>
      <c r="I51" s="100">
        <v>10.78</v>
      </c>
      <c r="J51" s="100">
        <v>-0.08</v>
      </c>
      <c r="K51" s="100">
        <v>-0.11</v>
      </c>
      <c r="L51" s="100">
        <v>22.22</v>
      </c>
      <c r="M51" s="100">
        <v>24.82</v>
      </c>
      <c r="N51" s="100">
        <v>554.70000000000005</v>
      </c>
      <c r="O51" s="100">
        <v>0</v>
      </c>
      <c r="P51" s="100">
        <v>0.69</v>
      </c>
      <c r="Q51" s="100">
        <v>9.32</v>
      </c>
      <c r="R51" s="6"/>
      <c r="S51" s="6"/>
      <c r="T51" s="156"/>
      <c r="U51" s="6"/>
    </row>
    <row r="52" spans="1:21" customFormat="1">
      <c r="A52" s="201" t="s">
        <v>671</v>
      </c>
      <c r="B52" s="100">
        <v>1.8</v>
      </c>
      <c r="C52" s="100">
        <v>12.26</v>
      </c>
      <c r="D52" s="100">
        <v>7.85</v>
      </c>
      <c r="E52" s="100">
        <v>6.79</v>
      </c>
      <c r="F52" s="100">
        <v>14.95</v>
      </c>
      <c r="G52" s="100">
        <v>81.47</v>
      </c>
      <c r="H52" s="100">
        <v>36.659999999999997</v>
      </c>
      <c r="I52" s="100">
        <v>9.3800000000000008</v>
      </c>
      <c r="J52" s="100">
        <v>7.0000000000000007E-2</v>
      </c>
      <c r="K52" s="100">
        <v>112.89</v>
      </c>
      <c r="L52" s="100">
        <v>20.440000000000001</v>
      </c>
      <c r="M52" s="100">
        <v>21.57</v>
      </c>
      <c r="N52" s="100">
        <v>505.1</v>
      </c>
      <c r="O52" s="100">
        <v>0</v>
      </c>
      <c r="P52" s="100">
        <v>1.83</v>
      </c>
      <c r="Q52" s="100">
        <v>9.32</v>
      </c>
      <c r="R52" s="6"/>
      <c r="S52" s="6"/>
      <c r="T52" s="156"/>
      <c r="U52" s="6"/>
    </row>
    <row r="53" spans="1:21" customFormat="1">
      <c r="A53" s="201" t="s">
        <v>672</v>
      </c>
      <c r="B53" s="100">
        <v>1.65</v>
      </c>
      <c r="C53" s="100">
        <v>11.21</v>
      </c>
      <c r="D53" s="100">
        <v>7.18</v>
      </c>
      <c r="E53" s="100">
        <v>8.66</v>
      </c>
      <c r="F53" s="100">
        <v>28.46</v>
      </c>
      <c r="G53" s="100">
        <v>81.47</v>
      </c>
      <c r="H53" s="100">
        <v>36.659999999999997</v>
      </c>
      <c r="I53" s="100">
        <v>8.3000000000000007</v>
      </c>
      <c r="J53" s="100">
        <v>0.27</v>
      </c>
      <c r="K53" s="100">
        <v>301.04000000000002</v>
      </c>
      <c r="L53" s="100">
        <v>26.11</v>
      </c>
      <c r="M53" s="100">
        <v>34.56</v>
      </c>
      <c r="N53" s="100">
        <v>550.9</v>
      </c>
      <c r="O53" s="100">
        <v>0</v>
      </c>
      <c r="P53" s="100">
        <v>0.7</v>
      </c>
      <c r="Q53" s="100">
        <v>9.32</v>
      </c>
      <c r="R53" s="6"/>
      <c r="S53" s="6"/>
      <c r="T53" s="156"/>
      <c r="U53" s="6"/>
    </row>
    <row r="54" spans="1:21" customFormat="1">
      <c r="A54" s="201" t="s">
        <v>673</v>
      </c>
      <c r="B54" s="100">
        <v>1.71</v>
      </c>
      <c r="C54" s="100">
        <v>13.79</v>
      </c>
      <c r="D54" s="100">
        <v>8.58</v>
      </c>
      <c r="E54" s="100">
        <v>9.92</v>
      </c>
      <c r="F54" s="100">
        <v>47.1</v>
      </c>
      <c r="G54" s="100">
        <v>81.47</v>
      </c>
      <c r="H54" s="100">
        <v>36.659999999999997</v>
      </c>
      <c r="I54" s="100">
        <v>9.68</v>
      </c>
      <c r="J54" s="100">
        <v>0.17</v>
      </c>
      <c r="K54" s="100">
        <v>280.17</v>
      </c>
      <c r="L54" s="100">
        <v>23.79</v>
      </c>
      <c r="M54" s="100">
        <v>28.11</v>
      </c>
      <c r="N54" s="100">
        <v>571.4</v>
      </c>
      <c r="O54" s="100">
        <v>0</v>
      </c>
      <c r="P54" s="100">
        <v>0.77</v>
      </c>
      <c r="Q54" s="100">
        <v>9.32</v>
      </c>
      <c r="R54" s="6"/>
      <c r="S54" s="6"/>
      <c r="T54" s="156"/>
      <c r="U54" s="6"/>
    </row>
    <row r="55" spans="1:21" customFormat="1">
      <c r="A55" s="201" t="s">
        <v>674</v>
      </c>
      <c r="B55" s="100">
        <v>1.73</v>
      </c>
      <c r="C55" s="100">
        <v>14.25</v>
      </c>
      <c r="D55" s="100">
        <v>8.83</v>
      </c>
      <c r="E55" s="100">
        <v>12.08</v>
      </c>
      <c r="F55" s="100">
        <v>56.27</v>
      </c>
      <c r="G55" s="100">
        <v>81.47</v>
      </c>
      <c r="H55" s="100">
        <v>36.659999999999997</v>
      </c>
      <c r="I55" s="100">
        <v>11.58</v>
      </c>
      <c r="J55" s="100">
        <v>0.41</v>
      </c>
      <c r="K55" s="100">
        <v>267.31</v>
      </c>
      <c r="L55" s="100">
        <v>27.49</v>
      </c>
      <c r="M55" s="100">
        <v>36.549999999999997</v>
      </c>
      <c r="N55" s="100">
        <v>590.20000000000005</v>
      </c>
      <c r="O55" s="100">
        <v>0</v>
      </c>
      <c r="P55" s="100">
        <v>0.73</v>
      </c>
      <c r="Q55" s="100">
        <v>9.32</v>
      </c>
      <c r="R55" s="6"/>
      <c r="S55" s="6"/>
      <c r="T55" s="156"/>
      <c r="U55" s="6"/>
    </row>
    <row r="56" spans="1:21" customFormat="1">
      <c r="A56" s="201" t="s">
        <v>675</v>
      </c>
      <c r="B56" s="100">
        <v>1.78</v>
      </c>
      <c r="C56" s="100">
        <v>14.38</v>
      </c>
      <c r="D56" s="100">
        <v>8.9499999999999993</v>
      </c>
      <c r="E56" s="100">
        <v>16.059999999999999</v>
      </c>
      <c r="F56" s="100">
        <v>44.76</v>
      </c>
      <c r="G56" s="100">
        <v>81.47</v>
      </c>
      <c r="H56" s="100">
        <v>36.659999999999997</v>
      </c>
      <c r="I56" s="100">
        <v>12.12</v>
      </c>
      <c r="J56" s="100">
        <v>0.75</v>
      </c>
      <c r="K56" s="100">
        <v>305.51</v>
      </c>
      <c r="L56" s="100">
        <v>30.96</v>
      </c>
      <c r="M56" s="100">
        <v>44.98</v>
      </c>
      <c r="N56" s="100">
        <v>591</v>
      </c>
      <c r="O56" s="100">
        <v>0</v>
      </c>
      <c r="P56" s="100">
        <v>0.8</v>
      </c>
      <c r="Q56" s="100">
        <v>9.32</v>
      </c>
      <c r="R56" s="6"/>
      <c r="S56" s="6"/>
      <c r="T56" s="156"/>
      <c r="U56" s="6"/>
    </row>
    <row r="57" spans="1:21" customFormat="1">
      <c r="A57" s="201" t="s">
        <v>676</v>
      </c>
      <c r="B57" s="100">
        <v>1.84</v>
      </c>
      <c r="C57" s="100">
        <v>14.48</v>
      </c>
      <c r="D57" s="100">
        <v>9.0399999999999991</v>
      </c>
      <c r="E57" s="100">
        <v>16.899999999999999</v>
      </c>
      <c r="F57" s="100">
        <v>259.23</v>
      </c>
      <c r="G57" s="100">
        <v>81.47</v>
      </c>
      <c r="H57" s="100">
        <v>36.659999999999997</v>
      </c>
      <c r="I57" s="100">
        <v>12.08</v>
      </c>
      <c r="J57" s="100">
        <v>0.44</v>
      </c>
      <c r="K57" s="100">
        <v>329.02</v>
      </c>
      <c r="L57" s="100">
        <v>25.31</v>
      </c>
      <c r="M57" s="100">
        <v>31.63</v>
      </c>
      <c r="N57" s="100">
        <v>564.9</v>
      </c>
      <c r="O57" s="100">
        <v>0</v>
      </c>
      <c r="P57" s="100">
        <v>0.77</v>
      </c>
      <c r="Q57" s="100">
        <v>9.32</v>
      </c>
      <c r="R57" s="6"/>
      <c r="S57" s="6"/>
      <c r="T57" s="156"/>
      <c r="U57" s="6"/>
    </row>
    <row r="58" spans="1:21" customFormat="1">
      <c r="A58" s="201" t="s">
        <v>677</v>
      </c>
      <c r="B58" s="100">
        <v>1.89</v>
      </c>
      <c r="C58" s="100">
        <v>14.89</v>
      </c>
      <c r="D58" s="100">
        <v>9.2899999999999991</v>
      </c>
      <c r="E58" s="100">
        <v>15.37</v>
      </c>
      <c r="F58" s="100">
        <v>1.45</v>
      </c>
      <c r="G58" s="100">
        <v>81.47</v>
      </c>
      <c r="H58" s="100">
        <v>36.659999999999997</v>
      </c>
      <c r="I58" s="100">
        <v>11.81</v>
      </c>
      <c r="J58" s="100">
        <v>0.65</v>
      </c>
      <c r="K58" s="100">
        <v>306.39</v>
      </c>
      <c r="L58" s="100">
        <v>29.71</v>
      </c>
      <c r="M58" s="100">
        <v>42.89</v>
      </c>
      <c r="N58" s="100">
        <v>552.79999999999995</v>
      </c>
      <c r="O58" s="100">
        <v>0</v>
      </c>
      <c r="P58" s="100">
        <v>0.76</v>
      </c>
      <c r="Q58" s="100">
        <v>9.32</v>
      </c>
      <c r="R58" s="6"/>
      <c r="S58" s="6"/>
      <c r="T58" s="156"/>
      <c r="U58" s="6"/>
    </row>
    <row r="59" spans="1:21" customFormat="1">
      <c r="A59" s="201" t="s">
        <v>678</v>
      </c>
      <c r="B59" s="100">
        <v>1.86</v>
      </c>
      <c r="C59" s="100">
        <v>14.16</v>
      </c>
      <c r="D59" s="100">
        <v>8.89</v>
      </c>
      <c r="E59" s="100">
        <v>14.99</v>
      </c>
      <c r="F59" s="100">
        <v>33.69</v>
      </c>
      <c r="G59" s="100">
        <v>81.47</v>
      </c>
      <c r="H59" s="100">
        <v>36.659999999999997</v>
      </c>
      <c r="I59" s="100">
        <v>11.04</v>
      </c>
      <c r="J59" s="100">
        <v>0.35</v>
      </c>
      <c r="K59" s="100">
        <v>287.74</v>
      </c>
      <c r="L59" s="100">
        <v>27.04</v>
      </c>
      <c r="M59" s="100">
        <v>37.130000000000003</v>
      </c>
      <c r="N59" s="100">
        <v>518.6</v>
      </c>
      <c r="O59" s="100">
        <v>0</v>
      </c>
      <c r="P59" s="100">
        <v>0.73</v>
      </c>
      <c r="Q59" s="100">
        <v>9.32</v>
      </c>
      <c r="R59" s="6"/>
      <c r="S59" s="6"/>
      <c r="T59" s="156"/>
      <c r="U59" s="6"/>
    </row>
    <row r="60" spans="1:21" customFormat="1">
      <c r="A60" s="201" t="s">
        <v>679</v>
      </c>
      <c r="B60" s="100">
        <v>2.0299999999999998</v>
      </c>
      <c r="C60" s="100">
        <v>15.58</v>
      </c>
      <c r="D60" s="100">
        <v>9.77</v>
      </c>
      <c r="E60" s="100">
        <v>14.47</v>
      </c>
      <c r="F60" s="100">
        <v>38.79</v>
      </c>
      <c r="G60" s="100">
        <v>81.47</v>
      </c>
      <c r="H60" s="100">
        <v>36.659999999999997</v>
      </c>
      <c r="I60" s="100">
        <v>10.039999999999999</v>
      </c>
      <c r="J60" s="100">
        <v>0.38</v>
      </c>
      <c r="K60" s="100">
        <v>300.57</v>
      </c>
      <c r="L60" s="100">
        <v>27.18</v>
      </c>
      <c r="M60" s="100">
        <v>38.68</v>
      </c>
      <c r="N60" s="100">
        <v>464</v>
      </c>
      <c r="O60" s="100">
        <v>0</v>
      </c>
      <c r="P60" s="100">
        <v>0.74</v>
      </c>
      <c r="Q60" s="100">
        <v>9.32</v>
      </c>
      <c r="R60" s="6"/>
      <c r="S60" s="6"/>
      <c r="T60" s="156"/>
      <c r="U60" s="6"/>
    </row>
    <row r="61" spans="1:21" customFormat="1">
      <c r="A61" s="201" t="s">
        <v>680</v>
      </c>
      <c r="B61" s="100">
        <v>2</v>
      </c>
      <c r="C61" s="100">
        <v>16.03</v>
      </c>
      <c r="D61" s="100">
        <v>9.98</v>
      </c>
      <c r="E61" s="100">
        <v>12</v>
      </c>
      <c r="F61" s="100">
        <v>30.55</v>
      </c>
      <c r="G61" s="100">
        <v>81.47</v>
      </c>
      <c r="H61" s="100">
        <v>36.659999999999997</v>
      </c>
      <c r="I61" s="100">
        <v>9.2899999999999991</v>
      </c>
      <c r="J61" s="100">
        <v>0.53</v>
      </c>
      <c r="K61" s="100">
        <v>293.14</v>
      </c>
      <c r="L61" s="100">
        <v>29.6</v>
      </c>
      <c r="M61" s="100">
        <v>43.67</v>
      </c>
      <c r="N61" s="100">
        <v>510.7</v>
      </c>
      <c r="O61" s="100">
        <v>0</v>
      </c>
      <c r="P61" s="100">
        <v>0.73</v>
      </c>
      <c r="Q61" s="100">
        <v>9.32</v>
      </c>
      <c r="R61" s="6"/>
      <c r="S61" s="6"/>
      <c r="T61" s="156"/>
      <c r="U61" s="6"/>
    </row>
    <row r="62" spans="1:21" customFormat="1">
      <c r="A62" s="201" t="s">
        <v>681</v>
      </c>
      <c r="B62" s="100">
        <v>2.1</v>
      </c>
      <c r="C62" s="100">
        <v>15.82</v>
      </c>
      <c r="D62" s="100">
        <v>9.9499999999999993</v>
      </c>
      <c r="E62" s="100">
        <v>11.04</v>
      </c>
      <c r="F62" s="100">
        <v>52.33</v>
      </c>
      <c r="G62" s="100">
        <v>0</v>
      </c>
      <c r="H62" s="100">
        <v>0</v>
      </c>
      <c r="I62" s="100">
        <v>8.73</v>
      </c>
      <c r="J62" s="100">
        <v>0.54</v>
      </c>
      <c r="K62" s="100">
        <v>296.95999999999998</v>
      </c>
      <c r="L62" s="100">
        <v>28.49</v>
      </c>
      <c r="M62" s="100">
        <v>42.17</v>
      </c>
      <c r="N62" s="100">
        <v>451.9</v>
      </c>
      <c r="O62" s="100">
        <v>0</v>
      </c>
      <c r="P62" s="100">
        <v>0.66</v>
      </c>
      <c r="Q62" s="100">
        <v>9.32</v>
      </c>
      <c r="R62" s="6"/>
      <c r="S62" s="6"/>
      <c r="T62" s="156"/>
      <c r="U62" s="6"/>
    </row>
    <row r="63" spans="1:21" customFormat="1">
      <c r="A63" s="201" t="s">
        <v>682</v>
      </c>
      <c r="B63" s="100">
        <v>2.2200000000000002</v>
      </c>
      <c r="C63" s="100">
        <v>14.97</v>
      </c>
      <c r="D63" s="100">
        <v>9.61</v>
      </c>
      <c r="E63" s="100">
        <v>11.33</v>
      </c>
      <c r="F63" s="100">
        <v>44.24</v>
      </c>
      <c r="G63" s="100">
        <v>0</v>
      </c>
      <c r="H63" s="100">
        <v>0</v>
      </c>
      <c r="I63" s="100">
        <v>8.08</v>
      </c>
      <c r="J63" s="100">
        <v>0.41</v>
      </c>
      <c r="K63" s="100">
        <v>325.87</v>
      </c>
      <c r="L63" s="100">
        <v>24.04</v>
      </c>
      <c r="M63" s="100">
        <v>34.24</v>
      </c>
      <c r="N63" s="100">
        <v>308</v>
      </c>
      <c r="O63" s="100">
        <v>0</v>
      </c>
      <c r="P63" s="100">
        <v>0.6</v>
      </c>
      <c r="Q63" s="100">
        <v>9.32</v>
      </c>
      <c r="R63" s="6"/>
      <c r="S63" s="6"/>
      <c r="T63" s="156"/>
      <c r="U63" s="6"/>
    </row>
    <row r="64" spans="1:21" customFormat="1">
      <c r="A64" s="201" t="s">
        <v>683</v>
      </c>
      <c r="B64" s="100">
        <v>2</v>
      </c>
      <c r="C64" s="100">
        <v>13.58</v>
      </c>
      <c r="D64" s="100">
        <v>8.6999999999999993</v>
      </c>
      <c r="E64" s="100">
        <v>10.52</v>
      </c>
      <c r="F64" s="100">
        <v>42.41</v>
      </c>
      <c r="G64" s="100">
        <v>0</v>
      </c>
      <c r="H64" s="100">
        <v>0</v>
      </c>
      <c r="I64" s="100">
        <v>6.97</v>
      </c>
      <c r="J64" s="100">
        <v>0.75</v>
      </c>
      <c r="K64" s="100">
        <v>307.7</v>
      </c>
      <c r="L64" s="100">
        <v>26.91</v>
      </c>
      <c r="M64" s="100">
        <v>42.6</v>
      </c>
      <c r="N64" s="100">
        <v>262</v>
      </c>
      <c r="O64" s="100">
        <v>0</v>
      </c>
      <c r="P64" s="100">
        <v>0.56000000000000005</v>
      </c>
      <c r="Q64" s="100">
        <v>9.32</v>
      </c>
      <c r="R64" s="6"/>
      <c r="S64" s="6"/>
      <c r="T64" s="156"/>
      <c r="U64" s="6"/>
    </row>
    <row r="65" spans="1:21" customFormat="1">
      <c r="A65" s="201" t="s">
        <v>684</v>
      </c>
      <c r="B65" s="100">
        <v>2.34</v>
      </c>
      <c r="C65" s="100">
        <v>17.46</v>
      </c>
      <c r="D65" s="100">
        <v>11</v>
      </c>
      <c r="E65" s="100">
        <v>10.4</v>
      </c>
      <c r="F65" s="100">
        <v>43.05</v>
      </c>
      <c r="G65" s="100">
        <v>0</v>
      </c>
      <c r="H65" s="100">
        <v>0</v>
      </c>
      <c r="I65" s="100">
        <v>5.87</v>
      </c>
      <c r="J65" s="100">
        <v>0.44</v>
      </c>
      <c r="K65" s="100">
        <v>12.63</v>
      </c>
      <c r="L65" s="100">
        <v>16.04</v>
      </c>
      <c r="M65" s="100">
        <v>18.239999999999998</v>
      </c>
      <c r="N65" s="100">
        <v>150.4</v>
      </c>
      <c r="O65" s="100">
        <v>0</v>
      </c>
      <c r="P65" s="100">
        <v>0.62</v>
      </c>
      <c r="Q65" s="100">
        <v>9.32</v>
      </c>
      <c r="R65" s="6"/>
      <c r="S65" s="6"/>
      <c r="T65" s="156"/>
      <c r="U65" s="6"/>
    </row>
    <row r="66" spans="1:21" customFormat="1">
      <c r="A66" s="201" t="s">
        <v>685</v>
      </c>
      <c r="B66" s="100">
        <v>4.78</v>
      </c>
      <c r="C66" s="100">
        <v>21.57</v>
      </c>
      <c r="D66" s="100">
        <v>15.1</v>
      </c>
      <c r="E66" s="100">
        <v>9.74</v>
      </c>
      <c r="F66" s="100">
        <v>48.8</v>
      </c>
      <c r="G66" s="100">
        <v>19.72</v>
      </c>
      <c r="H66" s="100">
        <v>27.71</v>
      </c>
      <c r="I66" s="100">
        <v>5.58</v>
      </c>
      <c r="J66" s="100">
        <v>0.39</v>
      </c>
      <c r="K66" s="100">
        <v>8.43</v>
      </c>
      <c r="L66" s="100">
        <v>16.260000000000002</v>
      </c>
      <c r="M66" s="100">
        <v>19.37</v>
      </c>
      <c r="N66" s="100">
        <v>92.9</v>
      </c>
      <c r="O66" s="100">
        <v>0</v>
      </c>
      <c r="P66" s="100">
        <v>0.62</v>
      </c>
      <c r="Q66" s="100">
        <v>9.32</v>
      </c>
      <c r="R66" s="6"/>
      <c r="S66" s="6"/>
      <c r="T66" s="156"/>
      <c r="U66" s="6"/>
    </row>
    <row r="67" spans="1:21" customFormat="1">
      <c r="A67" s="201" t="s">
        <v>686</v>
      </c>
      <c r="B67" s="100">
        <v>3.1</v>
      </c>
      <c r="C67" s="100">
        <v>18.8</v>
      </c>
      <c r="D67" s="100">
        <v>12.31</v>
      </c>
      <c r="E67" s="100">
        <v>9.33</v>
      </c>
      <c r="F67" s="100">
        <v>45.09</v>
      </c>
      <c r="G67" s="100">
        <v>44.37</v>
      </c>
      <c r="H67" s="100">
        <v>46.42</v>
      </c>
      <c r="I67" s="100">
        <v>5.13</v>
      </c>
      <c r="J67" s="100">
        <v>0.42</v>
      </c>
      <c r="K67" s="100">
        <v>341.03</v>
      </c>
      <c r="L67" s="100">
        <v>19.53</v>
      </c>
      <c r="M67" s="100">
        <v>28.78</v>
      </c>
      <c r="N67" s="100">
        <v>72.900000000000006</v>
      </c>
      <c r="O67" s="100">
        <v>0</v>
      </c>
      <c r="P67" s="100">
        <v>0.59</v>
      </c>
      <c r="Q67" s="100">
        <v>9.32</v>
      </c>
      <c r="R67" s="6"/>
      <c r="S67" s="6"/>
      <c r="T67" s="156"/>
      <c r="U67" s="6"/>
    </row>
    <row r="68" spans="1:21" customFormat="1">
      <c r="A68" s="201" t="s">
        <v>687</v>
      </c>
      <c r="B68" s="100">
        <v>2.04</v>
      </c>
      <c r="C68" s="100">
        <v>18.559999999999999</v>
      </c>
      <c r="D68" s="100">
        <v>11.34</v>
      </c>
      <c r="E68" s="100">
        <v>7.8</v>
      </c>
      <c r="F68" s="100">
        <v>21.82</v>
      </c>
      <c r="G68" s="100">
        <v>44.37</v>
      </c>
      <c r="H68" s="100">
        <v>46.42</v>
      </c>
      <c r="I68" s="100">
        <v>4.62</v>
      </c>
      <c r="J68" s="100">
        <v>0.44</v>
      </c>
      <c r="K68" s="100">
        <v>305.32</v>
      </c>
      <c r="L68" s="100">
        <v>25.06</v>
      </c>
      <c r="M68" s="100">
        <v>43.32</v>
      </c>
      <c r="N68" s="100">
        <v>49.1</v>
      </c>
      <c r="O68" s="100">
        <v>0</v>
      </c>
      <c r="P68" s="100">
        <v>0.59</v>
      </c>
      <c r="Q68" s="100">
        <v>9.32</v>
      </c>
      <c r="R68" s="6"/>
      <c r="S68" s="6"/>
      <c r="T68" s="156"/>
      <c r="U68" s="6"/>
    </row>
    <row r="69" spans="1:21" customFormat="1">
      <c r="A69" s="201" t="s">
        <v>688</v>
      </c>
      <c r="B69" s="100">
        <v>1.72</v>
      </c>
      <c r="C69" s="100">
        <v>16.5</v>
      </c>
      <c r="D69" s="100">
        <v>10</v>
      </c>
      <c r="E69" s="100">
        <v>6.33</v>
      </c>
      <c r="F69" s="100">
        <v>10.91</v>
      </c>
      <c r="G69" s="100">
        <v>44.37</v>
      </c>
      <c r="H69" s="100">
        <v>46.42</v>
      </c>
      <c r="I69" s="100">
        <v>4.51</v>
      </c>
      <c r="J69" s="100">
        <v>0.27</v>
      </c>
      <c r="K69" s="100">
        <v>285.01</v>
      </c>
      <c r="L69" s="100">
        <v>23.68</v>
      </c>
      <c r="M69" s="100">
        <v>39.950000000000003</v>
      </c>
      <c r="N69" s="100">
        <v>46.1</v>
      </c>
      <c r="O69" s="100">
        <v>0</v>
      </c>
      <c r="P69" s="100">
        <v>0.57999999999999996</v>
      </c>
      <c r="Q69" s="100">
        <v>9.32</v>
      </c>
      <c r="R69" s="6"/>
      <c r="S69" s="6"/>
      <c r="T69" s="156"/>
      <c r="U69" s="6"/>
    </row>
    <row r="70" spans="1:21" customFormat="1">
      <c r="A70" s="201" t="s">
        <v>689</v>
      </c>
      <c r="B70" s="100">
        <v>1.79</v>
      </c>
      <c r="C70" s="100">
        <v>14.71</v>
      </c>
      <c r="D70" s="100">
        <v>9.1199999999999992</v>
      </c>
      <c r="E70" s="100">
        <v>5.94</v>
      </c>
      <c r="F70" s="100">
        <v>10.7</v>
      </c>
      <c r="G70" s="100">
        <v>47.95</v>
      </c>
      <c r="H70" s="100">
        <v>41.06</v>
      </c>
      <c r="I70" s="100">
        <v>4.53</v>
      </c>
      <c r="J70" s="100">
        <v>0.46</v>
      </c>
      <c r="K70" s="100">
        <v>297.31</v>
      </c>
      <c r="L70" s="100">
        <v>25.58</v>
      </c>
      <c r="M70" s="100">
        <v>44.87</v>
      </c>
      <c r="N70" s="100">
        <v>39.4</v>
      </c>
      <c r="O70" s="100">
        <v>0</v>
      </c>
      <c r="P70" s="100">
        <v>0.56999999999999995</v>
      </c>
      <c r="Q70" s="100">
        <v>9.32</v>
      </c>
      <c r="R70" s="6"/>
      <c r="S70" s="6"/>
      <c r="T70" s="156"/>
      <c r="U70" s="6"/>
    </row>
    <row r="71" spans="1:21" customFormat="1">
      <c r="A71" s="201" t="s">
        <v>690</v>
      </c>
      <c r="B71" s="100">
        <v>1.87</v>
      </c>
      <c r="C71" s="100">
        <v>13.33</v>
      </c>
      <c r="D71" s="100">
        <v>8.4700000000000006</v>
      </c>
      <c r="E71" s="100">
        <v>5.42</v>
      </c>
      <c r="F71" s="100">
        <v>5.35</v>
      </c>
      <c r="G71" s="100">
        <v>52.42</v>
      </c>
      <c r="H71" s="100">
        <v>37.35</v>
      </c>
      <c r="I71" s="100">
        <v>4.66</v>
      </c>
      <c r="J71" s="100">
        <v>0.52</v>
      </c>
      <c r="K71" s="100">
        <v>310.38</v>
      </c>
      <c r="L71" s="100">
        <v>24.84</v>
      </c>
      <c r="M71" s="100">
        <v>43.08</v>
      </c>
      <c r="N71" s="100">
        <v>35</v>
      </c>
      <c r="O71" s="100">
        <v>0</v>
      </c>
      <c r="P71" s="100">
        <v>0.56999999999999995</v>
      </c>
      <c r="Q71" s="100">
        <v>9.32</v>
      </c>
      <c r="R71" s="6"/>
      <c r="S71" s="6"/>
      <c r="T71" s="156"/>
      <c r="U71" s="6"/>
    </row>
    <row r="72" spans="1:21" customFormat="1">
      <c r="A72" s="201" t="s">
        <v>691</v>
      </c>
      <c r="B72" s="100">
        <v>1.95</v>
      </c>
      <c r="C72" s="100">
        <v>11.8</v>
      </c>
      <c r="D72" s="100">
        <v>7.73</v>
      </c>
      <c r="E72" s="100">
        <v>5.27</v>
      </c>
      <c r="F72" s="100">
        <v>5.39</v>
      </c>
      <c r="G72" s="100">
        <v>52.42</v>
      </c>
      <c r="H72" s="100">
        <v>37.35</v>
      </c>
      <c r="I72" s="100">
        <v>4.8099999999999996</v>
      </c>
      <c r="J72" s="100">
        <v>0.24</v>
      </c>
      <c r="K72" s="100">
        <v>273.54000000000002</v>
      </c>
      <c r="L72" s="100">
        <v>22.56</v>
      </c>
      <c r="M72" s="100">
        <v>37.67</v>
      </c>
      <c r="N72" s="100">
        <v>31.4</v>
      </c>
      <c r="O72" s="100">
        <v>0</v>
      </c>
      <c r="P72" s="100">
        <v>0.56999999999999995</v>
      </c>
      <c r="Q72" s="100">
        <v>9.32</v>
      </c>
      <c r="R72" s="6"/>
      <c r="S72" s="6"/>
      <c r="T72" s="156"/>
      <c r="U72" s="6"/>
    </row>
    <row r="73" spans="1:21" customFormat="1">
      <c r="A73" s="201" t="s">
        <v>692</v>
      </c>
      <c r="B73" s="100">
        <v>2.02</v>
      </c>
      <c r="C73" s="100">
        <v>9.91</v>
      </c>
      <c r="D73" s="100">
        <v>6.8</v>
      </c>
      <c r="E73" s="100">
        <v>5.6</v>
      </c>
      <c r="F73" s="100">
        <v>4.6900000000000004</v>
      </c>
      <c r="G73" s="100">
        <v>52.42</v>
      </c>
      <c r="H73" s="100">
        <v>37.35</v>
      </c>
      <c r="I73" s="100">
        <v>4.99</v>
      </c>
      <c r="J73" s="100">
        <v>0.28000000000000003</v>
      </c>
      <c r="K73" s="100">
        <v>246.21</v>
      </c>
      <c r="L73" s="100">
        <v>20.94</v>
      </c>
      <c r="M73" s="100">
        <v>33.85</v>
      </c>
      <c r="N73" s="100">
        <v>28.2</v>
      </c>
      <c r="O73" s="100">
        <v>0</v>
      </c>
      <c r="P73" s="100">
        <v>0.56999999999999995</v>
      </c>
      <c r="Q73" s="100">
        <v>9.32</v>
      </c>
      <c r="R73" s="6"/>
      <c r="S73" s="6"/>
      <c r="T73" s="156"/>
      <c r="U73" s="6"/>
    </row>
    <row r="74" spans="1:21" customFormat="1">
      <c r="A74" s="201" t="s">
        <v>693</v>
      </c>
      <c r="B74" s="100">
        <v>2.09</v>
      </c>
      <c r="C74" s="100">
        <v>9.58</v>
      </c>
      <c r="D74" s="100">
        <v>6.68</v>
      </c>
      <c r="E74" s="100">
        <v>5.88</v>
      </c>
      <c r="F74" s="100">
        <v>10.29</v>
      </c>
      <c r="G74" s="100">
        <v>51.43</v>
      </c>
      <c r="H74" s="100">
        <v>32.15</v>
      </c>
      <c r="I74" s="100">
        <v>4.3600000000000003</v>
      </c>
      <c r="J74" s="100">
        <v>0.21</v>
      </c>
      <c r="K74" s="100">
        <v>236.09</v>
      </c>
      <c r="L74" s="100">
        <v>20.75</v>
      </c>
      <c r="M74" s="100">
        <v>33.65</v>
      </c>
      <c r="N74" s="100">
        <v>20.3</v>
      </c>
      <c r="O74" s="100">
        <v>0</v>
      </c>
      <c r="P74" s="100">
        <v>0.55000000000000004</v>
      </c>
      <c r="Q74" s="100">
        <v>9.32</v>
      </c>
      <c r="R74" s="6"/>
      <c r="S74" s="6"/>
      <c r="T74" s="156"/>
      <c r="U74" s="6"/>
    </row>
    <row r="75" spans="1:21" customFormat="1">
      <c r="A75" s="201" t="s">
        <v>694</v>
      </c>
      <c r="B75" s="100">
        <v>2.2000000000000002</v>
      </c>
      <c r="C75" s="100">
        <v>8.86</v>
      </c>
      <c r="D75" s="100">
        <v>6.4</v>
      </c>
      <c r="E75" s="100">
        <v>5.41</v>
      </c>
      <c r="F75" s="100">
        <v>4.63</v>
      </c>
      <c r="G75" s="100">
        <v>50.19</v>
      </c>
      <c r="H75" s="100">
        <v>28.65</v>
      </c>
      <c r="I75" s="100">
        <v>3.59</v>
      </c>
      <c r="J75" s="100">
        <v>7.0000000000000007E-2</v>
      </c>
      <c r="K75" s="100">
        <v>209.32</v>
      </c>
      <c r="L75" s="100">
        <v>19.079999999999998</v>
      </c>
      <c r="M75" s="100">
        <v>29.45</v>
      </c>
      <c r="N75" s="100">
        <v>15.1</v>
      </c>
      <c r="O75" s="100">
        <v>0</v>
      </c>
      <c r="P75" s="100">
        <v>0.56000000000000005</v>
      </c>
      <c r="Q75" s="100">
        <v>9.32</v>
      </c>
      <c r="R75" s="6"/>
      <c r="S75" s="6"/>
      <c r="T75" s="156"/>
      <c r="U75" s="6"/>
    </row>
    <row r="76" spans="1:21" customFormat="1">
      <c r="A76" s="201" t="s">
        <v>695</v>
      </c>
      <c r="B76" s="100">
        <v>2.2599999999999998</v>
      </c>
      <c r="C76" s="100">
        <v>9.09</v>
      </c>
      <c r="D76" s="100">
        <v>6.56</v>
      </c>
      <c r="E76" s="100">
        <v>5.21</v>
      </c>
      <c r="F76" s="100">
        <v>5.23</v>
      </c>
      <c r="G76" s="100">
        <v>50.19</v>
      </c>
      <c r="H76" s="100">
        <v>28.65</v>
      </c>
      <c r="I76" s="100">
        <v>4.1399999999999997</v>
      </c>
      <c r="J76" s="100">
        <v>0.22</v>
      </c>
      <c r="K76" s="100">
        <v>227.41</v>
      </c>
      <c r="L76" s="100">
        <v>20.49</v>
      </c>
      <c r="M76" s="100">
        <v>33.24</v>
      </c>
      <c r="N76" s="100">
        <v>10.1</v>
      </c>
      <c r="O76" s="100">
        <v>0</v>
      </c>
      <c r="P76" s="100">
        <v>0.56000000000000005</v>
      </c>
      <c r="Q76" s="100">
        <v>9.32</v>
      </c>
      <c r="R76" s="6"/>
      <c r="S76" s="6"/>
      <c r="T76" s="156"/>
      <c r="U76" s="6"/>
    </row>
    <row r="77" spans="1:21" customFormat="1">
      <c r="A77" s="201" t="s">
        <v>696</v>
      </c>
      <c r="B77" s="100">
        <v>2.38</v>
      </c>
      <c r="C77" s="100">
        <v>9.23</v>
      </c>
      <c r="D77" s="100">
        <v>6.73</v>
      </c>
      <c r="E77" s="100">
        <v>5.27</v>
      </c>
      <c r="F77" s="100">
        <v>2.0099999999999998</v>
      </c>
      <c r="G77" s="100">
        <v>50.19</v>
      </c>
      <c r="H77" s="100">
        <v>28.65</v>
      </c>
      <c r="I77" s="100">
        <v>4.7699999999999996</v>
      </c>
      <c r="J77" s="100">
        <v>0.15</v>
      </c>
      <c r="K77" s="100">
        <v>182.31</v>
      </c>
      <c r="L77" s="100">
        <v>18.940000000000001</v>
      </c>
      <c r="M77" s="100">
        <v>29.53</v>
      </c>
      <c r="N77" s="100">
        <v>6.3</v>
      </c>
      <c r="O77" s="100">
        <v>0</v>
      </c>
      <c r="P77" s="100">
        <v>0.57999999999999996</v>
      </c>
      <c r="Q77" s="100">
        <v>9.32</v>
      </c>
      <c r="R77" s="6"/>
      <c r="S77" s="6"/>
      <c r="T77" s="156"/>
      <c r="U77" s="6"/>
    </row>
    <row r="78" spans="1:21" customFormat="1">
      <c r="A78" s="201" t="s">
        <v>697</v>
      </c>
      <c r="B78" s="100">
        <v>2.4900000000000002</v>
      </c>
      <c r="C78" s="100">
        <v>9.23</v>
      </c>
      <c r="D78" s="100">
        <v>6.82</v>
      </c>
      <c r="E78" s="100">
        <v>5.34</v>
      </c>
      <c r="F78" s="100">
        <v>2</v>
      </c>
      <c r="G78" s="100">
        <v>50.57</v>
      </c>
      <c r="H78" s="100">
        <v>24.68</v>
      </c>
      <c r="I78" s="100">
        <v>4.9000000000000004</v>
      </c>
      <c r="J78" s="100">
        <v>0.24</v>
      </c>
      <c r="K78" s="100">
        <v>177.61</v>
      </c>
      <c r="L78" s="100">
        <v>17.02</v>
      </c>
      <c r="M78" s="100">
        <v>24.79</v>
      </c>
      <c r="N78" s="100">
        <v>3.9</v>
      </c>
      <c r="O78" s="100">
        <v>0</v>
      </c>
      <c r="P78" s="100">
        <v>0.59</v>
      </c>
      <c r="Q78" s="100">
        <v>9.32</v>
      </c>
      <c r="R78" s="6"/>
      <c r="S78" s="6"/>
      <c r="T78" s="156"/>
      <c r="U78" s="6"/>
    </row>
    <row r="79" spans="1:21" customFormat="1">
      <c r="A79" s="201" t="s">
        <v>698</v>
      </c>
      <c r="B79" s="100">
        <v>2.63</v>
      </c>
      <c r="C79" s="100">
        <v>7.9</v>
      </c>
      <c r="D79" s="100">
        <v>6.24</v>
      </c>
      <c r="E79" s="100">
        <v>5.0599999999999996</v>
      </c>
      <c r="F79" s="100">
        <v>2</v>
      </c>
      <c r="G79" s="100">
        <v>51.05</v>
      </c>
      <c r="H79" s="100">
        <v>22.01</v>
      </c>
      <c r="I79" s="100">
        <v>5.16</v>
      </c>
      <c r="J79" s="100">
        <v>0.17</v>
      </c>
      <c r="K79" s="100">
        <v>171.66</v>
      </c>
      <c r="L79" s="100">
        <v>16.579999999999998</v>
      </c>
      <c r="M79" s="100">
        <v>23.73</v>
      </c>
      <c r="N79" s="100">
        <v>3</v>
      </c>
      <c r="O79" s="100">
        <v>0</v>
      </c>
      <c r="P79" s="100">
        <v>0.57999999999999996</v>
      </c>
      <c r="Q79" s="100">
        <v>9.32</v>
      </c>
      <c r="R79" s="6"/>
      <c r="S79" s="6"/>
      <c r="T79" s="156"/>
      <c r="U79" s="6"/>
    </row>
    <row r="80" spans="1:21" customFormat="1">
      <c r="A80" s="201" t="s">
        <v>699</v>
      </c>
      <c r="B80" s="100">
        <v>2.74</v>
      </c>
      <c r="C80" s="100">
        <v>7.34</v>
      </c>
      <c r="D80" s="100">
        <v>6.03</v>
      </c>
      <c r="E80" s="100">
        <v>5.35</v>
      </c>
      <c r="F80" s="100">
        <v>2</v>
      </c>
      <c r="G80" s="100">
        <v>51.05</v>
      </c>
      <c r="H80" s="100">
        <v>22.01</v>
      </c>
      <c r="I80" s="100">
        <v>5.28</v>
      </c>
      <c r="J80" s="100">
        <v>0.17</v>
      </c>
      <c r="K80" s="100">
        <v>154.18</v>
      </c>
      <c r="L80" s="100">
        <v>15.11</v>
      </c>
      <c r="M80" s="100">
        <v>20.03</v>
      </c>
      <c r="N80" s="100">
        <v>2.6</v>
      </c>
      <c r="O80" s="100">
        <v>0</v>
      </c>
      <c r="P80" s="100">
        <v>0.57999999999999996</v>
      </c>
      <c r="Q80" s="100">
        <v>9.32</v>
      </c>
      <c r="R80" s="6"/>
      <c r="S80" s="6"/>
      <c r="T80" s="156"/>
      <c r="U80" s="6"/>
    </row>
    <row r="81" spans="1:21" customFormat="1">
      <c r="A81" s="201" t="s">
        <v>700</v>
      </c>
      <c r="B81" s="100">
        <v>2.86</v>
      </c>
      <c r="C81" s="100">
        <v>7.04</v>
      </c>
      <c r="D81" s="100">
        <v>5.97</v>
      </c>
      <c r="E81" s="100">
        <v>4.3600000000000003</v>
      </c>
      <c r="F81" s="100">
        <v>2</v>
      </c>
      <c r="G81" s="100">
        <v>51.05</v>
      </c>
      <c r="H81" s="100">
        <v>22.01</v>
      </c>
      <c r="I81" s="100">
        <v>5.18</v>
      </c>
      <c r="J81" s="100">
        <v>0.2</v>
      </c>
      <c r="K81" s="100">
        <v>165.79</v>
      </c>
      <c r="L81" s="100">
        <v>16.03</v>
      </c>
      <c r="M81" s="100">
        <v>22.35</v>
      </c>
      <c r="N81" s="100">
        <v>2.4</v>
      </c>
      <c r="O81" s="100">
        <v>0</v>
      </c>
      <c r="P81" s="100">
        <v>0.59</v>
      </c>
      <c r="Q81" s="100">
        <v>9.32</v>
      </c>
      <c r="R81" s="6"/>
      <c r="S81" s="6"/>
      <c r="T81" s="156"/>
      <c r="U81" s="6"/>
    </row>
    <row r="82" spans="1:21" customFormat="1">
      <c r="A82" s="201" t="s">
        <v>701</v>
      </c>
      <c r="B82" s="100">
        <v>2.96</v>
      </c>
      <c r="C82" s="100">
        <v>7.06</v>
      </c>
      <c r="D82" s="100">
        <v>6.07</v>
      </c>
      <c r="E82" s="100">
        <v>5.72</v>
      </c>
      <c r="F82" s="100">
        <v>2</v>
      </c>
      <c r="G82" s="100">
        <v>51.34</v>
      </c>
      <c r="H82" s="100">
        <v>23.22</v>
      </c>
      <c r="I82" s="100">
        <v>5.31</v>
      </c>
      <c r="J82" s="100">
        <v>0.2</v>
      </c>
      <c r="K82" s="100">
        <v>162.46</v>
      </c>
      <c r="L82" s="100">
        <v>15.83</v>
      </c>
      <c r="M82" s="100">
        <v>21.81</v>
      </c>
      <c r="N82" s="100">
        <v>2.4</v>
      </c>
      <c r="O82" s="100">
        <v>0</v>
      </c>
      <c r="P82" s="100">
        <v>0.59</v>
      </c>
      <c r="Q82" s="100">
        <v>9.32</v>
      </c>
      <c r="R82" s="6"/>
      <c r="S82" s="6"/>
      <c r="T82" s="156"/>
      <c r="U82" s="6"/>
    </row>
    <row r="83" spans="1:21" customFormat="1">
      <c r="A83" s="201" t="s">
        <v>702</v>
      </c>
      <c r="B83" s="100">
        <v>3.11</v>
      </c>
      <c r="C83" s="100">
        <v>6.79</v>
      </c>
      <c r="D83" s="100">
        <v>6.04</v>
      </c>
      <c r="E83" s="100">
        <v>5.58</v>
      </c>
      <c r="F83" s="100">
        <v>2</v>
      </c>
      <c r="G83" s="100">
        <v>51.72</v>
      </c>
      <c r="H83" s="100">
        <v>24.03</v>
      </c>
      <c r="I83" s="100">
        <v>5.58</v>
      </c>
      <c r="J83" s="100">
        <v>0.2</v>
      </c>
      <c r="K83" s="100">
        <v>169.15</v>
      </c>
      <c r="L83" s="100">
        <v>16.28</v>
      </c>
      <c r="M83" s="100">
        <v>22.95</v>
      </c>
      <c r="N83" s="100">
        <v>2.4</v>
      </c>
      <c r="O83" s="100">
        <v>0</v>
      </c>
      <c r="P83" s="100">
        <v>0.59</v>
      </c>
      <c r="Q83" s="100">
        <v>9.32</v>
      </c>
      <c r="R83" s="6"/>
      <c r="S83" s="6"/>
      <c r="T83" s="156"/>
      <c r="U83" s="6"/>
    </row>
    <row r="84" spans="1:21" customFormat="1">
      <c r="A84" s="201" t="s">
        <v>703</v>
      </c>
      <c r="B84" s="100">
        <v>3.25</v>
      </c>
      <c r="C84" s="100">
        <v>6.78</v>
      </c>
      <c r="D84" s="100">
        <v>6.15</v>
      </c>
      <c r="E84" s="100">
        <v>5.58</v>
      </c>
      <c r="F84" s="100">
        <v>2</v>
      </c>
      <c r="G84" s="100">
        <v>51.72</v>
      </c>
      <c r="H84" s="100">
        <v>24.03</v>
      </c>
      <c r="I84" s="100">
        <v>5.74</v>
      </c>
      <c r="J84" s="100">
        <v>0.12</v>
      </c>
      <c r="K84" s="100">
        <v>166.53</v>
      </c>
      <c r="L84" s="100">
        <v>16</v>
      </c>
      <c r="M84" s="100">
        <v>22.29</v>
      </c>
      <c r="N84" s="100">
        <v>2.4</v>
      </c>
      <c r="O84" s="100">
        <v>0</v>
      </c>
      <c r="P84" s="100">
        <v>0.59</v>
      </c>
      <c r="Q84" s="100">
        <v>9.32</v>
      </c>
      <c r="R84" s="6"/>
      <c r="S84" s="6"/>
      <c r="T84" s="156"/>
      <c r="U84" s="6"/>
    </row>
    <row r="85" spans="1:21" customFormat="1">
      <c r="A85" s="201" t="s">
        <v>704</v>
      </c>
      <c r="B85" s="100">
        <v>3.44</v>
      </c>
      <c r="C85" s="100">
        <v>6.74</v>
      </c>
      <c r="D85" s="100">
        <v>6.28</v>
      </c>
      <c r="E85" s="100">
        <v>5.58</v>
      </c>
      <c r="F85" s="100">
        <v>2</v>
      </c>
      <c r="G85" s="100">
        <v>51.72</v>
      </c>
      <c r="H85" s="100">
        <v>24.03</v>
      </c>
      <c r="I85" s="100">
        <v>5.97</v>
      </c>
      <c r="J85" s="100">
        <v>0.12</v>
      </c>
      <c r="K85" s="100">
        <v>185.11</v>
      </c>
      <c r="L85" s="100">
        <v>17.73</v>
      </c>
      <c r="M85" s="100">
        <v>26.65</v>
      </c>
      <c r="N85" s="100">
        <v>2.4</v>
      </c>
      <c r="O85" s="100">
        <v>0</v>
      </c>
      <c r="P85" s="100">
        <v>0.61</v>
      </c>
      <c r="Q85" s="100">
        <v>9.32</v>
      </c>
      <c r="R85" s="6"/>
      <c r="S85" s="6"/>
      <c r="T85" s="156"/>
      <c r="U85" s="6"/>
    </row>
    <row r="86" spans="1:21" customFormat="1">
      <c r="A86" s="201" t="s">
        <v>705</v>
      </c>
      <c r="B86" s="100">
        <v>3.55</v>
      </c>
      <c r="C86" s="100">
        <v>6.77</v>
      </c>
      <c r="D86" s="100">
        <v>6.39</v>
      </c>
      <c r="E86" s="100">
        <v>5.66</v>
      </c>
      <c r="F86" s="100">
        <v>2</v>
      </c>
      <c r="G86" s="100">
        <v>57.39</v>
      </c>
      <c r="H86" s="100">
        <v>24.39</v>
      </c>
      <c r="I86" s="100">
        <v>6.22</v>
      </c>
      <c r="J86" s="100">
        <v>0.11</v>
      </c>
      <c r="K86" s="100">
        <v>187.58</v>
      </c>
      <c r="L86" s="100">
        <v>17.149999999999999</v>
      </c>
      <c r="M86" s="100">
        <v>25.11</v>
      </c>
      <c r="N86" s="100">
        <v>2.4</v>
      </c>
      <c r="O86" s="100">
        <v>0</v>
      </c>
      <c r="P86" s="100">
        <v>0.61</v>
      </c>
      <c r="Q86" s="100">
        <v>9.32</v>
      </c>
      <c r="R86" s="6"/>
      <c r="S86" s="6"/>
      <c r="T86" s="156"/>
      <c r="U86" s="6"/>
    </row>
    <row r="87" spans="1:21" customFormat="1">
      <c r="A87" s="201" t="s">
        <v>706</v>
      </c>
      <c r="B87" s="100">
        <v>3.63</v>
      </c>
      <c r="C87" s="100">
        <v>7.28</v>
      </c>
      <c r="D87" s="100">
        <v>6.72</v>
      </c>
      <c r="E87" s="100">
        <v>5.86</v>
      </c>
      <c r="F87" s="100">
        <v>2</v>
      </c>
      <c r="G87" s="100">
        <v>64.48</v>
      </c>
      <c r="H87" s="100">
        <v>24.98</v>
      </c>
      <c r="I87" s="100">
        <v>6.31</v>
      </c>
      <c r="J87" s="100">
        <v>0.14000000000000001</v>
      </c>
      <c r="K87" s="100">
        <v>185.9</v>
      </c>
      <c r="L87" s="100">
        <v>18.53</v>
      </c>
      <c r="M87" s="100">
        <v>28.59</v>
      </c>
      <c r="N87" s="100">
        <v>2.2000000000000002</v>
      </c>
      <c r="O87" s="100">
        <v>0</v>
      </c>
      <c r="P87" s="100">
        <v>0.62</v>
      </c>
      <c r="Q87" s="100">
        <v>9.32</v>
      </c>
      <c r="R87" s="6"/>
      <c r="S87" s="6"/>
      <c r="T87" s="156"/>
      <c r="U87" s="6"/>
    </row>
    <row r="88" spans="1:21" customFormat="1">
      <c r="A88" s="201" t="s">
        <v>707</v>
      </c>
      <c r="B88" s="100">
        <v>3.83</v>
      </c>
      <c r="C88" s="100">
        <v>7.44</v>
      </c>
      <c r="D88" s="100">
        <v>6.96</v>
      </c>
      <c r="E88" s="100">
        <v>6.05</v>
      </c>
      <c r="F88" s="100">
        <v>2</v>
      </c>
      <c r="G88" s="100">
        <v>64.48</v>
      </c>
      <c r="H88" s="100">
        <v>24.98</v>
      </c>
      <c r="I88" s="100">
        <v>6.71</v>
      </c>
      <c r="J88" s="100">
        <v>0.18</v>
      </c>
      <c r="K88" s="100">
        <v>175.76</v>
      </c>
      <c r="L88" s="100">
        <v>16.690000000000001</v>
      </c>
      <c r="M88" s="100">
        <v>24.01</v>
      </c>
      <c r="N88" s="100">
        <v>2.2000000000000002</v>
      </c>
      <c r="O88" s="100">
        <v>0</v>
      </c>
      <c r="P88" s="100">
        <v>0.65</v>
      </c>
      <c r="Q88" s="100">
        <v>9.32</v>
      </c>
      <c r="R88" s="6"/>
      <c r="S88" s="6"/>
      <c r="T88" s="156"/>
      <c r="U88" s="6"/>
    </row>
    <row r="89" spans="1:21" customFormat="1">
      <c r="A89" s="201" t="s">
        <v>708</v>
      </c>
      <c r="B89" s="100">
        <v>4</v>
      </c>
      <c r="C89" s="100">
        <v>7.38</v>
      </c>
      <c r="D89" s="100">
        <v>7.07</v>
      </c>
      <c r="E89" s="100">
        <v>5.64</v>
      </c>
      <c r="F89" s="100">
        <v>2</v>
      </c>
      <c r="G89" s="100">
        <v>64.48</v>
      </c>
      <c r="H89" s="100">
        <v>24.98</v>
      </c>
      <c r="I89" s="100">
        <v>7.04</v>
      </c>
      <c r="J89" s="100">
        <v>0.22</v>
      </c>
      <c r="K89" s="100">
        <v>219.68</v>
      </c>
      <c r="L89" s="100">
        <v>19.89</v>
      </c>
      <c r="M89" s="100">
        <v>32.04</v>
      </c>
      <c r="N89" s="100">
        <v>2.1</v>
      </c>
      <c r="O89" s="100">
        <v>0</v>
      </c>
      <c r="P89" s="100">
        <v>0.64</v>
      </c>
      <c r="Q89" s="100">
        <v>9.32</v>
      </c>
      <c r="R89" s="6"/>
      <c r="S89" s="6"/>
      <c r="T89" s="156"/>
      <c r="U89" s="6"/>
    </row>
    <row r="90" spans="1:21" customFormat="1">
      <c r="A90" s="201" t="s">
        <v>709</v>
      </c>
      <c r="B90" s="100">
        <v>4.12</v>
      </c>
      <c r="C90" s="100">
        <v>7.75</v>
      </c>
      <c r="D90" s="100">
        <v>7.35</v>
      </c>
      <c r="E90" s="100">
        <v>6.2</v>
      </c>
      <c r="F90" s="100">
        <v>2</v>
      </c>
      <c r="G90" s="100">
        <v>67.569999999999993</v>
      </c>
      <c r="H90" s="100">
        <v>26.22</v>
      </c>
      <c r="I90" s="100">
        <v>7.15</v>
      </c>
      <c r="J90" s="100">
        <v>0.27</v>
      </c>
      <c r="K90" s="100">
        <v>233.48</v>
      </c>
      <c r="L90" s="100">
        <v>21.19</v>
      </c>
      <c r="M90" s="100">
        <v>35.28</v>
      </c>
      <c r="N90" s="100">
        <v>2</v>
      </c>
      <c r="O90" s="100">
        <v>0</v>
      </c>
      <c r="P90" s="100">
        <v>0.65</v>
      </c>
      <c r="Q90" s="100">
        <v>9.32</v>
      </c>
      <c r="R90" s="6"/>
      <c r="S90" s="6"/>
      <c r="T90" s="156"/>
      <c r="U90" s="6"/>
    </row>
    <row r="91" spans="1:21" customFormat="1">
      <c r="A91" s="201" t="s">
        <v>710</v>
      </c>
      <c r="B91" s="100">
        <v>4.17</v>
      </c>
      <c r="C91" s="100">
        <v>8.17</v>
      </c>
      <c r="D91" s="100">
        <v>7.61</v>
      </c>
      <c r="E91" s="100">
        <v>5.77</v>
      </c>
      <c r="F91" s="100">
        <v>2</v>
      </c>
      <c r="G91" s="100">
        <v>71.260000000000005</v>
      </c>
      <c r="H91" s="100">
        <v>27.06</v>
      </c>
      <c r="I91" s="100">
        <v>7.3</v>
      </c>
      <c r="J91" s="100">
        <v>0.22</v>
      </c>
      <c r="K91" s="100">
        <v>246.3</v>
      </c>
      <c r="L91" s="100">
        <v>22.42</v>
      </c>
      <c r="M91" s="100">
        <v>38.28</v>
      </c>
      <c r="N91" s="100">
        <v>2.1</v>
      </c>
      <c r="O91" s="100">
        <v>0</v>
      </c>
      <c r="P91" s="100">
        <v>0.66</v>
      </c>
      <c r="Q91" s="100">
        <v>9.32</v>
      </c>
      <c r="R91" s="6"/>
      <c r="S91" s="6"/>
      <c r="T91" s="156"/>
      <c r="U91" s="6"/>
    </row>
    <row r="92" spans="1:21" customFormat="1">
      <c r="A92" s="201" t="s">
        <v>711</v>
      </c>
      <c r="B92" s="100">
        <v>4.07</v>
      </c>
      <c r="C92" s="100">
        <v>8.99</v>
      </c>
      <c r="D92" s="100">
        <v>7.96</v>
      </c>
      <c r="E92" s="100">
        <v>5.56</v>
      </c>
      <c r="F92" s="100">
        <v>2</v>
      </c>
      <c r="G92" s="100">
        <v>71.260000000000005</v>
      </c>
      <c r="H92" s="100">
        <v>27.06</v>
      </c>
      <c r="I92" s="100">
        <v>7.29</v>
      </c>
      <c r="J92" s="100">
        <v>0.2</v>
      </c>
      <c r="K92" s="100">
        <v>232.41</v>
      </c>
      <c r="L92" s="100">
        <v>20.55</v>
      </c>
      <c r="M92" s="100">
        <v>33.590000000000003</v>
      </c>
      <c r="N92" s="100">
        <v>2.2999999999999998</v>
      </c>
      <c r="O92" s="100">
        <v>0</v>
      </c>
      <c r="P92" s="100">
        <v>0.66</v>
      </c>
      <c r="Q92" s="100">
        <v>9.32</v>
      </c>
      <c r="R92" s="6"/>
      <c r="S92" s="6"/>
      <c r="T92" s="156"/>
      <c r="U92" s="6"/>
    </row>
    <row r="93" spans="1:21" customFormat="1">
      <c r="A93" s="201" t="s">
        <v>712</v>
      </c>
      <c r="B93" s="100">
        <v>4.28</v>
      </c>
      <c r="C93" s="100">
        <v>9.5299999999999994</v>
      </c>
      <c r="D93" s="100">
        <v>8.42</v>
      </c>
      <c r="E93" s="100">
        <v>5.73</v>
      </c>
      <c r="F93" s="100">
        <v>2</v>
      </c>
      <c r="G93" s="100">
        <v>71.260000000000005</v>
      </c>
      <c r="H93" s="100">
        <v>27.06</v>
      </c>
      <c r="I93" s="100">
        <v>7.22</v>
      </c>
      <c r="J93" s="100">
        <v>0.19</v>
      </c>
      <c r="K93" s="100">
        <v>280.77</v>
      </c>
      <c r="L93" s="100">
        <v>21.93</v>
      </c>
      <c r="M93" s="100">
        <v>36.840000000000003</v>
      </c>
      <c r="N93" s="100">
        <v>2.2999999999999998</v>
      </c>
      <c r="O93" s="100">
        <v>0</v>
      </c>
      <c r="P93" s="100">
        <v>0.66</v>
      </c>
      <c r="Q93" s="100">
        <v>9.32</v>
      </c>
      <c r="R93" s="6"/>
      <c r="S93" s="6"/>
      <c r="T93" s="156"/>
      <c r="U93" s="6"/>
    </row>
    <row r="94" spans="1:21" customFormat="1">
      <c r="A94" s="201" t="s">
        <v>713</v>
      </c>
      <c r="B94" s="100">
        <v>4.7699999999999996</v>
      </c>
      <c r="C94" s="100">
        <v>10.53</v>
      </c>
      <c r="D94" s="100">
        <v>9.33</v>
      </c>
      <c r="E94" s="100">
        <v>5.76</v>
      </c>
      <c r="F94" s="100">
        <v>2</v>
      </c>
      <c r="G94" s="100">
        <v>67.84</v>
      </c>
      <c r="H94" s="100">
        <v>26.45</v>
      </c>
      <c r="I94" s="100">
        <v>7.22</v>
      </c>
      <c r="J94" s="100">
        <v>0.11</v>
      </c>
      <c r="K94" s="100">
        <v>186.52</v>
      </c>
      <c r="L94" s="100">
        <v>18.29</v>
      </c>
      <c r="M94" s="100">
        <v>27.86</v>
      </c>
      <c r="N94" s="100">
        <v>2.5</v>
      </c>
      <c r="O94" s="100">
        <v>0</v>
      </c>
      <c r="P94" s="100">
        <v>0.66</v>
      </c>
      <c r="Q94" s="100">
        <v>9.32</v>
      </c>
      <c r="R94" s="6"/>
      <c r="S94" s="6"/>
      <c r="T94" s="156"/>
      <c r="U94" s="6"/>
    </row>
    <row r="95" spans="1:21" customFormat="1">
      <c r="A95" s="201" t="s">
        <v>714</v>
      </c>
      <c r="B95" s="100">
        <v>5.05</v>
      </c>
      <c r="C95" s="100">
        <v>10.220000000000001</v>
      </c>
      <c r="D95" s="100">
        <v>9.39</v>
      </c>
      <c r="E95" s="100">
        <v>5.84</v>
      </c>
      <c r="F95" s="100">
        <v>2</v>
      </c>
      <c r="G95" s="100">
        <v>63.55</v>
      </c>
      <c r="H95" s="100">
        <v>26.04</v>
      </c>
      <c r="I95" s="100">
        <v>7.15</v>
      </c>
      <c r="J95" s="100">
        <v>0.14000000000000001</v>
      </c>
      <c r="K95" s="100">
        <v>297.54000000000002</v>
      </c>
      <c r="L95" s="100">
        <v>24.18</v>
      </c>
      <c r="M95" s="100">
        <v>42.33</v>
      </c>
      <c r="N95" s="100">
        <v>2.2000000000000002</v>
      </c>
      <c r="O95" s="100">
        <v>0</v>
      </c>
      <c r="P95" s="100">
        <v>0.67</v>
      </c>
      <c r="Q95" s="100">
        <v>9.32</v>
      </c>
      <c r="R95" s="6"/>
      <c r="S95" s="6"/>
      <c r="T95" s="156"/>
      <c r="U95" s="6"/>
    </row>
    <row r="96" spans="1:21" customFormat="1">
      <c r="A96" s="201" t="s">
        <v>715</v>
      </c>
      <c r="B96" s="100">
        <v>5.36</v>
      </c>
      <c r="C96" s="100">
        <v>10.46</v>
      </c>
      <c r="D96" s="100">
        <v>9.76</v>
      </c>
      <c r="E96" s="100">
        <v>6.23</v>
      </c>
      <c r="F96" s="100">
        <v>2</v>
      </c>
      <c r="G96" s="100">
        <v>63.55</v>
      </c>
      <c r="H96" s="100">
        <v>26.04</v>
      </c>
      <c r="I96" s="100">
        <v>7.08</v>
      </c>
      <c r="J96" s="100">
        <v>0.13</v>
      </c>
      <c r="K96" s="100">
        <v>241.41</v>
      </c>
      <c r="L96" s="100">
        <v>21.49</v>
      </c>
      <c r="M96" s="100">
        <v>35.76</v>
      </c>
      <c r="N96" s="100">
        <v>2.2999999999999998</v>
      </c>
      <c r="O96" s="100">
        <v>0</v>
      </c>
      <c r="P96" s="100">
        <v>0.66</v>
      </c>
      <c r="Q96" s="100">
        <v>9.32</v>
      </c>
      <c r="R96" s="6"/>
      <c r="S96" s="6"/>
      <c r="T96" s="156"/>
      <c r="U96" s="6"/>
    </row>
    <row r="97" spans="1:28" customFormat="1">
      <c r="A97" s="201" t="s">
        <v>716</v>
      </c>
      <c r="B97" s="100">
        <v>5.1100000000000003</v>
      </c>
      <c r="C97" s="100">
        <v>9.65</v>
      </c>
      <c r="D97" s="100">
        <v>9.14</v>
      </c>
      <c r="E97" s="100">
        <v>6.07</v>
      </c>
      <c r="F97" s="100">
        <v>2</v>
      </c>
      <c r="G97" s="100">
        <v>63.55</v>
      </c>
      <c r="H97" s="100">
        <v>26.04</v>
      </c>
      <c r="I97" s="100">
        <v>7.11</v>
      </c>
      <c r="J97" s="100">
        <v>0.31</v>
      </c>
      <c r="K97" s="100">
        <v>246.31</v>
      </c>
      <c r="L97" s="100">
        <v>22.21</v>
      </c>
      <c r="M97" s="100">
        <v>37.6</v>
      </c>
      <c r="N97" s="100">
        <v>2.1</v>
      </c>
      <c r="O97" s="100">
        <v>0</v>
      </c>
      <c r="P97" s="100">
        <v>0.66</v>
      </c>
      <c r="Q97" s="100">
        <v>9.32</v>
      </c>
      <c r="R97" s="6"/>
      <c r="S97" s="6"/>
      <c r="T97" s="156"/>
      <c r="U97" s="6"/>
    </row>
    <row r="98" spans="1:28" customFormat="1">
      <c r="A98" s="201" t="s">
        <v>717</v>
      </c>
      <c r="B98" s="100">
        <v>5</v>
      </c>
      <c r="C98" s="100">
        <v>9.6</v>
      </c>
      <c r="D98" s="100">
        <v>9.0299999999999994</v>
      </c>
      <c r="E98" s="100">
        <v>6.49</v>
      </c>
      <c r="F98" s="100">
        <v>2</v>
      </c>
      <c r="G98" s="100">
        <v>67.430000000000007</v>
      </c>
      <c r="H98" s="100">
        <v>27.63</v>
      </c>
      <c r="I98" s="100">
        <v>7.09</v>
      </c>
      <c r="J98" s="100">
        <v>0.16</v>
      </c>
      <c r="K98" s="100">
        <v>245.3</v>
      </c>
      <c r="L98" s="100">
        <v>22.49</v>
      </c>
      <c r="M98" s="100">
        <v>38.21</v>
      </c>
      <c r="N98" s="100">
        <v>2.2999999999999998</v>
      </c>
      <c r="O98" s="100">
        <v>0</v>
      </c>
      <c r="P98" s="100">
        <v>0.67</v>
      </c>
      <c r="Q98" s="100">
        <v>9.32</v>
      </c>
      <c r="R98" s="6"/>
      <c r="S98" s="6"/>
      <c r="T98" s="156"/>
      <c r="U98" s="6"/>
    </row>
    <row r="99" spans="1:28" customFormat="1">
      <c r="A99" s="201" t="s">
        <v>718</v>
      </c>
      <c r="B99" s="100">
        <v>7.16</v>
      </c>
      <c r="C99" s="100">
        <v>11.9</v>
      </c>
      <c r="D99" s="100">
        <v>11.96</v>
      </c>
      <c r="E99" s="100">
        <v>6.24</v>
      </c>
      <c r="F99" s="100">
        <v>2</v>
      </c>
      <c r="G99" s="100">
        <v>72.290000000000006</v>
      </c>
      <c r="H99" s="100">
        <v>28.7</v>
      </c>
      <c r="I99" s="100">
        <v>7.09</v>
      </c>
      <c r="J99" s="100">
        <v>0.02</v>
      </c>
      <c r="K99" s="100">
        <v>126.19</v>
      </c>
      <c r="L99" s="100">
        <v>15.85</v>
      </c>
      <c r="M99" s="100">
        <v>21.56</v>
      </c>
      <c r="N99" s="100">
        <v>2.2999999999999998</v>
      </c>
      <c r="O99" s="100">
        <v>0</v>
      </c>
      <c r="P99" s="100">
        <v>0.67</v>
      </c>
      <c r="Q99" s="100">
        <v>9.32</v>
      </c>
      <c r="R99" s="6"/>
      <c r="S99" s="6"/>
      <c r="T99" s="156"/>
      <c r="U99" s="6"/>
    </row>
    <row r="100" spans="1:28" customFormat="1">
      <c r="A100" s="201" t="s">
        <v>719</v>
      </c>
      <c r="B100" s="100">
        <v>6.89</v>
      </c>
      <c r="C100" s="100">
        <v>10.89</v>
      </c>
      <c r="D100" s="100">
        <v>11.22</v>
      </c>
      <c r="E100" s="100">
        <v>6.14</v>
      </c>
      <c r="F100" s="100">
        <v>2</v>
      </c>
      <c r="G100" s="100">
        <v>72.290000000000006</v>
      </c>
      <c r="H100" s="100">
        <v>28.7</v>
      </c>
      <c r="I100" s="100">
        <v>7.09</v>
      </c>
      <c r="J100" s="100">
        <v>0.09</v>
      </c>
      <c r="K100" s="100">
        <v>275.33</v>
      </c>
      <c r="L100" s="100">
        <v>22.58</v>
      </c>
      <c r="M100" s="100">
        <v>38.43</v>
      </c>
      <c r="N100" s="100">
        <v>2.2000000000000002</v>
      </c>
      <c r="O100" s="100">
        <v>0</v>
      </c>
      <c r="P100" s="100">
        <v>0.67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720</v>
      </c>
      <c r="B101" s="100">
        <v>7.64</v>
      </c>
      <c r="C101" s="100">
        <v>11.17</v>
      </c>
      <c r="D101" s="100">
        <v>11.97</v>
      </c>
      <c r="E101" s="100">
        <v>6.8</v>
      </c>
      <c r="F101" s="100">
        <v>2</v>
      </c>
      <c r="G101" s="100">
        <v>72.290000000000006</v>
      </c>
      <c r="H101" s="100">
        <v>28.7</v>
      </c>
      <c r="I101" s="100">
        <v>7.11</v>
      </c>
      <c r="J101" s="100">
        <v>0.13</v>
      </c>
      <c r="K101" s="100">
        <v>177.73</v>
      </c>
      <c r="L101" s="100">
        <v>17.2</v>
      </c>
      <c r="M101" s="100">
        <v>25.13</v>
      </c>
      <c r="N101" s="100">
        <v>2.4</v>
      </c>
      <c r="O101" s="100">
        <v>0</v>
      </c>
      <c r="P101" s="100">
        <v>0.68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721</v>
      </c>
      <c r="B102" s="100">
        <v>9.51</v>
      </c>
      <c r="C102" s="100">
        <v>12.14</v>
      </c>
      <c r="D102" s="100">
        <v>13.97</v>
      </c>
      <c r="E102" s="100">
        <v>7.31</v>
      </c>
      <c r="F102" s="100">
        <v>2</v>
      </c>
      <c r="G102" s="100">
        <v>72.760000000000005</v>
      </c>
      <c r="H102" s="100">
        <v>29.4</v>
      </c>
      <c r="I102" s="100">
        <v>7.21</v>
      </c>
      <c r="J102" s="100">
        <v>0.17</v>
      </c>
      <c r="K102" s="100">
        <v>176.33</v>
      </c>
      <c r="L102" s="100">
        <v>16.93</v>
      </c>
      <c r="M102" s="100">
        <v>24.4</v>
      </c>
      <c r="N102" s="100">
        <v>2.4</v>
      </c>
      <c r="O102" s="100">
        <v>0</v>
      </c>
      <c r="P102" s="100">
        <v>0.68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722</v>
      </c>
      <c r="B103" s="100">
        <v>8.77</v>
      </c>
      <c r="C103" s="100">
        <v>10.68</v>
      </c>
      <c r="D103" s="100">
        <v>12.62</v>
      </c>
      <c r="E103" s="100">
        <v>7</v>
      </c>
      <c r="F103" s="100">
        <v>2</v>
      </c>
      <c r="G103" s="100">
        <v>73.319999999999993</v>
      </c>
      <c r="H103" s="100">
        <v>29.87</v>
      </c>
      <c r="I103" s="100">
        <v>7.28</v>
      </c>
      <c r="J103" s="100">
        <v>0.17</v>
      </c>
      <c r="K103" s="100">
        <v>166.12</v>
      </c>
      <c r="L103" s="100">
        <v>16.28</v>
      </c>
      <c r="M103" s="100">
        <v>22.75</v>
      </c>
      <c r="N103" s="100">
        <v>2.4</v>
      </c>
      <c r="O103" s="100">
        <v>0</v>
      </c>
      <c r="P103" s="100">
        <v>0.68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723</v>
      </c>
      <c r="B104" s="100">
        <v>8.74</v>
      </c>
      <c r="C104" s="100">
        <v>10.28</v>
      </c>
      <c r="D104" s="100">
        <v>12.38</v>
      </c>
      <c r="E104" s="100">
        <v>7.1</v>
      </c>
      <c r="F104" s="100">
        <v>2</v>
      </c>
      <c r="G104" s="100">
        <v>73.319999999999993</v>
      </c>
      <c r="H104" s="100">
        <v>29.87</v>
      </c>
      <c r="I104" s="100">
        <v>7.29</v>
      </c>
      <c r="J104" s="100">
        <v>0.13</v>
      </c>
      <c r="K104" s="100">
        <v>198.77</v>
      </c>
      <c r="L104" s="100">
        <v>19.14</v>
      </c>
      <c r="M104" s="100">
        <v>29.95</v>
      </c>
      <c r="N104" s="100">
        <v>2.1</v>
      </c>
      <c r="O104" s="100">
        <v>0</v>
      </c>
      <c r="P104" s="100">
        <v>0.67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1.65</v>
      </c>
      <c r="C106" s="158">
        <f>MIN(C9:C104)</f>
        <v>6.74</v>
      </c>
      <c r="D106" s="158">
        <f t="shared" ref="D106:Q106" si="0">MIN(D9:D104)</f>
        <v>5.97</v>
      </c>
      <c r="E106" s="158">
        <f t="shared" si="0"/>
        <v>3.99</v>
      </c>
      <c r="F106" s="158">
        <f t="shared" si="0"/>
        <v>1.45</v>
      </c>
      <c r="G106" s="158">
        <f t="shared" si="0"/>
        <v>0</v>
      </c>
      <c r="H106" s="158">
        <f t="shared" si="0"/>
        <v>0</v>
      </c>
      <c r="I106" s="158">
        <f t="shared" si="0"/>
        <v>3.59</v>
      </c>
      <c r="J106" s="158">
        <f t="shared" si="0"/>
        <v>-0.08</v>
      </c>
      <c r="K106" s="158">
        <f t="shared" si="0"/>
        <v>-0.11</v>
      </c>
      <c r="L106" s="158">
        <f t="shared" si="0"/>
        <v>9.23</v>
      </c>
      <c r="M106" s="158">
        <f t="shared" si="0"/>
        <v>5.12</v>
      </c>
      <c r="N106" s="158">
        <f t="shared" si="0"/>
        <v>2</v>
      </c>
      <c r="O106" s="158">
        <f t="shared" si="0"/>
        <v>0</v>
      </c>
      <c r="P106" s="158">
        <f t="shared" si="0"/>
        <v>0.55000000000000004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21.7</v>
      </c>
      <c r="C107" s="157">
        <f t="shared" ref="C107:Q107" si="1">MAX(C9:C104)</f>
        <v>21.57</v>
      </c>
      <c r="D107" s="157">
        <f t="shared" si="1"/>
        <v>22.18</v>
      </c>
      <c r="E107" s="157">
        <f t="shared" si="1"/>
        <v>16.899999999999999</v>
      </c>
      <c r="F107" s="157">
        <f t="shared" si="1"/>
        <v>259.23</v>
      </c>
      <c r="G107" s="157">
        <f t="shared" si="1"/>
        <v>100.83</v>
      </c>
      <c r="H107" s="157">
        <f t="shared" si="1"/>
        <v>46.42</v>
      </c>
      <c r="I107" s="157">
        <f t="shared" si="1"/>
        <v>12.12</v>
      </c>
      <c r="J107" s="157">
        <f t="shared" si="1"/>
        <v>0.75</v>
      </c>
      <c r="K107" s="157">
        <f t="shared" si="1"/>
        <v>341.03</v>
      </c>
      <c r="L107" s="157">
        <f t="shared" si="1"/>
        <v>30.96</v>
      </c>
      <c r="M107" s="157">
        <f t="shared" si="1"/>
        <v>44.98</v>
      </c>
      <c r="N107" s="157">
        <f t="shared" si="1"/>
        <v>591</v>
      </c>
      <c r="O107" s="157">
        <f t="shared" si="1"/>
        <v>0</v>
      </c>
      <c r="P107" s="157">
        <f t="shared" si="1"/>
        <v>1.83</v>
      </c>
      <c r="Q107" s="157">
        <f t="shared" si="1"/>
        <v>14.49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9.2715624999999999</v>
      </c>
      <c r="C108" s="158">
        <f t="shared" ref="C108:Q108" si="2">AVERAGE(C9:C104)</f>
        <v>10.269895833333331</v>
      </c>
      <c r="D108" s="158">
        <f t="shared" si="2"/>
        <v>12.801354166666668</v>
      </c>
      <c r="E108" s="158">
        <f t="shared" si="2"/>
        <v>7.0827083333333336</v>
      </c>
      <c r="F108" s="158">
        <f t="shared" si="2"/>
        <v>11.035520833333335</v>
      </c>
      <c r="G108" s="158">
        <f t="shared" si="2"/>
        <v>71.388958333333335</v>
      </c>
      <c r="H108" s="158">
        <f t="shared" si="2"/>
        <v>29.821666666666676</v>
      </c>
      <c r="I108" s="158">
        <f t="shared" si="2"/>
        <v>8.4905208333333313</v>
      </c>
      <c r="J108" s="158">
        <f t="shared" si="2"/>
        <v>0.20541666666666666</v>
      </c>
      <c r="K108" s="158">
        <f t="shared" si="2"/>
        <v>206.3253125</v>
      </c>
      <c r="L108" s="158">
        <f t="shared" si="2"/>
        <v>19.823958333333334</v>
      </c>
      <c r="M108" s="158">
        <f t="shared" si="2"/>
        <v>28.77437500000001</v>
      </c>
      <c r="N108" s="158">
        <f t="shared" si="2"/>
        <v>124.43333333333328</v>
      </c>
      <c r="O108" s="158">
        <f t="shared" si="2"/>
        <v>0</v>
      </c>
      <c r="P108" s="158">
        <f t="shared" si="2"/>
        <v>0.68145833333333317</v>
      </c>
      <c r="Q108" s="158">
        <f t="shared" si="2"/>
        <v>9.5391666666666879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7.0521058188503636</v>
      </c>
      <c r="C109" s="158">
        <f t="shared" ref="C109:Q109" si="3">STDEV(C9:C104)</f>
        <v>3.0577740423874196</v>
      </c>
      <c r="D109" s="158">
        <f t="shared" si="3"/>
        <v>5.1531426527470998</v>
      </c>
      <c r="E109" s="158">
        <f t="shared" si="3"/>
        <v>2.5024953774253222</v>
      </c>
      <c r="F109" s="158">
        <f t="shared" si="3"/>
        <v>29.301746485393977</v>
      </c>
      <c r="G109" s="158">
        <f t="shared" si="3"/>
        <v>22.164177236877361</v>
      </c>
      <c r="H109" s="158">
        <f t="shared" si="3"/>
        <v>8.0660311334394272</v>
      </c>
      <c r="I109" s="158">
        <f t="shared" si="3"/>
        <v>2.3907666111595223</v>
      </c>
      <c r="J109" s="158">
        <f t="shared" si="3"/>
        <v>0.15056326990874644</v>
      </c>
      <c r="K109" s="158">
        <f t="shared" si="3"/>
        <v>68.187473011476143</v>
      </c>
      <c r="L109" s="158">
        <f t="shared" si="3"/>
        <v>4.3256501742309839</v>
      </c>
      <c r="M109" s="158">
        <f t="shared" si="3"/>
        <v>8.2065501197775248</v>
      </c>
      <c r="N109" s="158">
        <f t="shared" si="3"/>
        <v>199.19016709332485</v>
      </c>
      <c r="O109" s="158">
        <f t="shared" si="3"/>
        <v>0</v>
      </c>
      <c r="P109" s="158">
        <f t="shared" si="3"/>
        <v>0.13230729117567988</v>
      </c>
      <c r="Q109" s="158">
        <f t="shared" si="3"/>
        <v>0.79364139676976764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F9" sqref="F9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724</v>
      </c>
      <c r="B9" s="100">
        <v>8.98</v>
      </c>
      <c r="C9" s="100">
        <v>10.82</v>
      </c>
      <c r="D9" s="100">
        <v>12.85</v>
      </c>
      <c r="E9" s="100">
        <v>7</v>
      </c>
      <c r="F9" s="100">
        <v>2</v>
      </c>
      <c r="G9" s="100">
        <v>73.319999999999993</v>
      </c>
      <c r="H9" s="100">
        <v>29.87</v>
      </c>
      <c r="I9" s="100">
        <v>7.29</v>
      </c>
      <c r="J9" s="100">
        <v>0.15</v>
      </c>
      <c r="K9" s="100">
        <v>181.89</v>
      </c>
      <c r="L9" s="100">
        <v>17.3</v>
      </c>
      <c r="M9" s="100">
        <v>25.39</v>
      </c>
      <c r="N9" s="100">
        <v>2.1</v>
      </c>
      <c r="O9" s="100">
        <v>0</v>
      </c>
      <c r="P9" s="100">
        <v>0.67</v>
      </c>
      <c r="Q9" s="100">
        <v>9.92</v>
      </c>
      <c r="R9" s="6"/>
      <c r="S9" s="6"/>
      <c r="T9" s="156"/>
      <c r="U9" s="6"/>
    </row>
    <row r="10" spans="1:21" customFormat="1">
      <c r="A10" s="201" t="s">
        <v>725</v>
      </c>
      <c r="B10" s="100">
        <v>8.4499999999999993</v>
      </c>
      <c r="C10" s="100">
        <v>9.57</v>
      </c>
      <c r="D10" s="100">
        <v>11.77</v>
      </c>
      <c r="E10" s="100">
        <v>6.86</v>
      </c>
      <c r="F10" s="100">
        <v>2</v>
      </c>
      <c r="G10" s="100">
        <v>74.599999999999994</v>
      </c>
      <c r="H10" s="100">
        <v>30.76</v>
      </c>
      <c r="I10" s="100">
        <v>7.31</v>
      </c>
      <c r="J10" s="100">
        <v>0.18</v>
      </c>
      <c r="K10" s="100">
        <v>172.29</v>
      </c>
      <c r="L10" s="100">
        <v>16.399999999999999</v>
      </c>
      <c r="M10" s="100">
        <v>23.16</v>
      </c>
      <c r="N10" s="100">
        <v>2.1</v>
      </c>
      <c r="O10" s="100">
        <v>0</v>
      </c>
      <c r="P10" s="100">
        <v>0.66</v>
      </c>
      <c r="Q10" s="100">
        <v>11.87</v>
      </c>
      <c r="R10" s="6"/>
      <c r="S10" s="6"/>
      <c r="T10" s="156"/>
      <c r="U10" s="6"/>
    </row>
    <row r="11" spans="1:21" customFormat="1">
      <c r="A11" s="201" t="s">
        <v>726</v>
      </c>
      <c r="B11" s="100">
        <v>8.26</v>
      </c>
      <c r="C11" s="100">
        <v>8.84</v>
      </c>
      <c r="D11" s="100">
        <v>11.24</v>
      </c>
      <c r="E11" s="100">
        <v>6.31</v>
      </c>
      <c r="F11" s="100">
        <v>2</v>
      </c>
      <c r="G11" s="100">
        <v>76.2</v>
      </c>
      <c r="H11" s="100">
        <v>31.36</v>
      </c>
      <c r="I11" s="100">
        <v>7.3</v>
      </c>
      <c r="J11" s="100">
        <v>0.28999999999999998</v>
      </c>
      <c r="K11" s="100">
        <v>168.46</v>
      </c>
      <c r="L11" s="100">
        <v>16.440000000000001</v>
      </c>
      <c r="M11" s="100">
        <v>23.21</v>
      </c>
      <c r="N11" s="100">
        <v>2.2999999999999998</v>
      </c>
      <c r="O11" s="100">
        <v>0</v>
      </c>
      <c r="P11" s="100">
        <v>0.66</v>
      </c>
      <c r="Q11" s="100">
        <v>10.91</v>
      </c>
      <c r="R11" s="6"/>
      <c r="S11" s="6"/>
      <c r="T11" s="156"/>
      <c r="U11" s="6"/>
    </row>
    <row r="12" spans="1:21" customFormat="1">
      <c r="A12" s="201" t="s">
        <v>727</v>
      </c>
      <c r="B12" s="100">
        <v>8.16</v>
      </c>
      <c r="C12" s="100">
        <v>8.3699999999999992</v>
      </c>
      <c r="D12" s="100">
        <v>10.91</v>
      </c>
      <c r="E12" s="100">
        <v>6.15</v>
      </c>
      <c r="F12" s="100">
        <v>2</v>
      </c>
      <c r="G12" s="100">
        <v>76.2</v>
      </c>
      <c r="H12" s="100">
        <v>31.36</v>
      </c>
      <c r="I12" s="100">
        <v>7.29</v>
      </c>
      <c r="J12" s="100">
        <v>0.19</v>
      </c>
      <c r="K12" s="100">
        <v>171.87</v>
      </c>
      <c r="L12" s="100">
        <v>16.95</v>
      </c>
      <c r="M12" s="100">
        <v>24.45</v>
      </c>
      <c r="N12" s="100">
        <v>2.5</v>
      </c>
      <c r="O12" s="100">
        <v>0</v>
      </c>
      <c r="P12" s="100">
        <v>0.67</v>
      </c>
      <c r="Q12" s="100">
        <v>9.41</v>
      </c>
      <c r="R12" s="6"/>
      <c r="S12" s="6"/>
      <c r="T12" s="156"/>
      <c r="U12" s="6"/>
    </row>
    <row r="13" spans="1:21" customFormat="1">
      <c r="A13" s="201" t="s">
        <v>728</v>
      </c>
      <c r="B13" s="100">
        <v>8.0299999999999994</v>
      </c>
      <c r="C13" s="100">
        <v>8</v>
      </c>
      <c r="D13" s="100">
        <v>10.62</v>
      </c>
      <c r="E13" s="100">
        <v>6.1</v>
      </c>
      <c r="F13" s="100">
        <v>2</v>
      </c>
      <c r="G13" s="100">
        <v>76.2</v>
      </c>
      <c r="H13" s="100">
        <v>31.36</v>
      </c>
      <c r="I13" s="100">
        <v>7.29</v>
      </c>
      <c r="J13" s="100">
        <v>7.0000000000000007E-2</v>
      </c>
      <c r="K13" s="100">
        <v>181.32</v>
      </c>
      <c r="L13" s="100">
        <v>19.03</v>
      </c>
      <c r="M13" s="100">
        <v>29.5</v>
      </c>
      <c r="N13" s="100">
        <v>2.4</v>
      </c>
      <c r="O13" s="100">
        <v>0</v>
      </c>
      <c r="P13" s="100">
        <v>0.67</v>
      </c>
      <c r="Q13" s="100">
        <v>9.32</v>
      </c>
      <c r="R13" s="6"/>
      <c r="S13" s="6"/>
      <c r="T13" s="156"/>
      <c r="U13" s="6"/>
    </row>
    <row r="14" spans="1:21" customFormat="1">
      <c r="A14" s="201" t="s">
        <v>729</v>
      </c>
      <c r="B14" s="100">
        <v>7.85</v>
      </c>
      <c r="C14" s="100">
        <v>7.75</v>
      </c>
      <c r="D14" s="100">
        <v>10.34</v>
      </c>
      <c r="E14" s="100">
        <v>6</v>
      </c>
      <c r="F14" s="100">
        <v>2</v>
      </c>
      <c r="G14" s="100">
        <v>74.650000000000006</v>
      </c>
      <c r="H14" s="100">
        <v>30.4</v>
      </c>
      <c r="I14" s="100">
        <v>7.27</v>
      </c>
      <c r="J14" s="100">
        <v>0.14000000000000001</v>
      </c>
      <c r="K14" s="100">
        <v>152.77000000000001</v>
      </c>
      <c r="L14" s="100">
        <v>15.11</v>
      </c>
      <c r="M14" s="100">
        <v>19.940000000000001</v>
      </c>
      <c r="N14" s="100">
        <v>2.2000000000000002</v>
      </c>
      <c r="O14" s="100">
        <v>0</v>
      </c>
      <c r="P14" s="100">
        <v>0.66</v>
      </c>
      <c r="Q14" s="100">
        <v>9.32</v>
      </c>
      <c r="R14" s="6"/>
      <c r="S14" s="6"/>
      <c r="T14" s="156"/>
      <c r="U14" s="6"/>
    </row>
    <row r="15" spans="1:21" customFormat="1">
      <c r="A15" s="201" t="s">
        <v>730</v>
      </c>
      <c r="B15" s="100">
        <v>7.82</v>
      </c>
      <c r="C15" s="100">
        <v>7.51</v>
      </c>
      <c r="D15" s="100">
        <v>10.199999999999999</v>
      </c>
      <c r="E15" s="100">
        <v>4.74</v>
      </c>
      <c r="F15" s="100">
        <v>2</v>
      </c>
      <c r="G15" s="100">
        <v>72.72</v>
      </c>
      <c r="H15" s="100">
        <v>28.8</v>
      </c>
      <c r="I15" s="100">
        <v>7.25</v>
      </c>
      <c r="J15" s="100">
        <v>0.13</v>
      </c>
      <c r="K15" s="100">
        <v>177.89</v>
      </c>
      <c r="L15" s="100">
        <v>17.13</v>
      </c>
      <c r="M15" s="100">
        <v>24.91</v>
      </c>
      <c r="N15" s="100">
        <v>2.1</v>
      </c>
      <c r="O15" s="100">
        <v>0</v>
      </c>
      <c r="P15" s="100">
        <v>0.66</v>
      </c>
      <c r="Q15" s="100">
        <v>9.32</v>
      </c>
      <c r="R15" s="6"/>
      <c r="S15" s="6"/>
      <c r="T15" s="156"/>
      <c r="U15" s="6"/>
    </row>
    <row r="16" spans="1:21" customFormat="1">
      <c r="A16" s="201" t="s">
        <v>731</v>
      </c>
      <c r="B16" s="100">
        <v>7.98</v>
      </c>
      <c r="C16" s="100">
        <v>7.32</v>
      </c>
      <c r="D16" s="100">
        <v>10.23</v>
      </c>
      <c r="E16" s="100">
        <v>5.97</v>
      </c>
      <c r="F16" s="100">
        <v>2</v>
      </c>
      <c r="G16" s="100">
        <v>72.72</v>
      </c>
      <c r="H16" s="100">
        <v>28.8</v>
      </c>
      <c r="I16" s="100">
        <v>7.24</v>
      </c>
      <c r="J16" s="100">
        <v>7.0000000000000007E-2</v>
      </c>
      <c r="K16" s="100">
        <v>206.82</v>
      </c>
      <c r="L16" s="100">
        <v>18.86</v>
      </c>
      <c r="M16" s="100">
        <v>29.42</v>
      </c>
      <c r="N16" s="100">
        <v>2.1</v>
      </c>
      <c r="O16" s="100">
        <v>0</v>
      </c>
      <c r="P16" s="100">
        <v>0.67</v>
      </c>
      <c r="Q16" s="100">
        <v>9.32</v>
      </c>
      <c r="R16" s="6"/>
      <c r="S16" s="6"/>
      <c r="T16" s="156"/>
      <c r="U16" s="6"/>
    </row>
    <row r="17" spans="1:21" customFormat="1">
      <c r="A17" s="201" t="s">
        <v>732</v>
      </c>
      <c r="B17" s="100">
        <v>8.1999999999999993</v>
      </c>
      <c r="C17" s="100">
        <v>7.1</v>
      </c>
      <c r="D17" s="100">
        <v>10.28</v>
      </c>
      <c r="E17" s="100">
        <v>5.12</v>
      </c>
      <c r="F17" s="100">
        <v>2</v>
      </c>
      <c r="G17" s="100">
        <v>72.72</v>
      </c>
      <c r="H17" s="100">
        <v>28.8</v>
      </c>
      <c r="I17" s="100">
        <v>7.29</v>
      </c>
      <c r="J17" s="100">
        <v>0.09</v>
      </c>
      <c r="K17" s="100">
        <v>156.5</v>
      </c>
      <c r="L17" s="100">
        <v>15.71</v>
      </c>
      <c r="M17" s="100">
        <v>21.5</v>
      </c>
      <c r="N17" s="100">
        <v>2.1</v>
      </c>
      <c r="O17" s="100">
        <v>0</v>
      </c>
      <c r="P17" s="100">
        <v>0.66</v>
      </c>
      <c r="Q17" s="100">
        <v>9.32</v>
      </c>
      <c r="R17" s="6"/>
      <c r="S17" s="6"/>
      <c r="T17" s="156"/>
      <c r="U17" s="6"/>
    </row>
    <row r="18" spans="1:21" customFormat="1">
      <c r="A18" s="201" t="s">
        <v>733</v>
      </c>
      <c r="B18" s="100">
        <v>8.3800000000000008</v>
      </c>
      <c r="C18" s="100">
        <v>6.96</v>
      </c>
      <c r="D18" s="100">
        <v>10.36</v>
      </c>
      <c r="E18" s="100">
        <v>6.03</v>
      </c>
      <c r="F18" s="100">
        <v>2</v>
      </c>
      <c r="G18" s="100">
        <v>67.680000000000007</v>
      </c>
      <c r="H18" s="100">
        <v>24.36</v>
      </c>
      <c r="I18" s="100">
        <v>7.33</v>
      </c>
      <c r="J18" s="100">
        <v>0.09</v>
      </c>
      <c r="K18" s="100">
        <v>178.09</v>
      </c>
      <c r="L18" s="100">
        <v>16.989999999999998</v>
      </c>
      <c r="M18" s="100">
        <v>24.74</v>
      </c>
      <c r="N18" s="100">
        <v>2.1</v>
      </c>
      <c r="O18" s="100">
        <v>0</v>
      </c>
      <c r="P18" s="100">
        <v>0.66</v>
      </c>
      <c r="Q18" s="100">
        <v>9.32</v>
      </c>
      <c r="R18" s="6"/>
      <c r="S18" s="6"/>
      <c r="T18" s="156"/>
      <c r="U18" s="6"/>
    </row>
    <row r="19" spans="1:21" customFormat="1">
      <c r="A19" s="201" t="s">
        <v>734</v>
      </c>
      <c r="B19" s="100">
        <v>8.5500000000000007</v>
      </c>
      <c r="C19" s="100">
        <v>6.92</v>
      </c>
      <c r="D19" s="100">
        <v>10.47</v>
      </c>
      <c r="E19" s="100">
        <v>6.1</v>
      </c>
      <c r="F19" s="100">
        <v>2</v>
      </c>
      <c r="G19" s="100">
        <v>61.38</v>
      </c>
      <c r="H19" s="100">
        <v>21.29</v>
      </c>
      <c r="I19" s="100">
        <v>7.44</v>
      </c>
      <c r="J19" s="100">
        <v>7.0000000000000007E-2</v>
      </c>
      <c r="K19" s="100">
        <v>103.77</v>
      </c>
      <c r="L19" s="100">
        <v>12.4</v>
      </c>
      <c r="M19" s="100">
        <v>13.22</v>
      </c>
      <c r="N19" s="100">
        <v>2.1</v>
      </c>
      <c r="O19" s="100">
        <v>0</v>
      </c>
      <c r="P19" s="100">
        <v>0.66</v>
      </c>
      <c r="Q19" s="100">
        <v>9.32</v>
      </c>
      <c r="R19" s="6"/>
      <c r="S19" s="6"/>
      <c r="T19" s="156"/>
      <c r="U19" s="6"/>
    </row>
    <row r="20" spans="1:21" customFormat="1">
      <c r="A20" s="201" t="s">
        <v>735</v>
      </c>
      <c r="B20" s="100">
        <v>8.9499999999999993</v>
      </c>
      <c r="C20" s="100">
        <v>6.8</v>
      </c>
      <c r="D20" s="100">
        <v>10.73</v>
      </c>
      <c r="E20" s="100">
        <v>5.85</v>
      </c>
      <c r="F20" s="100">
        <v>2</v>
      </c>
      <c r="G20" s="100">
        <v>61.38</v>
      </c>
      <c r="H20" s="100">
        <v>21.29</v>
      </c>
      <c r="I20" s="100">
        <v>7.61</v>
      </c>
      <c r="J20" s="100">
        <v>0.11</v>
      </c>
      <c r="K20" s="100">
        <v>167</v>
      </c>
      <c r="L20" s="100">
        <v>16.16</v>
      </c>
      <c r="M20" s="100">
        <v>22.7</v>
      </c>
      <c r="N20" s="100">
        <v>2</v>
      </c>
      <c r="O20" s="100">
        <v>0</v>
      </c>
      <c r="P20" s="100">
        <v>0.67</v>
      </c>
      <c r="Q20" s="100">
        <v>9.32</v>
      </c>
      <c r="R20" s="6"/>
      <c r="S20" s="6"/>
      <c r="T20" s="156"/>
      <c r="U20" s="6"/>
    </row>
    <row r="21" spans="1:21" customFormat="1">
      <c r="A21" s="201" t="s">
        <v>736</v>
      </c>
      <c r="B21" s="100">
        <v>9.4499999999999993</v>
      </c>
      <c r="C21" s="100">
        <v>6.95</v>
      </c>
      <c r="D21" s="100">
        <v>11.21</v>
      </c>
      <c r="E21" s="100">
        <v>5.96</v>
      </c>
      <c r="F21" s="100">
        <v>2</v>
      </c>
      <c r="G21" s="100">
        <v>61.38</v>
      </c>
      <c r="H21" s="100">
        <v>21.29</v>
      </c>
      <c r="I21" s="100">
        <v>7.72</v>
      </c>
      <c r="J21" s="100">
        <v>0.1</v>
      </c>
      <c r="K21" s="100">
        <v>198.89</v>
      </c>
      <c r="L21" s="100">
        <v>18.07</v>
      </c>
      <c r="M21" s="100">
        <v>27.48</v>
      </c>
      <c r="N21" s="100">
        <v>2.1</v>
      </c>
      <c r="O21" s="100">
        <v>0</v>
      </c>
      <c r="P21" s="100">
        <v>0.67</v>
      </c>
      <c r="Q21" s="100">
        <v>9.32</v>
      </c>
      <c r="R21" s="6"/>
      <c r="S21" s="6"/>
      <c r="T21" s="156"/>
      <c r="U21" s="6"/>
    </row>
    <row r="22" spans="1:21" customFormat="1">
      <c r="A22" s="201" t="s">
        <v>737</v>
      </c>
      <c r="B22" s="100">
        <v>9.7200000000000006</v>
      </c>
      <c r="C22" s="100">
        <v>7.04</v>
      </c>
      <c r="D22" s="100">
        <v>11.47</v>
      </c>
      <c r="E22" s="100">
        <v>6.41</v>
      </c>
      <c r="F22" s="100">
        <v>2</v>
      </c>
      <c r="G22" s="100">
        <v>60.21</v>
      </c>
      <c r="H22" s="100">
        <v>22.89</v>
      </c>
      <c r="I22" s="100">
        <v>7.85</v>
      </c>
      <c r="J22" s="100">
        <v>0.13</v>
      </c>
      <c r="K22" s="100">
        <v>191.22</v>
      </c>
      <c r="L22" s="100">
        <v>17.98</v>
      </c>
      <c r="M22" s="100">
        <v>27.26</v>
      </c>
      <c r="N22" s="100">
        <v>2.1</v>
      </c>
      <c r="O22" s="100">
        <v>0</v>
      </c>
      <c r="P22" s="100">
        <v>0.67</v>
      </c>
      <c r="Q22" s="100">
        <v>9.48</v>
      </c>
      <c r="R22" s="6"/>
      <c r="S22" s="6"/>
      <c r="T22" s="156"/>
      <c r="U22" s="6"/>
    </row>
    <row r="23" spans="1:21" customFormat="1">
      <c r="A23" s="201" t="s">
        <v>738</v>
      </c>
      <c r="B23" s="100">
        <v>9.89</v>
      </c>
      <c r="C23" s="100">
        <v>7.01</v>
      </c>
      <c r="D23" s="100">
        <v>11.6</v>
      </c>
      <c r="E23" s="100">
        <v>6.46</v>
      </c>
      <c r="F23" s="100">
        <v>2</v>
      </c>
      <c r="G23" s="100">
        <v>58.75</v>
      </c>
      <c r="H23" s="100">
        <v>23.97</v>
      </c>
      <c r="I23" s="100">
        <v>7.98</v>
      </c>
      <c r="J23" s="100">
        <v>0.08</v>
      </c>
      <c r="K23" s="100">
        <v>221.45</v>
      </c>
      <c r="L23" s="100">
        <v>20.260000000000002</v>
      </c>
      <c r="M23" s="100">
        <v>32.94</v>
      </c>
      <c r="N23" s="100">
        <v>2.1</v>
      </c>
      <c r="O23" s="100">
        <v>0</v>
      </c>
      <c r="P23" s="100">
        <v>0.68</v>
      </c>
      <c r="Q23" s="100">
        <v>9.32</v>
      </c>
      <c r="R23" s="6"/>
      <c r="S23" s="6"/>
      <c r="T23" s="156"/>
      <c r="U23" s="6"/>
    </row>
    <row r="24" spans="1:21" customFormat="1">
      <c r="A24" s="201" t="s">
        <v>739</v>
      </c>
      <c r="B24" s="100">
        <v>9.99</v>
      </c>
      <c r="C24" s="100">
        <v>6.97</v>
      </c>
      <c r="D24" s="100">
        <v>11.66</v>
      </c>
      <c r="E24" s="100">
        <v>6.37</v>
      </c>
      <c r="F24" s="100">
        <v>2</v>
      </c>
      <c r="G24" s="100">
        <v>58.75</v>
      </c>
      <c r="H24" s="100">
        <v>23.97</v>
      </c>
      <c r="I24" s="100">
        <v>8.1199999999999992</v>
      </c>
      <c r="J24" s="100">
        <v>0.16</v>
      </c>
      <c r="K24" s="100">
        <v>160.41</v>
      </c>
      <c r="L24" s="100">
        <v>14.99</v>
      </c>
      <c r="M24" s="100">
        <v>19.760000000000002</v>
      </c>
      <c r="N24" s="100">
        <v>2.1</v>
      </c>
      <c r="O24" s="100">
        <v>0</v>
      </c>
      <c r="P24" s="100">
        <v>0.67</v>
      </c>
      <c r="Q24" s="100">
        <v>9.32</v>
      </c>
      <c r="R24" s="6"/>
      <c r="S24" s="6"/>
      <c r="T24" s="156"/>
      <c r="U24" s="6"/>
    </row>
    <row r="25" spans="1:21" customFormat="1">
      <c r="A25" s="201" t="s">
        <v>740</v>
      </c>
      <c r="B25" s="100">
        <v>10.11</v>
      </c>
      <c r="C25" s="100">
        <v>6.94</v>
      </c>
      <c r="D25" s="100">
        <v>11.73</v>
      </c>
      <c r="E25" s="100">
        <v>6.79</v>
      </c>
      <c r="F25" s="100">
        <v>2</v>
      </c>
      <c r="G25" s="100">
        <v>58.75</v>
      </c>
      <c r="H25" s="100">
        <v>23.97</v>
      </c>
      <c r="I25" s="100">
        <v>8.24</v>
      </c>
      <c r="J25" s="100">
        <v>0.08</v>
      </c>
      <c r="K25" s="100">
        <v>122.66</v>
      </c>
      <c r="L25" s="100">
        <v>15.02</v>
      </c>
      <c r="M25" s="100">
        <v>19.77</v>
      </c>
      <c r="N25" s="100">
        <v>2.1</v>
      </c>
      <c r="O25" s="100">
        <v>0</v>
      </c>
      <c r="P25" s="100">
        <v>0.66</v>
      </c>
      <c r="Q25" s="100">
        <v>9.32</v>
      </c>
      <c r="R25" s="6"/>
      <c r="S25" s="6"/>
      <c r="T25" s="156"/>
      <c r="U25" s="6"/>
    </row>
    <row r="26" spans="1:21" customFormat="1">
      <c r="A26" s="201" t="s">
        <v>741</v>
      </c>
      <c r="B26" s="100">
        <v>10.45</v>
      </c>
      <c r="C26" s="100">
        <v>6.89</v>
      </c>
      <c r="D26" s="100">
        <v>11.98</v>
      </c>
      <c r="E26" s="100">
        <v>6.83</v>
      </c>
      <c r="F26" s="100">
        <v>2</v>
      </c>
      <c r="G26" s="100">
        <v>56.28</v>
      </c>
      <c r="H26" s="100">
        <v>23.05</v>
      </c>
      <c r="I26" s="100">
        <v>8.35</v>
      </c>
      <c r="J26" s="100">
        <v>0.1</v>
      </c>
      <c r="K26" s="100">
        <v>146.54</v>
      </c>
      <c r="L26" s="100">
        <v>14.75</v>
      </c>
      <c r="M26" s="100">
        <v>19.18</v>
      </c>
      <c r="N26" s="100">
        <v>2</v>
      </c>
      <c r="O26" s="100">
        <v>0</v>
      </c>
      <c r="P26" s="100">
        <v>0.67</v>
      </c>
      <c r="Q26" s="100">
        <v>9.32</v>
      </c>
      <c r="R26" s="6"/>
      <c r="S26" s="6"/>
      <c r="T26" s="156"/>
      <c r="U26" s="6"/>
    </row>
    <row r="27" spans="1:21" customFormat="1">
      <c r="A27" s="201" t="s">
        <v>742</v>
      </c>
      <c r="B27" s="100">
        <v>10.8</v>
      </c>
      <c r="C27" s="100">
        <v>7.05</v>
      </c>
      <c r="D27" s="100">
        <v>12.35</v>
      </c>
      <c r="E27" s="100">
        <v>6.8</v>
      </c>
      <c r="F27" s="100">
        <v>2</v>
      </c>
      <c r="G27" s="100">
        <v>53.18</v>
      </c>
      <c r="H27" s="100">
        <v>22.41</v>
      </c>
      <c r="I27" s="100">
        <v>8.4600000000000009</v>
      </c>
      <c r="J27" s="100">
        <v>0.08</v>
      </c>
      <c r="K27" s="100">
        <v>158.94999999999999</v>
      </c>
      <c r="L27" s="100">
        <v>15.35</v>
      </c>
      <c r="M27" s="100">
        <v>20.69</v>
      </c>
      <c r="N27" s="100">
        <v>2.1</v>
      </c>
      <c r="O27" s="100">
        <v>0</v>
      </c>
      <c r="P27" s="100">
        <v>0.67</v>
      </c>
      <c r="Q27" s="100">
        <v>9.32</v>
      </c>
      <c r="R27" s="6"/>
      <c r="S27" s="6"/>
      <c r="T27" s="156"/>
      <c r="U27" s="6"/>
    </row>
    <row r="28" spans="1:21" customFormat="1">
      <c r="A28" s="201" t="s">
        <v>743</v>
      </c>
      <c r="B28" s="100">
        <v>11.38</v>
      </c>
      <c r="C28" s="100">
        <v>7.14</v>
      </c>
      <c r="D28" s="100">
        <v>12.86</v>
      </c>
      <c r="E28" s="100">
        <v>6.82</v>
      </c>
      <c r="F28" s="100">
        <v>2</v>
      </c>
      <c r="G28" s="100">
        <v>53.18</v>
      </c>
      <c r="H28" s="100">
        <v>22.41</v>
      </c>
      <c r="I28" s="100">
        <v>8.56</v>
      </c>
      <c r="J28" s="100">
        <v>0.08</v>
      </c>
      <c r="K28" s="100">
        <v>203.68</v>
      </c>
      <c r="L28" s="100">
        <v>19.2</v>
      </c>
      <c r="M28" s="100">
        <v>30.33</v>
      </c>
      <c r="N28" s="100">
        <v>2</v>
      </c>
      <c r="O28" s="100">
        <v>0</v>
      </c>
      <c r="P28" s="100">
        <v>0.67</v>
      </c>
      <c r="Q28" s="100">
        <v>9.32</v>
      </c>
      <c r="R28" s="6"/>
      <c r="S28" s="6"/>
      <c r="T28" s="156"/>
      <c r="U28" s="6"/>
    </row>
    <row r="29" spans="1:21" customFormat="1">
      <c r="A29" s="201" t="s">
        <v>744</v>
      </c>
      <c r="B29" s="100">
        <v>12.4</v>
      </c>
      <c r="C29" s="100">
        <v>7.38</v>
      </c>
      <c r="D29" s="100">
        <v>13.8</v>
      </c>
      <c r="E29" s="100">
        <v>6.63</v>
      </c>
      <c r="F29" s="100">
        <v>2</v>
      </c>
      <c r="G29" s="100">
        <v>53.18</v>
      </c>
      <c r="H29" s="100">
        <v>22.41</v>
      </c>
      <c r="I29" s="100">
        <v>8.6300000000000008</v>
      </c>
      <c r="J29" s="100">
        <v>0.11</v>
      </c>
      <c r="K29" s="100">
        <v>211.52</v>
      </c>
      <c r="L29" s="100">
        <v>19.32</v>
      </c>
      <c r="M29" s="100">
        <v>30.61</v>
      </c>
      <c r="N29" s="100">
        <v>2.1</v>
      </c>
      <c r="O29" s="100">
        <v>0</v>
      </c>
      <c r="P29" s="100">
        <v>0.68</v>
      </c>
      <c r="Q29" s="100">
        <v>9.32</v>
      </c>
      <c r="R29" s="6"/>
      <c r="S29" s="6"/>
      <c r="T29" s="156"/>
      <c r="U29" s="6"/>
    </row>
    <row r="30" spans="1:21" customFormat="1">
      <c r="A30" s="201" t="s">
        <v>745</v>
      </c>
      <c r="B30" s="100">
        <v>13.41</v>
      </c>
      <c r="C30" s="100">
        <v>7.64</v>
      </c>
      <c r="D30" s="100">
        <v>14.75</v>
      </c>
      <c r="E30" s="100">
        <v>6.73</v>
      </c>
      <c r="F30" s="100">
        <v>2</v>
      </c>
      <c r="G30" s="100">
        <v>55.93</v>
      </c>
      <c r="H30" s="100">
        <v>23.89</v>
      </c>
      <c r="I30" s="100">
        <v>8.7100000000000009</v>
      </c>
      <c r="J30" s="100">
        <v>0.14000000000000001</v>
      </c>
      <c r="K30" s="100">
        <v>219.23</v>
      </c>
      <c r="L30" s="100">
        <v>17.93</v>
      </c>
      <c r="M30" s="100">
        <v>27.1</v>
      </c>
      <c r="N30" s="100">
        <v>2.1</v>
      </c>
      <c r="O30" s="100">
        <v>0</v>
      </c>
      <c r="P30" s="100">
        <v>0.68</v>
      </c>
      <c r="Q30" s="100">
        <v>9.32</v>
      </c>
      <c r="R30" s="6"/>
      <c r="S30" s="6"/>
      <c r="T30" s="156"/>
      <c r="U30" s="6"/>
    </row>
    <row r="31" spans="1:21" customFormat="1">
      <c r="A31" s="201" t="s">
        <v>746</v>
      </c>
      <c r="B31" s="100">
        <v>13.87</v>
      </c>
      <c r="C31" s="100">
        <v>7.63</v>
      </c>
      <c r="D31" s="100">
        <v>15.11</v>
      </c>
      <c r="E31" s="100">
        <v>6.96</v>
      </c>
      <c r="F31" s="100">
        <v>2</v>
      </c>
      <c r="G31" s="100">
        <v>59.36</v>
      </c>
      <c r="H31" s="100">
        <v>24.89</v>
      </c>
      <c r="I31" s="100">
        <v>8.7899999999999991</v>
      </c>
      <c r="J31" s="100">
        <v>0.13</v>
      </c>
      <c r="K31" s="100">
        <v>155.84</v>
      </c>
      <c r="L31" s="100">
        <v>14.95</v>
      </c>
      <c r="M31" s="100">
        <v>19.68</v>
      </c>
      <c r="N31" s="100">
        <v>2.1</v>
      </c>
      <c r="O31" s="100">
        <v>0</v>
      </c>
      <c r="P31" s="100">
        <v>0.67</v>
      </c>
      <c r="Q31" s="100">
        <v>9.32</v>
      </c>
      <c r="R31" s="6"/>
      <c r="S31" s="6"/>
      <c r="T31" s="156"/>
      <c r="U31" s="6"/>
    </row>
    <row r="32" spans="1:21" customFormat="1">
      <c r="A32" s="201" t="s">
        <v>747</v>
      </c>
      <c r="B32" s="100">
        <v>14.14</v>
      </c>
      <c r="C32" s="100">
        <v>7.58</v>
      </c>
      <c r="D32" s="100">
        <v>15.29</v>
      </c>
      <c r="E32" s="100">
        <v>7.03</v>
      </c>
      <c r="F32" s="100">
        <v>2</v>
      </c>
      <c r="G32" s="100">
        <v>59.36</v>
      </c>
      <c r="H32" s="100">
        <v>24.89</v>
      </c>
      <c r="I32" s="100">
        <v>8.86</v>
      </c>
      <c r="J32" s="100">
        <v>0.11</v>
      </c>
      <c r="K32" s="100">
        <v>191.86</v>
      </c>
      <c r="L32" s="100">
        <v>18.32</v>
      </c>
      <c r="M32" s="100">
        <v>28.15</v>
      </c>
      <c r="N32" s="100">
        <v>2.2999999999999998</v>
      </c>
      <c r="O32" s="100">
        <v>0</v>
      </c>
      <c r="P32" s="100">
        <v>0.67</v>
      </c>
      <c r="Q32" s="100">
        <v>9.32</v>
      </c>
      <c r="R32" s="6"/>
      <c r="S32" s="6"/>
      <c r="T32" s="156"/>
      <c r="U32" s="6"/>
    </row>
    <row r="33" spans="1:21" customFormat="1">
      <c r="A33" s="201" t="s">
        <v>748</v>
      </c>
      <c r="B33" s="100">
        <v>14.52</v>
      </c>
      <c r="C33" s="100">
        <v>7.65</v>
      </c>
      <c r="D33" s="100">
        <v>15.65</v>
      </c>
      <c r="E33" s="100">
        <v>7.05</v>
      </c>
      <c r="F33" s="100">
        <v>2</v>
      </c>
      <c r="G33" s="100">
        <v>59.36</v>
      </c>
      <c r="H33" s="100">
        <v>24.89</v>
      </c>
      <c r="I33" s="100">
        <v>8.9</v>
      </c>
      <c r="J33" s="100">
        <v>0.09</v>
      </c>
      <c r="K33" s="100">
        <v>159.38999999999999</v>
      </c>
      <c r="L33" s="100">
        <v>15.79</v>
      </c>
      <c r="M33" s="100">
        <v>21.73</v>
      </c>
      <c r="N33" s="100">
        <v>3.7</v>
      </c>
      <c r="O33" s="100">
        <v>0</v>
      </c>
      <c r="P33" s="100">
        <v>0.68</v>
      </c>
      <c r="Q33" s="100">
        <v>9.32</v>
      </c>
      <c r="R33" s="6"/>
      <c r="S33" s="6"/>
      <c r="T33" s="156"/>
      <c r="U33" s="6"/>
    </row>
    <row r="34" spans="1:21" customFormat="1">
      <c r="A34" s="201" t="s">
        <v>749</v>
      </c>
      <c r="B34" s="100">
        <v>15.38</v>
      </c>
      <c r="C34" s="100">
        <v>7.79</v>
      </c>
      <c r="D34" s="100">
        <v>16.399999999999999</v>
      </c>
      <c r="E34" s="100">
        <v>7.06</v>
      </c>
      <c r="F34" s="100">
        <v>2</v>
      </c>
      <c r="G34" s="100">
        <v>62.1</v>
      </c>
      <c r="H34" s="100">
        <v>26.7</v>
      </c>
      <c r="I34" s="100">
        <v>8.93</v>
      </c>
      <c r="J34" s="100">
        <v>0.12</v>
      </c>
      <c r="K34" s="100">
        <v>196.52</v>
      </c>
      <c r="L34" s="100">
        <v>18.940000000000001</v>
      </c>
      <c r="M34" s="100">
        <v>29.42</v>
      </c>
      <c r="N34" s="100">
        <v>8.3000000000000007</v>
      </c>
      <c r="O34" s="100">
        <v>0</v>
      </c>
      <c r="P34" s="100">
        <v>0.67</v>
      </c>
      <c r="Q34" s="100">
        <v>9.32</v>
      </c>
      <c r="R34" s="6"/>
      <c r="S34" s="6"/>
      <c r="T34" s="156"/>
      <c r="U34" s="6"/>
    </row>
    <row r="35" spans="1:21" customFormat="1">
      <c r="A35" s="201" t="s">
        <v>750</v>
      </c>
      <c r="B35" s="100">
        <v>16.36</v>
      </c>
      <c r="C35" s="100">
        <v>8.1300000000000008</v>
      </c>
      <c r="D35" s="100">
        <v>17.37</v>
      </c>
      <c r="E35" s="100">
        <v>7.22</v>
      </c>
      <c r="F35" s="100">
        <v>2</v>
      </c>
      <c r="G35" s="100">
        <v>65.53</v>
      </c>
      <c r="H35" s="100">
        <v>27.92</v>
      </c>
      <c r="I35" s="100">
        <v>8.9700000000000006</v>
      </c>
      <c r="J35" s="100">
        <v>0.11</v>
      </c>
      <c r="K35" s="100">
        <v>54.68</v>
      </c>
      <c r="L35" s="100">
        <v>10.96</v>
      </c>
      <c r="M35" s="100">
        <v>9.07</v>
      </c>
      <c r="N35" s="100">
        <v>16.2</v>
      </c>
      <c r="O35" s="100">
        <v>0</v>
      </c>
      <c r="P35" s="100">
        <v>0.68</v>
      </c>
      <c r="Q35" s="100">
        <v>9.32</v>
      </c>
      <c r="R35" s="6"/>
      <c r="S35" s="6"/>
      <c r="T35" s="156"/>
      <c r="U35" s="6"/>
    </row>
    <row r="36" spans="1:21" customFormat="1">
      <c r="A36" s="201" t="s">
        <v>751</v>
      </c>
      <c r="B36" s="100">
        <v>16.98</v>
      </c>
      <c r="C36" s="100">
        <v>8.4499999999999993</v>
      </c>
      <c r="D36" s="100">
        <v>18.03</v>
      </c>
      <c r="E36" s="100">
        <v>7.02</v>
      </c>
      <c r="F36" s="100">
        <v>2</v>
      </c>
      <c r="G36" s="100">
        <v>65.53</v>
      </c>
      <c r="H36" s="100">
        <v>27.92</v>
      </c>
      <c r="I36" s="100">
        <v>9.0299999999999994</v>
      </c>
      <c r="J36" s="100">
        <v>0.19</v>
      </c>
      <c r="K36" s="100">
        <v>46.27</v>
      </c>
      <c r="L36" s="100">
        <v>9.18</v>
      </c>
      <c r="M36" s="100">
        <v>4.24</v>
      </c>
      <c r="N36" s="100">
        <v>26.6</v>
      </c>
      <c r="O36" s="100">
        <v>0</v>
      </c>
      <c r="P36" s="100">
        <v>0.67</v>
      </c>
      <c r="Q36" s="100">
        <v>9.32</v>
      </c>
      <c r="R36" s="6"/>
      <c r="S36" s="6"/>
      <c r="T36" s="156"/>
      <c r="U36" s="6"/>
    </row>
    <row r="37" spans="1:21" customFormat="1">
      <c r="A37" s="201" t="s">
        <v>752</v>
      </c>
      <c r="B37" s="100">
        <v>17.11</v>
      </c>
      <c r="C37" s="100">
        <v>8.82</v>
      </c>
      <c r="D37" s="100">
        <v>18.329999999999998</v>
      </c>
      <c r="E37" s="100">
        <v>6.98</v>
      </c>
      <c r="F37" s="100">
        <v>2</v>
      </c>
      <c r="G37" s="100">
        <v>65.53</v>
      </c>
      <c r="H37" s="100">
        <v>27.92</v>
      </c>
      <c r="I37" s="100">
        <v>9.1</v>
      </c>
      <c r="J37" s="100">
        <v>0.22</v>
      </c>
      <c r="K37" s="100">
        <v>28.95</v>
      </c>
      <c r="L37" s="100">
        <v>10.82</v>
      </c>
      <c r="M37" s="100">
        <v>8</v>
      </c>
      <c r="N37" s="100">
        <v>40.799999999999997</v>
      </c>
      <c r="O37" s="100">
        <v>0</v>
      </c>
      <c r="P37" s="100">
        <v>0.68</v>
      </c>
      <c r="Q37" s="100">
        <v>9.32</v>
      </c>
      <c r="R37" s="6"/>
      <c r="S37" s="6"/>
      <c r="T37" s="156"/>
      <c r="U37" s="6"/>
    </row>
    <row r="38" spans="1:21" customFormat="1">
      <c r="A38" s="201" t="s">
        <v>753</v>
      </c>
      <c r="B38" s="100">
        <v>17.02</v>
      </c>
      <c r="C38" s="100">
        <v>9.17</v>
      </c>
      <c r="D38" s="100">
        <v>18.440000000000001</v>
      </c>
      <c r="E38" s="100">
        <v>7.13</v>
      </c>
      <c r="F38" s="100">
        <v>2</v>
      </c>
      <c r="G38" s="100">
        <v>68.69</v>
      </c>
      <c r="H38" s="100">
        <v>27.52</v>
      </c>
      <c r="I38" s="100">
        <v>9.16</v>
      </c>
      <c r="J38" s="100">
        <v>0.16</v>
      </c>
      <c r="K38" s="100">
        <v>357.53</v>
      </c>
      <c r="L38" s="100">
        <v>18.62</v>
      </c>
      <c r="M38" s="100">
        <v>27.14</v>
      </c>
      <c r="N38" s="100">
        <v>56.5</v>
      </c>
      <c r="O38" s="100">
        <v>0</v>
      </c>
      <c r="P38" s="100">
        <v>0.7</v>
      </c>
      <c r="Q38" s="100">
        <v>9.32</v>
      </c>
      <c r="R38" s="6"/>
      <c r="S38" s="6"/>
      <c r="T38" s="156"/>
      <c r="U38" s="6"/>
    </row>
    <row r="39" spans="1:21" customFormat="1">
      <c r="A39" s="201" t="s">
        <v>754</v>
      </c>
      <c r="B39" s="100">
        <v>16.97</v>
      </c>
      <c r="C39" s="100">
        <v>9.34</v>
      </c>
      <c r="D39" s="100">
        <v>18.489999999999998</v>
      </c>
      <c r="E39" s="100">
        <v>7.5</v>
      </c>
      <c r="F39" s="100">
        <v>2</v>
      </c>
      <c r="G39" s="100">
        <v>72.650000000000006</v>
      </c>
      <c r="H39" s="100">
        <v>26.89</v>
      </c>
      <c r="I39" s="100">
        <v>9.27</v>
      </c>
      <c r="J39" s="100">
        <v>0.25</v>
      </c>
      <c r="K39" s="100">
        <v>2.2599999999999998</v>
      </c>
      <c r="L39" s="100">
        <v>19.66</v>
      </c>
      <c r="M39" s="100">
        <v>28.88</v>
      </c>
      <c r="N39" s="100">
        <v>87.4</v>
      </c>
      <c r="O39" s="100">
        <v>0</v>
      </c>
      <c r="P39" s="100">
        <v>0.71</v>
      </c>
      <c r="Q39" s="100">
        <v>9.32</v>
      </c>
      <c r="R39" s="6"/>
      <c r="S39" s="6"/>
      <c r="T39" s="156"/>
      <c r="U39" s="6"/>
    </row>
    <row r="40" spans="1:21" customFormat="1">
      <c r="A40" s="201" t="s">
        <v>755</v>
      </c>
      <c r="B40" s="100">
        <v>16.809999999999999</v>
      </c>
      <c r="C40" s="100">
        <v>9.19</v>
      </c>
      <c r="D40" s="100">
        <v>18.29</v>
      </c>
      <c r="E40" s="100">
        <v>7.56</v>
      </c>
      <c r="F40" s="100">
        <v>2</v>
      </c>
      <c r="G40" s="100">
        <v>72.650000000000006</v>
      </c>
      <c r="H40" s="100">
        <v>26.89</v>
      </c>
      <c r="I40" s="100">
        <v>9.49</v>
      </c>
      <c r="J40" s="100">
        <v>0.22</v>
      </c>
      <c r="K40" s="100">
        <v>3.36</v>
      </c>
      <c r="L40" s="100">
        <v>17.89</v>
      </c>
      <c r="M40" s="100">
        <v>23.08</v>
      </c>
      <c r="N40" s="100">
        <v>150.30000000000001</v>
      </c>
      <c r="O40" s="100">
        <v>0</v>
      </c>
      <c r="P40" s="100">
        <v>0.72</v>
      </c>
      <c r="Q40" s="100">
        <v>9.32</v>
      </c>
      <c r="R40" s="6"/>
      <c r="S40" s="6"/>
      <c r="T40" s="156"/>
      <c r="U40" s="6"/>
    </row>
    <row r="41" spans="1:21" customFormat="1">
      <c r="A41" s="201" t="s">
        <v>756</v>
      </c>
      <c r="B41" s="100">
        <v>16.82</v>
      </c>
      <c r="C41" s="100">
        <v>9.59</v>
      </c>
      <c r="D41" s="100">
        <v>18.5</v>
      </c>
      <c r="E41" s="100">
        <v>8.35</v>
      </c>
      <c r="F41" s="100">
        <v>2</v>
      </c>
      <c r="G41" s="100">
        <v>72.650000000000006</v>
      </c>
      <c r="H41" s="100">
        <v>26.89</v>
      </c>
      <c r="I41" s="100">
        <v>9.76</v>
      </c>
      <c r="J41" s="100">
        <v>0.39</v>
      </c>
      <c r="K41" s="100">
        <v>26.24</v>
      </c>
      <c r="L41" s="100">
        <v>13.11</v>
      </c>
      <c r="M41" s="100">
        <v>10.26</v>
      </c>
      <c r="N41" s="100">
        <v>186.4</v>
      </c>
      <c r="O41" s="100">
        <v>0</v>
      </c>
      <c r="P41" s="100">
        <v>0.74</v>
      </c>
      <c r="Q41" s="100">
        <v>9.32</v>
      </c>
      <c r="R41" s="6"/>
      <c r="S41" s="6"/>
      <c r="T41" s="156"/>
      <c r="U41" s="6"/>
    </row>
    <row r="42" spans="1:21" customFormat="1">
      <c r="A42" s="201" t="s">
        <v>757</v>
      </c>
      <c r="B42" s="100">
        <v>16.78</v>
      </c>
      <c r="C42" s="100">
        <v>9.9700000000000006</v>
      </c>
      <c r="D42" s="100">
        <v>18.66</v>
      </c>
      <c r="E42" s="100">
        <v>9.8000000000000007</v>
      </c>
      <c r="F42" s="100">
        <v>2</v>
      </c>
      <c r="G42" s="100">
        <v>80.25</v>
      </c>
      <c r="H42" s="100">
        <v>31.65</v>
      </c>
      <c r="I42" s="100">
        <v>10.01</v>
      </c>
      <c r="J42" s="100">
        <v>0.46</v>
      </c>
      <c r="K42" s="100">
        <v>26.85</v>
      </c>
      <c r="L42" s="100">
        <v>13.71</v>
      </c>
      <c r="M42" s="100">
        <v>10.78</v>
      </c>
      <c r="N42" s="100">
        <v>228.6</v>
      </c>
      <c r="O42" s="100">
        <v>0</v>
      </c>
      <c r="P42" s="100">
        <v>0.76</v>
      </c>
      <c r="Q42" s="100">
        <v>9.32</v>
      </c>
      <c r="R42" s="6"/>
      <c r="S42" s="6"/>
      <c r="T42" s="156"/>
      <c r="U42" s="6"/>
    </row>
    <row r="43" spans="1:21" customFormat="1">
      <c r="A43" s="201" t="s">
        <v>758</v>
      </c>
      <c r="B43" s="100">
        <v>16.61</v>
      </c>
      <c r="C43" s="100">
        <v>10.16</v>
      </c>
      <c r="D43" s="100">
        <v>18.63</v>
      </c>
      <c r="E43" s="100">
        <v>10.54</v>
      </c>
      <c r="F43" s="100">
        <v>2</v>
      </c>
      <c r="G43" s="100">
        <v>89.75</v>
      </c>
      <c r="H43" s="100">
        <v>34.86</v>
      </c>
      <c r="I43" s="100">
        <v>10.19</v>
      </c>
      <c r="J43" s="100">
        <v>0.47</v>
      </c>
      <c r="K43" s="100">
        <v>18.78</v>
      </c>
      <c r="L43" s="100">
        <v>16.79</v>
      </c>
      <c r="M43" s="100">
        <v>17.37</v>
      </c>
      <c r="N43" s="100">
        <v>275.89999999999998</v>
      </c>
      <c r="O43" s="100">
        <v>0</v>
      </c>
      <c r="P43" s="100">
        <v>0.75</v>
      </c>
      <c r="Q43" s="100">
        <v>9.32</v>
      </c>
      <c r="R43" s="6"/>
      <c r="S43" s="6"/>
      <c r="T43" s="156"/>
      <c r="U43" s="6"/>
    </row>
    <row r="44" spans="1:21" customFormat="1">
      <c r="A44" s="201" t="s">
        <v>759</v>
      </c>
      <c r="B44" s="100">
        <v>16.34</v>
      </c>
      <c r="C44" s="100">
        <v>10.45</v>
      </c>
      <c r="D44" s="100">
        <v>18.559999999999999</v>
      </c>
      <c r="E44" s="100">
        <v>11.12</v>
      </c>
      <c r="F44" s="100">
        <v>2</v>
      </c>
      <c r="G44" s="100">
        <v>89.75</v>
      </c>
      <c r="H44" s="100">
        <v>34.86</v>
      </c>
      <c r="I44" s="100">
        <v>10.26</v>
      </c>
      <c r="J44" s="100">
        <v>0.61</v>
      </c>
      <c r="K44" s="100">
        <v>37.33</v>
      </c>
      <c r="L44" s="100">
        <v>12.39</v>
      </c>
      <c r="M44" s="100">
        <v>5.44</v>
      </c>
      <c r="N44" s="100">
        <v>318.10000000000002</v>
      </c>
      <c r="O44" s="100">
        <v>0</v>
      </c>
      <c r="P44" s="100">
        <v>0.75</v>
      </c>
      <c r="Q44" s="100">
        <v>9.32</v>
      </c>
      <c r="R44" s="6"/>
      <c r="S44" s="6"/>
      <c r="T44" s="156"/>
      <c r="U44" s="6"/>
    </row>
    <row r="45" spans="1:21" customFormat="1">
      <c r="A45" s="201" t="s">
        <v>760</v>
      </c>
      <c r="B45" s="100">
        <v>15.64</v>
      </c>
      <c r="C45" s="100">
        <v>10.66</v>
      </c>
      <c r="D45" s="100">
        <v>18.11</v>
      </c>
      <c r="E45" s="100">
        <v>9.2899999999999991</v>
      </c>
      <c r="F45" s="100">
        <v>2.11</v>
      </c>
      <c r="G45" s="100">
        <v>89.75</v>
      </c>
      <c r="H45" s="100">
        <v>34.86</v>
      </c>
      <c r="I45" s="100">
        <v>10.14</v>
      </c>
      <c r="J45" s="100">
        <v>0.62</v>
      </c>
      <c r="K45" s="100">
        <v>27.43</v>
      </c>
      <c r="L45" s="100">
        <v>14.19</v>
      </c>
      <c r="M45" s="100">
        <v>9.07</v>
      </c>
      <c r="N45" s="100">
        <v>353</v>
      </c>
      <c r="O45" s="100">
        <v>0</v>
      </c>
      <c r="P45" s="100">
        <v>0.73</v>
      </c>
      <c r="Q45" s="100">
        <v>9.32</v>
      </c>
      <c r="R45" s="6"/>
      <c r="S45" s="6"/>
      <c r="T45" s="156"/>
      <c r="U45" s="6"/>
    </row>
    <row r="46" spans="1:21" customFormat="1">
      <c r="A46" s="201" t="s">
        <v>761</v>
      </c>
      <c r="B46" s="100">
        <v>14.79</v>
      </c>
      <c r="C46" s="100">
        <v>10.73</v>
      </c>
      <c r="D46" s="100">
        <v>17.47</v>
      </c>
      <c r="E46" s="100">
        <v>8.16</v>
      </c>
      <c r="F46" s="100">
        <v>2.04</v>
      </c>
      <c r="G46" s="100">
        <v>93.7</v>
      </c>
      <c r="H46" s="100">
        <v>33</v>
      </c>
      <c r="I46" s="100">
        <v>9.86</v>
      </c>
      <c r="J46" s="100">
        <v>0.72</v>
      </c>
      <c r="K46" s="100">
        <v>29.18</v>
      </c>
      <c r="L46" s="100">
        <v>17.78</v>
      </c>
      <c r="M46" s="100">
        <v>16.97</v>
      </c>
      <c r="N46" s="100">
        <v>398.6</v>
      </c>
      <c r="O46" s="100">
        <v>0</v>
      </c>
      <c r="P46" s="100">
        <v>0.73</v>
      </c>
      <c r="Q46" s="100">
        <v>9.32</v>
      </c>
      <c r="R46" s="6"/>
      <c r="S46" s="6"/>
      <c r="T46" s="156"/>
      <c r="U46" s="6"/>
    </row>
    <row r="47" spans="1:21" customFormat="1">
      <c r="A47" s="201" t="s">
        <v>762</v>
      </c>
      <c r="B47" s="100">
        <v>13.79</v>
      </c>
      <c r="C47" s="100">
        <v>10.86</v>
      </c>
      <c r="D47" s="100">
        <v>16.73</v>
      </c>
      <c r="E47" s="100">
        <v>8.0399999999999991</v>
      </c>
      <c r="F47" s="100">
        <v>2.13</v>
      </c>
      <c r="G47" s="100">
        <v>98.65</v>
      </c>
      <c r="H47" s="100">
        <v>31.74</v>
      </c>
      <c r="I47" s="100">
        <v>9.57</v>
      </c>
      <c r="J47" s="100">
        <v>0.85</v>
      </c>
      <c r="K47" s="100">
        <v>37.42</v>
      </c>
      <c r="L47" s="100">
        <v>13.32</v>
      </c>
      <c r="M47" s="100">
        <v>8.48</v>
      </c>
      <c r="N47" s="100">
        <v>285.10000000000002</v>
      </c>
      <c r="O47" s="100">
        <v>0</v>
      </c>
      <c r="P47" s="100">
        <v>0.73</v>
      </c>
      <c r="Q47" s="100">
        <v>9.32</v>
      </c>
      <c r="R47" s="6"/>
      <c r="S47" s="6"/>
      <c r="T47" s="156"/>
      <c r="U47" s="6"/>
    </row>
    <row r="48" spans="1:21" customFormat="1">
      <c r="A48" s="201" t="s">
        <v>763</v>
      </c>
      <c r="B48" s="100">
        <v>13.12</v>
      </c>
      <c r="C48" s="100">
        <v>11.46</v>
      </c>
      <c r="D48" s="100">
        <v>16.510000000000002</v>
      </c>
      <c r="E48" s="100">
        <v>8.0299999999999994</v>
      </c>
      <c r="F48" s="100">
        <v>2</v>
      </c>
      <c r="G48" s="100">
        <v>98.65</v>
      </c>
      <c r="H48" s="100">
        <v>31.74</v>
      </c>
      <c r="I48" s="100">
        <v>9.3699999999999992</v>
      </c>
      <c r="J48" s="100">
        <v>0.85</v>
      </c>
      <c r="K48" s="100">
        <v>41.07</v>
      </c>
      <c r="L48" s="100">
        <v>11.36</v>
      </c>
      <c r="M48" s="100">
        <v>1.9</v>
      </c>
      <c r="N48" s="100">
        <v>357.7</v>
      </c>
      <c r="O48" s="100">
        <v>0</v>
      </c>
      <c r="P48" s="100">
        <v>0.72</v>
      </c>
      <c r="Q48" s="100">
        <v>9.32</v>
      </c>
      <c r="R48" s="6"/>
      <c r="S48" s="6"/>
      <c r="T48" s="156"/>
      <c r="U48" s="6"/>
    </row>
    <row r="49" spans="1:21" customFormat="1">
      <c r="A49" s="201" t="s">
        <v>764</v>
      </c>
      <c r="B49" s="100">
        <v>11.81</v>
      </c>
      <c r="C49" s="100">
        <v>11.11</v>
      </c>
      <c r="D49" s="100">
        <v>15.28</v>
      </c>
      <c r="E49" s="100">
        <v>6.67</v>
      </c>
      <c r="F49" s="100">
        <v>2.2400000000000002</v>
      </c>
      <c r="G49" s="100">
        <v>98.65</v>
      </c>
      <c r="H49" s="100">
        <v>31.74</v>
      </c>
      <c r="I49" s="100">
        <v>9.2100000000000009</v>
      </c>
      <c r="J49" s="100">
        <v>0.78</v>
      </c>
      <c r="K49" s="100">
        <v>35.18</v>
      </c>
      <c r="L49" s="100">
        <v>13.11</v>
      </c>
      <c r="M49" s="100">
        <v>5.23</v>
      </c>
      <c r="N49" s="100">
        <v>402.7</v>
      </c>
      <c r="O49" s="100">
        <v>0</v>
      </c>
      <c r="P49" s="100">
        <v>0.72</v>
      </c>
      <c r="Q49" s="100">
        <v>9.32</v>
      </c>
      <c r="R49" s="6"/>
      <c r="S49" s="6"/>
      <c r="T49" s="156"/>
      <c r="U49" s="6"/>
    </row>
    <row r="50" spans="1:21" customFormat="1">
      <c r="A50" s="201" t="s">
        <v>765</v>
      </c>
      <c r="B50" s="100">
        <v>10.5</v>
      </c>
      <c r="C50" s="100">
        <v>11.02</v>
      </c>
      <c r="D50" s="100">
        <v>14.17</v>
      </c>
      <c r="E50" s="100">
        <v>7.57</v>
      </c>
      <c r="F50" s="100">
        <v>3.48</v>
      </c>
      <c r="G50" s="100">
        <v>94.52</v>
      </c>
      <c r="H50" s="100">
        <v>30.62</v>
      </c>
      <c r="I50" s="100">
        <v>9.0299999999999994</v>
      </c>
      <c r="J50" s="100">
        <v>1.06</v>
      </c>
      <c r="K50" s="100">
        <v>34.03</v>
      </c>
      <c r="L50" s="100">
        <v>14.52</v>
      </c>
      <c r="M50" s="100">
        <v>6.89</v>
      </c>
      <c r="N50" s="100">
        <v>481.8</v>
      </c>
      <c r="O50" s="100">
        <v>0</v>
      </c>
      <c r="P50" s="100">
        <v>0.7</v>
      </c>
      <c r="Q50" s="100">
        <v>9.32</v>
      </c>
      <c r="R50" s="6"/>
      <c r="S50" s="6"/>
      <c r="T50" s="156"/>
      <c r="U50" s="6"/>
    </row>
    <row r="51" spans="1:21" customFormat="1">
      <c r="A51" s="201" t="s">
        <v>766</v>
      </c>
      <c r="B51" s="100">
        <v>9.16</v>
      </c>
      <c r="C51" s="100">
        <v>10.9</v>
      </c>
      <c r="D51" s="100">
        <v>13.04</v>
      </c>
      <c r="E51" s="100">
        <v>7.44</v>
      </c>
      <c r="F51" s="100">
        <v>3.08</v>
      </c>
      <c r="G51" s="100">
        <v>89.36</v>
      </c>
      <c r="H51" s="100">
        <v>29.86</v>
      </c>
      <c r="I51" s="100">
        <v>8.84</v>
      </c>
      <c r="J51" s="100">
        <v>1.1299999999999999</v>
      </c>
      <c r="K51" s="100">
        <v>34.54</v>
      </c>
      <c r="L51" s="100">
        <v>13.6</v>
      </c>
      <c r="M51" s="100">
        <v>4.42</v>
      </c>
      <c r="N51" s="100">
        <v>486.8</v>
      </c>
      <c r="O51" s="100">
        <v>0</v>
      </c>
      <c r="P51" s="100">
        <v>0.69</v>
      </c>
      <c r="Q51" s="100">
        <v>9.32</v>
      </c>
      <c r="R51" s="6"/>
      <c r="S51" s="6"/>
      <c r="T51" s="156"/>
      <c r="U51" s="6"/>
    </row>
    <row r="52" spans="1:21" customFormat="1">
      <c r="A52" s="201" t="s">
        <v>767</v>
      </c>
      <c r="B52" s="100">
        <v>7.93</v>
      </c>
      <c r="C52" s="100">
        <v>10.74</v>
      </c>
      <c r="D52" s="100">
        <v>11.97</v>
      </c>
      <c r="E52" s="100">
        <v>7.37</v>
      </c>
      <c r="F52" s="100">
        <v>3.48</v>
      </c>
      <c r="G52" s="100">
        <v>89.36</v>
      </c>
      <c r="H52" s="100">
        <v>29.86</v>
      </c>
      <c r="I52" s="100">
        <v>8.66</v>
      </c>
      <c r="J52" s="100">
        <v>0.97</v>
      </c>
      <c r="K52" s="100">
        <v>36.979999999999997</v>
      </c>
      <c r="L52" s="100">
        <v>13.07</v>
      </c>
      <c r="M52" s="100">
        <v>6.33</v>
      </c>
      <c r="N52" s="100">
        <v>349.7</v>
      </c>
      <c r="O52" s="100">
        <v>0</v>
      </c>
      <c r="P52" s="100">
        <v>0.69</v>
      </c>
      <c r="Q52" s="100">
        <v>9.32</v>
      </c>
      <c r="R52" s="6"/>
      <c r="S52" s="6"/>
      <c r="T52" s="156"/>
      <c r="U52" s="6"/>
    </row>
    <row r="53" spans="1:21" customFormat="1">
      <c r="A53" s="201" t="s">
        <v>768</v>
      </c>
      <c r="B53" s="100">
        <v>7.02</v>
      </c>
      <c r="C53" s="100">
        <v>11.06</v>
      </c>
      <c r="D53" s="100">
        <v>11.41</v>
      </c>
      <c r="E53" s="100">
        <v>7.23</v>
      </c>
      <c r="F53" s="100">
        <v>2.02</v>
      </c>
      <c r="G53" s="100">
        <v>89.36</v>
      </c>
      <c r="H53" s="100">
        <v>29.86</v>
      </c>
      <c r="I53" s="100">
        <v>8.43</v>
      </c>
      <c r="J53" s="100">
        <v>1.06</v>
      </c>
      <c r="K53" s="100">
        <v>39.47</v>
      </c>
      <c r="L53" s="100">
        <v>12.36</v>
      </c>
      <c r="M53" s="100">
        <v>1.35</v>
      </c>
      <c r="N53" s="100">
        <v>488.6</v>
      </c>
      <c r="O53" s="100">
        <v>0</v>
      </c>
      <c r="P53" s="100">
        <v>0.68</v>
      </c>
      <c r="Q53" s="100">
        <v>9.32</v>
      </c>
      <c r="R53" s="6"/>
      <c r="S53" s="6"/>
      <c r="T53" s="156"/>
      <c r="U53" s="6"/>
    </row>
    <row r="54" spans="1:21" customFormat="1">
      <c r="A54" s="201" t="s">
        <v>769</v>
      </c>
      <c r="B54" s="100">
        <v>6.09</v>
      </c>
      <c r="C54" s="100">
        <v>10.86</v>
      </c>
      <c r="D54" s="100">
        <v>10.55</v>
      </c>
      <c r="E54" s="100">
        <v>7.29</v>
      </c>
      <c r="F54" s="100">
        <v>2.95</v>
      </c>
      <c r="G54" s="100">
        <v>89.09</v>
      </c>
      <c r="H54" s="100">
        <v>27.62</v>
      </c>
      <c r="I54" s="100">
        <v>8.32</v>
      </c>
      <c r="J54" s="100">
        <v>0.99</v>
      </c>
      <c r="K54" s="100">
        <v>35.619999999999997</v>
      </c>
      <c r="L54" s="100">
        <v>10.7</v>
      </c>
      <c r="M54" s="100">
        <v>1.69</v>
      </c>
      <c r="N54" s="100">
        <v>295.7</v>
      </c>
      <c r="O54" s="100">
        <v>0</v>
      </c>
      <c r="P54" s="100">
        <v>0.68</v>
      </c>
      <c r="Q54" s="100">
        <v>9.32</v>
      </c>
      <c r="R54" s="6"/>
      <c r="S54" s="6"/>
      <c r="T54" s="156"/>
      <c r="U54" s="6"/>
    </row>
    <row r="55" spans="1:21" customFormat="1">
      <c r="A55" s="201" t="s">
        <v>770</v>
      </c>
      <c r="B55" s="100">
        <v>5.47</v>
      </c>
      <c r="C55" s="100">
        <v>10.65</v>
      </c>
      <c r="D55" s="100">
        <v>9.9499999999999993</v>
      </c>
      <c r="E55" s="100">
        <v>6.93</v>
      </c>
      <c r="F55" s="100">
        <v>2.04</v>
      </c>
      <c r="G55" s="100">
        <v>88.76</v>
      </c>
      <c r="H55" s="100">
        <v>26.11</v>
      </c>
      <c r="I55" s="100">
        <v>8.2100000000000009</v>
      </c>
      <c r="J55" s="100">
        <v>1.1200000000000001</v>
      </c>
      <c r="K55" s="100">
        <v>38.26</v>
      </c>
      <c r="L55" s="100">
        <v>11.58</v>
      </c>
      <c r="M55" s="100">
        <v>1.18</v>
      </c>
      <c r="N55" s="100">
        <v>413.2</v>
      </c>
      <c r="O55" s="100">
        <v>0</v>
      </c>
      <c r="P55" s="100">
        <v>0.68</v>
      </c>
      <c r="Q55" s="100">
        <v>9.32</v>
      </c>
      <c r="R55" s="6"/>
      <c r="S55" s="6"/>
      <c r="T55" s="156"/>
      <c r="U55" s="6"/>
    </row>
    <row r="56" spans="1:21" customFormat="1">
      <c r="A56" s="201" t="s">
        <v>771</v>
      </c>
      <c r="B56" s="100">
        <v>4.92</v>
      </c>
      <c r="C56" s="100">
        <v>10.44</v>
      </c>
      <c r="D56" s="100">
        <v>9.4</v>
      </c>
      <c r="E56" s="100">
        <v>7.42</v>
      </c>
      <c r="F56" s="100">
        <v>2.09</v>
      </c>
      <c r="G56" s="100">
        <v>88.76</v>
      </c>
      <c r="H56" s="100">
        <v>26.11</v>
      </c>
      <c r="I56" s="100">
        <v>8.09</v>
      </c>
      <c r="J56" s="100">
        <v>0.55000000000000004</v>
      </c>
      <c r="K56" s="100">
        <v>45.78</v>
      </c>
      <c r="L56" s="100">
        <v>11.14</v>
      </c>
      <c r="M56" s="100">
        <v>3.33</v>
      </c>
      <c r="N56" s="100">
        <v>274.2</v>
      </c>
      <c r="O56" s="100">
        <v>0</v>
      </c>
      <c r="P56" s="100">
        <v>0.68</v>
      </c>
      <c r="Q56" s="100">
        <v>9.32</v>
      </c>
      <c r="R56" s="6"/>
      <c r="S56" s="6"/>
      <c r="T56" s="156"/>
      <c r="U56" s="6"/>
    </row>
    <row r="57" spans="1:21" customFormat="1">
      <c r="A57" s="201" t="s">
        <v>772</v>
      </c>
      <c r="B57" s="100">
        <v>4.57</v>
      </c>
      <c r="C57" s="100">
        <v>10.050000000000001</v>
      </c>
      <c r="D57" s="100">
        <v>8.92</v>
      </c>
      <c r="E57" s="100">
        <v>7.2</v>
      </c>
      <c r="F57" s="100">
        <v>2.1800000000000002</v>
      </c>
      <c r="G57" s="100">
        <v>88.76</v>
      </c>
      <c r="H57" s="100">
        <v>26.11</v>
      </c>
      <c r="I57" s="100">
        <v>8.0299999999999994</v>
      </c>
      <c r="J57" s="100">
        <v>0.69</v>
      </c>
      <c r="K57" s="100">
        <v>25.42</v>
      </c>
      <c r="L57" s="100">
        <v>16.22</v>
      </c>
      <c r="M57" s="100">
        <v>14.17</v>
      </c>
      <c r="N57" s="100">
        <v>355.6</v>
      </c>
      <c r="O57" s="100">
        <v>0</v>
      </c>
      <c r="P57" s="100">
        <v>0.67</v>
      </c>
      <c r="Q57" s="100">
        <v>9.32</v>
      </c>
      <c r="R57" s="6"/>
      <c r="S57" s="6"/>
      <c r="T57" s="156"/>
      <c r="U57" s="6"/>
    </row>
    <row r="58" spans="1:21" customFormat="1">
      <c r="A58" s="201" t="s">
        <v>773</v>
      </c>
      <c r="B58" s="100">
        <v>4.1900000000000004</v>
      </c>
      <c r="C58" s="100">
        <v>9.92</v>
      </c>
      <c r="D58" s="100">
        <v>8.5399999999999991</v>
      </c>
      <c r="E58" s="100">
        <v>7.41</v>
      </c>
      <c r="F58" s="100">
        <v>3.79</v>
      </c>
      <c r="G58" s="100">
        <v>84.86</v>
      </c>
      <c r="H58" s="100">
        <v>27.41</v>
      </c>
      <c r="I58" s="100">
        <v>7.89</v>
      </c>
      <c r="J58" s="100">
        <v>0.77</v>
      </c>
      <c r="K58" s="100">
        <v>40.93</v>
      </c>
      <c r="L58" s="100">
        <v>14.34</v>
      </c>
      <c r="M58" s="100">
        <v>4.72</v>
      </c>
      <c r="N58" s="100">
        <v>560.9</v>
      </c>
      <c r="O58" s="100">
        <v>0</v>
      </c>
      <c r="P58" s="100">
        <v>0.66</v>
      </c>
      <c r="Q58" s="100">
        <v>9.32</v>
      </c>
      <c r="R58" s="6"/>
      <c r="S58" s="6"/>
      <c r="T58" s="156"/>
      <c r="U58" s="6"/>
    </row>
    <row r="59" spans="1:21" customFormat="1">
      <c r="A59" s="201" t="s">
        <v>774</v>
      </c>
      <c r="B59" s="100">
        <v>3.87</v>
      </c>
      <c r="C59" s="100">
        <v>9.5</v>
      </c>
      <c r="D59" s="100">
        <v>8.07</v>
      </c>
      <c r="E59" s="100">
        <v>7.65</v>
      </c>
      <c r="F59" s="100">
        <v>2.8</v>
      </c>
      <c r="G59" s="100">
        <v>79.98</v>
      </c>
      <c r="H59" s="100">
        <v>28.28</v>
      </c>
      <c r="I59" s="100">
        <v>7.77</v>
      </c>
      <c r="J59" s="100">
        <v>0.56999999999999995</v>
      </c>
      <c r="K59" s="100">
        <v>49.51</v>
      </c>
      <c r="L59" s="100">
        <v>14.38</v>
      </c>
      <c r="M59" s="100">
        <v>5.7</v>
      </c>
      <c r="N59" s="100">
        <v>522.9</v>
      </c>
      <c r="O59" s="100">
        <v>0</v>
      </c>
      <c r="P59" s="100">
        <v>0.65</v>
      </c>
      <c r="Q59" s="100">
        <v>9.32</v>
      </c>
      <c r="R59" s="6"/>
      <c r="S59" s="6"/>
      <c r="T59" s="156"/>
      <c r="U59" s="6"/>
    </row>
    <row r="60" spans="1:21" customFormat="1">
      <c r="A60" s="201" t="s">
        <v>775</v>
      </c>
      <c r="B60" s="100">
        <v>3.54</v>
      </c>
      <c r="C60" s="100">
        <v>9.64</v>
      </c>
      <c r="D60" s="100">
        <v>7.87</v>
      </c>
      <c r="E60" s="100">
        <v>7.49</v>
      </c>
      <c r="F60" s="100">
        <v>2.2200000000000002</v>
      </c>
      <c r="G60" s="100">
        <v>79.98</v>
      </c>
      <c r="H60" s="100">
        <v>28.28</v>
      </c>
      <c r="I60" s="100">
        <v>7.61</v>
      </c>
      <c r="J60" s="100">
        <v>0.64</v>
      </c>
      <c r="K60" s="100">
        <v>31.73</v>
      </c>
      <c r="L60" s="100">
        <v>13.03</v>
      </c>
      <c r="M60" s="100">
        <v>11.28</v>
      </c>
      <c r="N60" s="100">
        <v>140.80000000000001</v>
      </c>
      <c r="O60" s="100">
        <v>0</v>
      </c>
      <c r="P60" s="100">
        <v>0.65</v>
      </c>
      <c r="Q60" s="100">
        <v>9.32</v>
      </c>
      <c r="R60" s="6"/>
      <c r="S60" s="6"/>
      <c r="T60" s="156"/>
      <c r="U60" s="6"/>
    </row>
    <row r="61" spans="1:21" customFormat="1">
      <c r="A61" s="201" t="s">
        <v>776</v>
      </c>
      <c r="B61" s="100">
        <v>3.38</v>
      </c>
      <c r="C61" s="100">
        <v>9.36</v>
      </c>
      <c r="D61" s="100">
        <v>7.6</v>
      </c>
      <c r="E61" s="100">
        <v>7</v>
      </c>
      <c r="F61" s="100">
        <v>2.58</v>
      </c>
      <c r="G61" s="100">
        <v>79.98</v>
      </c>
      <c r="H61" s="100">
        <v>28.28</v>
      </c>
      <c r="I61" s="100">
        <v>7.51</v>
      </c>
      <c r="J61" s="100">
        <v>0.63</v>
      </c>
      <c r="K61" s="100">
        <v>28.77</v>
      </c>
      <c r="L61" s="100">
        <v>16.38</v>
      </c>
      <c r="M61" s="100">
        <v>11.87</v>
      </c>
      <c r="N61" s="100">
        <v>469.7</v>
      </c>
      <c r="O61" s="100">
        <v>0</v>
      </c>
      <c r="P61" s="100">
        <v>0.64</v>
      </c>
      <c r="Q61" s="100">
        <v>9.32</v>
      </c>
      <c r="R61" s="6"/>
      <c r="S61" s="6"/>
      <c r="T61" s="156"/>
      <c r="U61" s="6"/>
    </row>
    <row r="62" spans="1:21" customFormat="1">
      <c r="A62" s="201" t="s">
        <v>777</v>
      </c>
      <c r="B62" s="100">
        <v>3.31</v>
      </c>
      <c r="C62" s="100">
        <v>9.23</v>
      </c>
      <c r="D62" s="100">
        <v>7.48</v>
      </c>
      <c r="E62" s="100">
        <v>7.36</v>
      </c>
      <c r="F62" s="100">
        <v>3.24</v>
      </c>
      <c r="G62" s="100">
        <v>76.540000000000006</v>
      </c>
      <c r="H62" s="100">
        <v>27.44</v>
      </c>
      <c r="I62" s="100">
        <v>7.43</v>
      </c>
      <c r="J62" s="100">
        <v>0.79</v>
      </c>
      <c r="K62" s="100">
        <v>30.77</v>
      </c>
      <c r="L62" s="100">
        <v>12.74</v>
      </c>
      <c r="M62" s="100">
        <v>7.64</v>
      </c>
      <c r="N62" s="100">
        <v>261.5</v>
      </c>
      <c r="O62" s="100">
        <v>0</v>
      </c>
      <c r="P62" s="100">
        <v>0.64</v>
      </c>
      <c r="Q62" s="100">
        <v>9.32</v>
      </c>
      <c r="R62" s="6"/>
      <c r="S62" s="6"/>
      <c r="T62" s="156"/>
      <c r="U62" s="6"/>
    </row>
    <row r="63" spans="1:21" customFormat="1">
      <c r="A63" s="201" t="s">
        <v>778</v>
      </c>
      <c r="B63" s="100">
        <v>3.42</v>
      </c>
      <c r="C63" s="100">
        <v>9.0500000000000007</v>
      </c>
      <c r="D63" s="100">
        <v>7.47</v>
      </c>
      <c r="E63" s="100">
        <v>7.35</v>
      </c>
      <c r="F63" s="100">
        <v>4.9400000000000004</v>
      </c>
      <c r="G63" s="100">
        <v>72.23</v>
      </c>
      <c r="H63" s="100">
        <v>26.03</v>
      </c>
      <c r="I63" s="100">
        <v>7.34</v>
      </c>
      <c r="J63" s="100">
        <v>0.74</v>
      </c>
      <c r="K63" s="100">
        <v>34.04</v>
      </c>
      <c r="L63" s="100">
        <v>12.44</v>
      </c>
      <c r="M63" s="100">
        <v>8.6300000000000008</v>
      </c>
      <c r="N63" s="100">
        <v>187.8</v>
      </c>
      <c r="O63" s="100">
        <v>0</v>
      </c>
      <c r="P63" s="100">
        <v>0.64</v>
      </c>
      <c r="Q63" s="100">
        <v>9.32</v>
      </c>
      <c r="R63" s="6"/>
      <c r="S63" s="6"/>
      <c r="T63" s="156"/>
      <c r="U63" s="6"/>
    </row>
    <row r="64" spans="1:21" customFormat="1">
      <c r="A64" s="201" t="s">
        <v>779</v>
      </c>
      <c r="B64" s="100">
        <v>3.28</v>
      </c>
      <c r="C64" s="100">
        <v>8.94</v>
      </c>
      <c r="D64" s="100">
        <v>7.31</v>
      </c>
      <c r="E64" s="100">
        <v>7.09</v>
      </c>
      <c r="F64" s="100">
        <v>3.06</v>
      </c>
      <c r="G64" s="100">
        <v>72.23</v>
      </c>
      <c r="H64" s="100">
        <v>26.03</v>
      </c>
      <c r="I64" s="100">
        <v>7.12</v>
      </c>
      <c r="J64" s="100">
        <v>0.71</v>
      </c>
      <c r="K64" s="100">
        <v>39.17</v>
      </c>
      <c r="L64" s="100">
        <v>11.55</v>
      </c>
      <c r="M64" s="100">
        <v>7.07</v>
      </c>
      <c r="N64" s="100">
        <v>160.19999999999999</v>
      </c>
      <c r="O64" s="100">
        <v>0</v>
      </c>
      <c r="P64" s="100">
        <v>0.63</v>
      </c>
      <c r="Q64" s="100">
        <v>9.32</v>
      </c>
      <c r="R64" s="6"/>
      <c r="S64" s="6"/>
      <c r="T64" s="156"/>
      <c r="U64" s="6"/>
    </row>
    <row r="65" spans="1:21" customFormat="1">
      <c r="A65" s="201" t="s">
        <v>780</v>
      </c>
      <c r="B65" s="100">
        <v>3.24</v>
      </c>
      <c r="C65" s="100">
        <v>8.73</v>
      </c>
      <c r="D65" s="100">
        <v>7.16</v>
      </c>
      <c r="E65" s="100">
        <v>7.46</v>
      </c>
      <c r="F65" s="100">
        <v>3.59</v>
      </c>
      <c r="G65" s="100">
        <v>72.23</v>
      </c>
      <c r="H65" s="100">
        <v>26.03</v>
      </c>
      <c r="I65" s="100">
        <v>7.03</v>
      </c>
      <c r="J65" s="100">
        <v>0.72</v>
      </c>
      <c r="K65" s="100">
        <v>35.450000000000003</v>
      </c>
      <c r="L65" s="100">
        <v>11.01</v>
      </c>
      <c r="M65" s="100">
        <v>6.92</v>
      </c>
      <c r="N65" s="100">
        <v>111</v>
      </c>
      <c r="O65" s="100">
        <v>0</v>
      </c>
      <c r="P65" s="100">
        <v>0.61</v>
      </c>
      <c r="Q65" s="100">
        <v>9.32</v>
      </c>
      <c r="R65" s="6"/>
      <c r="S65" s="6"/>
      <c r="T65" s="156"/>
      <c r="U65" s="6"/>
    </row>
    <row r="66" spans="1:21" customFormat="1">
      <c r="A66" s="201" t="s">
        <v>781</v>
      </c>
      <c r="B66" s="100">
        <v>3.32</v>
      </c>
      <c r="C66" s="100">
        <v>10.4</v>
      </c>
      <c r="D66" s="100">
        <v>8.09</v>
      </c>
      <c r="E66" s="100">
        <v>7.28</v>
      </c>
      <c r="F66" s="100">
        <v>6.23</v>
      </c>
      <c r="G66" s="100">
        <v>64.53</v>
      </c>
      <c r="H66" s="100">
        <v>27.56</v>
      </c>
      <c r="I66" s="100">
        <v>6.98</v>
      </c>
      <c r="J66" s="100">
        <v>0.73</v>
      </c>
      <c r="K66" s="100">
        <v>40.36</v>
      </c>
      <c r="L66" s="100">
        <v>10.89</v>
      </c>
      <c r="M66" s="100">
        <v>6.81</v>
      </c>
      <c r="N66" s="100">
        <v>103.5</v>
      </c>
      <c r="O66" s="100">
        <v>0</v>
      </c>
      <c r="P66" s="100">
        <v>0.62</v>
      </c>
      <c r="Q66" s="100">
        <v>9.32</v>
      </c>
      <c r="R66" s="6"/>
      <c r="S66" s="6"/>
      <c r="T66" s="156"/>
      <c r="U66" s="6"/>
    </row>
    <row r="67" spans="1:21" customFormat="1">
      <c r="A67" s="201" t="s">
        <v>782</v>
      </c>
      <c r="B67" s="100">
        <v>3.12</v>
      </c>
      <c r="C67" s="100">
        <v>9.26</v>
      </c>
      <c r="D67" s="100">
        <v>7.34</v>
      </c>
      <c r="E67" s="100">
        <v>7.45</v>
      </c>
      <c r="F67" s="100">
        <v>2.42</v>
      </c>
      <c r="G67" s="100">
        <v>55.33</v>
      </c>
      <c r="H67" s="100">
        <v>28.63</v>
      </c>
      <c r="I67" s="100">
        <v>6.78</v>
      </c>
      <c r="J67" s="100">
        <v>0.86</v>
      </c>
      <c r="K67" s="100">
        <v>39.36</v>
      </c>
      <c r="L67" s="100">
        <v>8.26</v>
      </c>
      <c r="M67" s="100">
        <v>0.77</v>
      </c>
      <c r="N67" s="100">
        <v>77.599999999999994</v>
      </c>
      <c r="O67" s="100">
        <v>0</v>
      </c>
      <c r="P67" s="100">
        <v>0.62</v>
      </c>
      <c r="Q67" s="100">
        <v>9.32</v>
      </c>
      <c r="R67" s="6"/>
      <c r="S67" s="6"/>
      <c r="T67" s="156"/>
      <c r="U67" s="6"/>
    </row>
    <row r="68" spans="1:21" customFormat="1">
      <c r="A68" s="201" t="s">
        <v>783</v>
      </c>
      <c r="B68" s="100">
        <v>3.01</v>
      </c>
      <c r="C68" s="100">
        <v>8.7799999999999994</v>
      </c>
      <c r="D68" s="100">
        <v>7</v>
      </c>
      <c r="E68" s="100">
        <v>7.6</v>
      </c>
      <c r="F68" s="100">
        <v>3.31</v>
      </c>
      <c r="G68" s="100">
        <v>55.33</v>
      </c>
      <c r="H68" s="100">
        <v>28.63</v>
      </c>
      <c r="I68" s="100">
        <v>6.76</v>
      </c>
      <c r="J68" s="100">
        <v>0.66</v>
      </c>
      <c r="K68" s="100">
        <v>42.43</v>
      </c>
      <c r="L68" s="100">
        <v>8.4600000000000009</v>
      </c>
      <c r="M68" s="100">
        <v>1.89</v>
      </c>
      <c r="N68" s="100">
        <v>51.8</v>
      </c>
      <c r="O68" s="100">
        <v>0</v>
      </c>
      <c r="P68" s="100">
        <v>0.61</v>
      </c>
      <c r="Q68" s="100">
        <v>9.32</v>
      </c>
      <c r="R68" s="6"/>
      <c r="S68" s="6"/>
      <c r="T68" s="156"/>
      <c r="U68" s="6"/>
    </row>
    <row r="69" spans="1:21" customFormat="1">
      <c r="A69" s="201" t="s">
        <v>784</v>
      </c>
      <c r="B69" s="100">
        <v>2.97</v>
      </c>
      <c r="C69" s="100">
        <v>8.68</v>
      </c>
      <c r="D69" s="100">
        <v>6.92</v>
      </c>
      <c r="E69" s="100">
        <v>6.96</v>
      </c>
      <c r="F69" s="100">
        <v>3.08</v>
      </c>
      <c r="G69" s="100">
        <v>55.33</v>
      </c>
      <c r="H69" s="100">
        <v>28.63</v>
      </c>
      <c r="I69" s="100">
        <v>6.77</v>
      </c>
      <c r="J69" s="100">
        <v>0.26</v>
      </c>
      <c r="K69" s="100">
        <v>84.94</v>
      </c>
      <c r="L69" s="100">
        <v>12.92</v>
      </c>
      <c r="M69" s="100">
        <v>13.4</v>
      </c>
      <c r="N69" s="100">
        <v>44.4</v>
      </c>
      <c r="O69" s="100">
        <v>0</v>
      </c>
      <c r="P69" s="100">
        <v>0.62</v>
      </c>
      <c r="Q69" s="100">
        <v>9.32</v>
      </c>
      <c r="R69" s="6"/>
      <c r="S69" s="6"/>
      <c r="T69" s="156"/>
      <c r="U69" s="6"/>
    </row>
    <row r="70" spans="1:21" customFormat="1">
      <c r="A70" s="201" t="s">
        <v>785</v>
      </c>
      <c r="B70" s="100">
        <v>3.41</v>
      </c>
      <c r="C70" s="100">
        <v>9.7899999999999991</v>
      </c>
      <c r="D70" s="100">
        <v>7.85</v>
      </c>
      <c r="E70" s="100">
        <v>7.07</v>
      </c>
      <c r="F70" s="100">
        <v>4.45</v>
      </c>
      <c r="G70" s="100">
        <v>53.93</v>
      </c>
      <c r="H70" s="100">
        <v>22.64</v>
      </c>
      <c r="I70" s="100">
        <v>6.67</v>
      </c>
      <c r="J70" s="100">
        <v>0.41</v>
      </c>
      <c r="K70" s="100">
        <v>32.549999999999997</v>
      </c>
      <c r="L70" s="100">
        <v>9.2799999999999994</v>
      </c>
      <c r="M70" s="100">
        <v>4.1399999999999997</v>
      </c>
      <c r="N70" s="100">
        <v>42.1</v>
      </c>
      <c r="O70" s="100">
        <v>0</v>
      </c>
      <c r="P70" s="100">
        <v>0.61</v>
      </c>
      <c r="Q70" s="100">
        <v>9.32</v>
      </c>
      <c r="R70" s="6"/>
      <c r="S70" s="6"/>
      <c r="T70" s="156"/>
      <c r="U70" s="6"/>
    </row>
    <row r="71" spans="1:21" customFormat="1">
      <c r="A71" s="201" t="s">
        <v>786</v>
      </c>
      <c r="B71" s="100">
        <v>3.22</v>
      </c>
      <c r="C71" s="100">
        <v>9.39</v>
      </c>
      <c r="D71" s="100">
        <v>7.49</v>
      </c>
      <c r="E71" s="100">
        <v>7.5</v>
      </c>
      <c r="F71" s="100">
        <v>4.13</v>
      </c>
      <c r="G71" s="100">
        <v>52.18</v>
      </c>
      <c r="H71" s="100">
        <v>18.61</v>
      </c>
      <c r="I71" s="100">
        <v>6.55</v>
      </c>
      <c r="J71" s="100">
        <v>0.53</v>
      </c>
      <c r="K71" s="100">
        <v>32.35</v>
      </c>
      <c r="L71" s="100">
        <v>13.12</v>
      </c>
      <c r="M71" s="100">
        <v>13.69</v>
      </c>
      <c r="N71" s="100">
        <v>49.4</v>
      </c>
      <c r="O71" s="100">
        <v>0</v>
      </c>
      <c r="P71" s="100">
        <v>0.61</v>
      </c>
      <c r="Q71" s="100">
        <v>9.32</v>
      </c>
      <c r="R71" s="6"/>
      <c r="S71" s="6"/>
      <c r="T71" s="156"/>
      <c r="U71" s="6"/>
    </row>
    <row r="72" spans="1:21" customFormat="1">
      <c r="A72" s="201" t="s">
        <v>787</v>
      </c>
      <c r="B72" s="100">
        <v>3.02</v>
      </c>
      <c r="C72" s="100">
        <v>8.3800000000000008</v>
      </c>
      <c r="D72" s="100">
        <v>6.81</v>
      </c>
      <c r="E72" s="100">
        <v>7.29</v>
      </c>
      <c r="F72" s="100">
        <v>2.08</v>
      </c>
      <c r="G72" s="100">
        <v>52.18</v>
      </c>
      <c r="H72" s="100">
        <v>18.61</v>
      </c>
      <c r="I72" s="100">
        <v>6.44</v>
      </c>
      <c r="J72" s="100">
        <v>0.92</v>
      </c>
      <c r="K72" s="100">
        <v>39.14</v>
      </c>
      <c r="L72" s="100">
        <v>8.11</v>
      </c>
      <c r="M72" s="100">
        <v>1.24</v>
      </c>
      <c r="N72" s="100">
        <v>41.8</v>
      </c>
      <c r="O72" s="100">
        <v>0</v>
      </c>
      <c r="P72" s="100">
        <v>0.6</v>
      </c>
      <c r="Q72" s="100">
        <v>9.32</v>
      </c>
      <c r="R72" s="6"/>
      <c r="S72" s="6"/>
      <c r="T72" s="156"/>
      <c r="U72" s="6"/>
    </row>
    <row r="73" spans="1:21" customFormat="1">
      <c r="A73" s="201" t="s">
        <v>788</v>
      </c>
      <c r="B73" s="100">
        <v>2.91</v>
      </c>
      <c r="C73" s="100">
        <v>8.15</v>
      </c>
      <c r="D73" s="100">
        <v>6.6</v>
      </c>
      <c r="E73" s="100">
        <v>6.98</v>
      </c>
      <c r="F73" s="100">
        <v>3.65</v>
      </c>
      <c r="G73" s="100">
        <v>52.18</v>
      </c>
      <c r="H73" s="100">
        <v>18.61</v>
      </c>
      <c r="I73" s="100">
        <v>6.38</v>
      </c>
      <c r="J73" s="100">
        <v>0.68</v>
      </c>
      <c r="K73" s="100">
        <v>40.700000000000003</v>
      </c>
      <c r="L73" s="100">
        <v>6.64</v>
      </c>
      <c r="M73" s="100">
        <v>-2.1</v>
      </c>
      <c r="N73" s="100">
        <v>26.3</v>
      </c>
      <c r="O73" s="100">
        <v>0</v>
      </c>
      <c r="P73" s="100">
        <v>0.61</v>
      </c>
      <c r="Q73" s="100">
        <v>9.32</v>
      </c>
      <c r="R73" s="6"/>
      <c r="S73" s="6"/>
      <c r="T73" s="156"/>
      <c r="U73" s="6"/>
    </row>
    <row r="74" spans="1:21" customFormat="1">
      <c r="A74" s="201" t="s">
        <v>789</v>
      </c>
      <c r="B74" s="100">
        <v>3.05</v>
      </c>
      <c r="C74" s="100">
        <v>9.34</v>
      </c>
      <c r="D74" s="100">
        <v>7.32</v>
      </c>
      <c r="E74" s="100">
        <v>6.97</v>
      </c>
      <c r="F74" s="100">
        <v>7.47</v>
      </c>
      <c r="G74" s="100">
        <v>55.07</v>
      </c>
      <c r="H74" s="100">
        <v>21.53</v>
      </c>
      <c r="I74" s="100">
        <v>6.37</v>
      </c>
      <c r="J74" s="100">
        <v>0.51</v>
      </c>
      <c r="K74" s="100">
        <v>43.86</v>
      </c>
      <c r="L74" s="100">
        <v>7.11</v>
      </c>
      <c r="M74" s="100">
        <v>-0.68</v>
      </c>
      <c r="N74" s="100">
        <v>20.3</v>
      </c>
      <c r="O74" s="100">
        <v>0</v>
      </c>
      <c r="P74" s="100">
        <v>0.62</v>
      </c>
      <c r="Q74" s="100">
        <v>9.32</v>
      </c>
      <c r="R74" s="6"/>
      <c r="S74" s="6"/>
      <c r="T74" s="156"/>
      <c r="U74" s="6"/>
    </row>
    <row r="75" spans="1:21" customFormat="1">
      <c r="A75" s="201" t="s">
        <v>790</v>
      </c>
      <c r="B75" s="100">
        <v>5.37</v>
      </c>
      <c r="C75" s="100">
        <v>9.42</v>
      </c>
      <c r="D75" s="100">
        <v>9.23</v>
      </c>
      <c r="E75" s="100">
        <v>7.14</v>
      </c>
      <c r="F75" s="100">
        <v>6.19</v>
      </c>
      <c r="G75" s="100">
        <v>58.52</v>
      </c>
      <c r="H75" s="100">
        <v>23.5</v>
      </c>
      <c r="I75" s="100">
        <v>6.28</v>
      </c>
      <c r="J75" s="100">
        <v>0.64</v>
      </c>
      <c r="K75" s="100">
        <v>42.56</v>
      </c>
      <c r="L75" s="100">
        <v>6.49</v>
      </c>
      <c r="M75" s="100">
        <v>-2.25</v>
      </c>
      <c r="N75" s="100">
        <v>14.6</v>
      </c>
      <c r="O75" s="100">
        <v>0</v>
      </c>
      <c r="P75" s="100">
        <v>0.62</v>
      </c>
      <c r="Q75" s="100">
        <v>9.32</v>
      </c>
      <c r="R75" s="6"/>
      <c r="S75" s="6"/>
      <c r="T75" s="156"/>
      <c r="U75" s="6"/>
    </row>
    <row r="76" spans="1:21" customFormat="1">
      <c r="A76" s="201" t="s">
        <v>791</v>
      </c>
      <c r="B76" s="100">
        <v>4.72</v>
      </c>
      <c r="C76" s="100">
        <v>12.25</v>
      </c>
      <c r="D76" s="100">
        <v>10.19</v>
      </c>
      <c r="E76" s="100">
        <v>7.37</v>
      </c>
      <c r="F76" s="100">
        <v>3.73</v>
      </c>
      <c r="G76" s="100">
        <v>58.52</v>
      </c>
      <c r="H76" s="100">
        <v>23.5</v>
      </c>
      <c r="I76" s="100">
        <v>6.12</v>
      </c>
      <c r="J76" s="100">
        <v>0.48</v>
      </c>
      <c r="K76" s="100">
        <v>44.2</v>
      </c>
      <c r="L76" s="100">
        <v>7.24</v>
      </c>
      <c r="M76" s="100">
        <v>-0.21</v>
      </c>
      <c r="N76" s="100">
        <v>9.4</v>
      </c>
      <c r="O76" s="100">
        <v>0</v>
      </c>
      <c r="P76" s="100">
        <v>0.63</v>
      </c>
      <c r="Q76" s="100">
        <v>9.32</v>
      </c>
      <c r="R76" s="6"/>
      <c r="S76" s="6"/>
      <c r="T76" s="156"/>
      <c r="U76" s="6"/>
    </row>
    <row r="77" spans="1:21" customFormat="1">
      <c r="A77" s="201" t="s">
        <v>792</v>
      </c>
      <c r="B77" s="100">
        <v>4.78</v>
      </c>
      <c r="C77" s="100">
        <v>14.52</v>
      </c>
      <c r="D77" s="100">
        <v>11.42</v>
      </c>
      <c r="E77" s="100">
        <v>7.35</v>
      </c>
      <c r="F77" s="100">
        <v>2.0499999999999998</v>
      </c>
      <c r="G77" s="100">
        <v>58.52</v>
      </c>
      <c r="H77" s="100">
        <v>23.5</v>
      </c>
      <c r="I77" s="100">
        <v>6.25</v>
      </c>
      <c r="J77" s="100">
        <v>0.35</v>
      </c>
      <c r="K77" s="100">
        <v>44.31</v>
      </c>
      <c r="L77" s="100">
        <v>7.93</v>
      </c>
      <c r="M77" s="100">
        <v>1.65</v>
      </c>
      <c r="N77" s="100">
        <v>5.8</v>
      </c>
      <c r="O77" s="100">
        <v>0</v>
      </c>
      <c r="P77" s="100">
        <v>0.65</v>
      </c>
      <c r="Q77" s="100">
        <v>9.32</v>
      </c>
      <c r="R77" s="6"/>
      <c r="S77" s="6"/>
      <c r="T77" s="156"/>
      <c r="U77" s="6"/>
    </row>
    <row r="78" spans="1:21" customFormat="1">
      <c r="A78" s="201" t="s">
        <v>793</v>
      </c>
      <c r="B78" s="100">
        <v>4.84</v>
      </c>
      <c r="C78" s="100">
        <v>14.36</v>
      </c>
      <c r="D78" s="100">
        <v>11.38</v>
      </c>
      <c r="E78" s="100">
        <v>7.07</v>
      </c>
      <c r="F78" s="100">
        <v>2</v>
      </c>
      <c r="G78" s="100">
        <v>60.24</v>
      </c>
      <c r="H78" s="100">
        <v>23.56</v>
      </c>
      <c r="I78" s="100">
        <v>6.45</v>
      </c>
      <c r="J78" s="100">
        <v>0.25</v>
      </c>
      <c r="K78" s="100">
        <v>52.41</v>
      </c>
      <c r="L78" s="100">
        <v>9.1199999999999992</v>
      </c>
      <c r="M78" s="100">
        <v>4.62</v>
      </c>
      <c r="N78" s="100">
        <v>3.6</v>
      </c>
      <c r="O78" s="100">
        <v>0</v>
      </c>
      <c r="P78" s="100">
        <v>0.67</v>
      </c>
      <c r="Q78" s="100">
        <v>9.32</v>
      </c>
      <c r="R78" s="6"/>
      <c r="S78" s="6"/>
      <c r="T78" s="156"/>
      <c r="U78" s="6"/>
    </row>
    <row r="79" spans="1:21" customFormat="1">
      <c r="A79" s="201" t="s">
        <v>794</v>
      </c>
      <c r="B79" s="100">
        <v>5.29</v>
      </c>
      <c r="C79" s="100">
        <v>15.01</v>
      </c>
      <c r="D79" s="100">
        <v>12.09</v>
      </c>
      <c r="E79" s="100">
        <v>7.23</v>
      </c>
      <c r="F79" s="100">
        <v>2</v>
      </c>
      <c r="G79" s="100">
        <v>62.29</v>
      </c>
      <c r="H79" s="100">
        <v>23.61</v>
      </c>
      <c r="I79" s="100">
        <v>6.4</v>
      </c>
      <c r="J79" s="100">
        <v>0.15</v>
      </c>
      <c r="K79" s="100">
        <v>103.69</v>
      </c>
      <c r="L79" s="100">
        <v>11.63</v>
      </c>
      <c r="M79" s="100">
        <v>11.08</v>
      </c>
      <c r="N79" s="100">
        <v>2.7</v>
      </c>
      <c r="O79" s="100">
        <v>0</v>
      </c>
      <c r="P79" s="100">
        <v>0.68</v>
      </c>
      <c r="Q79" s="100">
        <v>9.32</v>
      </c>
      <c r="R79" s="6"/>
      <c r="S79" s="6"/>
      <c r="T79" s="156"/>
      <c r="U79" s="6"/>
    </row>
    <row r="80" spans="1:21" customFormat="1">
      <c r="A80" s="201" t="s">
        <v>795</v>
      </c>
      <c r="B80" s="100">
        <v>4.3</v>
      </c>
      <c r="C80" s="100">
        <v>12.78</v>
      </c>
      <c r="D80" s="100">
        <v>10.130000000000001</v>
      </c>
      <c r="E80" s="100">
        <v>6.98</v>
      </c>
      <c r="F80" s="100">
        <v>2</v>
      </c>
      <c r="G80" s="100">
        <v>62.29</v>
      </c>
      <c r="H80" s="100">
        <v>23.61</v>
      </c>
      <c r="I80" s="100">
        <v>6.58</v>
      </c>
      <c r="J80" s="100">
        <v>0.13</v>
      </c>
      <c r="K80" s="100">
        <v>133.88999999999999</v>
      </c>
      <c r="L80" s="100">
        <v>13.42</v>
      </c>
      <c r="M80" s="100">
        <v>15.58</v>
      </c>
      <c r="N80" s="100">
        <v>2.7</v>
      </c>
      <c r="O80" s="100">
        <v>0</v>
      </c>
      <c r="P80" s="100">
        <v>0.67</v>
      </c>
      <c r="Q80" s="100">
        <v>9.32</v>
      </c>
      <c r="R80" s="6"/>
      <c r="S80" s="6"/>
      <c r="T80" s="156"/>
      <c r="U80" s="6"/>
    </row>
    <row r="81" spans="1:21" customFormat="1">
      <c r="A81" s="201" t="s">
        <v>796</v>
      </c>
      <c r="B81" s="100">
        <v>4.29</v>
      </c>
      <c r="C81" s="100">
        <v>12.4</v>
      </c>
      <c r="D81" s="100">
        <v>9.92</v>
      </c>
      <c r="E81" s="100">
        <v>4.75</v>
      </c>
      <c r="F81" s="100">
        <v>2</v>
      </c>
      <c r="G81" s="100">
        <v>62.29</v>
      </c>
      <c r="H81" s="100">
        <v>23.61</v>
      </c>
      <c r="I81" s="100">
        <v>6.78</v>
      </c>
      <c r="J81" s="100">
        <v>0.21</v>
      </c>
      <c r="K81" s="100">
        <v>141.22</v>
      </c>
      <c r="L81" s="100">
        <v>13.73</v>
      </c>
      <c r="M81" s="100">
        <v>16.489999999999998</v>
      </c>
      <c r="N81" s="100">
        <v>2.5</v>
      </c>
      <c r="O81" s="100">
        <v>0</v>
      </c>
      <c r="P81" s="100">
        <v>0.67</v>
      </c>
      <c r="Q81" s="100">
        <v>9.32</v>
      </c>
      <c r="R81" s="6"/>
      <c r="S81" s="6"/>
      <c r="T81" s="156"/>
      <c r="U81" s="6"/>
    </row>
    <row r="82" spans="1:21" customFormat="1">
      <c r="A82" s="201" t="s">
        <v>797</v>
      </c>
      <c r="B82" s="100">
        <v>4.47</v>
      </c>
      <c r="C82" s="100">
        <v>12.78</v>
      </c>
      <c r="D82" s="100">
        <v>10.26</v>
      </c>
      <c r="E82" s="100">
        <v>5.62</v>
      </c>
      <c r="F82" s="100">
        <v>2</v>
      </c>
      <c r="G82" s="100">
        <v>73.010000000000005</v>
      </c>
      <c r="H82" s="100">
        <v>25.8</v>
      </c>
      <c r="I82" s="100">
        <v>6.92</v>
      </c>
      <c r="J82" s="100">
        <v>0.21</v>
      </c>
      <c r="K82" s="100">
        <v>148.22</v>
      </c>
      <c r="L82" s="100">
        <v>14.62</v>
      </c>
      <c r="M82" s="100">
        <v>18.670000000000002</v>
      </c>
      <c r="N82" s="100">
        <v>2.6</v>
      </c>
      <c r="O82" s="100">
        <v>0</v>
      </c>
      <c r="P82" s="100">
        <v>0.69</v>
      </c>
      <c r="Q82" s="100">
        <v>9.32</v>
      </c>
      <c r="R82" s="6"/>
      <c r="S82" s="6"/>
      <c r="T82" s="156"/>
      <c r="U82" s="6"/>
    </row>
    <row r="83" spans="1:21" customFormat="1">
      <c r="A83" s="201" t="s">
        <v>798</v>
      </c>
      <c r="B83" s="100">
        <v>4.1900000000000004</v>
      </c>
      <c r="C83" s="100">
        <v>11.88</v>
      </c>
      <c r="D83" s="100">
        <v>9.57</v>
      </c>
      <c r="E83" s="100">
        <v>5.89</v>
      </c>
      <c r="F83" s="100">
        <v>2</v>
      </c>
      <c r="G83" s="100">
        <v>86.41</v>
      </c>
      <c r="H83" s="100">
        <v>27.29</v>
      </c>
      <c r="I83" s="100">
        <v>7.23</v>
      </c>
      <c r="J83" s="100">
        <v>0.19</v>
      </c>
      <c r="K83" s="100">
        <v>172.88</v>
      </c>
      <c r="L83" s="100">
        <v>16.7</v>
      </c>
      <c r="M83" s="100">
        <v>23.91</v>
      </c>
      <c r="N83" s="100">
        <v>2.5</v>
      </c>
      <c r="O83" s="100">
        <v>0</v>
      </c>
      <c r="P83" s="100">
        <v>0.7</v>
      </c>
      <c r="Q83" s="100">
        <v>9.32</v>
      </c>
      <c r="R83" s="6"/>
      <c r="S83" s="6"/>
      <c r="T83" s="156"/>
      <c r="U83" s="6"/>
    </row>
    <row r="84" spans="1:21" customFormat="1">
      <c r="A84" s="201" t="s">
        <v>799</v>
      </c>
      <c r="B84" s="100">
        <v>4.33</v>
      </c>
      <c r="C84" s="100">
        <v>11.16</v>
      </c>
      <c r="D84" s="100">
        <v>9.31</v>
      </c>
      <c r="E84" s="100">
        <v>6.09</v>
      </c>
      <c r="F84" s="100">
        <v>2</v>
      </c>
      <c r="G84" s="100">
        <v>86.41</v>
      </c>
      <c r="H84" s="100">
        <v>27.29</v>
      </c>
      <c r="I84" s="100">
        <v>7.51</v>
      </c>
      <c r="J84" s="100">
        <v>0.25</v>
      </c>
      <c r="K84" s="100">
        <v>162.22999999999999</v>
      </c>
      <c r="L84" s="100">
        <v>15.86</v>
      </c>
      <c r="M84" s="100">
        <v>21.82</v>
      </c>
      <c r="N84" s="100">
        <v>2.4</v>
      </c>
      <c r="O84" s="100">
        <v>0</v>
      </c>
      <c r="P84" s="100">
        <v>0.69</v>
      </c>
      <c r="Q84" s="100">
        <v>9.32</v>
      </c>
      <c r="R84" s="6"/>
      <c r="S84" s="6"/>
      <c r="T84" s="156"/>
      <c r="U84" s="6"/>
    </row>
    <row r="85" spans="1:21" customFormat="1">
      <c r="A85" s="201" t="s">
        <v>800</v>
      </c>
      <c r="B85" s="100">
        <v>4.18</v>
      </c>
      <c r="C85" s="100">
        <v>10.38</v>
      </c>
      <c r="D85" s="100">
        <v>8.77</v>
      </c>
      <c r="E85" s="100">
        <v>5.7</v>
      </c>
      <c r="F85" s="100">
        <v>2</v>
      </c>
      <c r="G85" s="100">
        <v>86.41</v>
      </c>
      <c r="H85" s="100">
        <v>27.29</v>
      </c>
      <c r="I85" s="100">
        <v>7.65</v>
      </c>
      <c r="J85" s="100">
        <v>0.22</v>
      </c>
      <c r="K85" s="100">
        <v>153.22</v>
      </c>
      <c r="L85" s="100">
        <v>15.06</v>
      </c>
      <c r="M85" s="100">
        <v>19.88</v>
      </c>
      <c r="N85" s="100">
        <v>2.2999999999999998</v>
      </c>
      <c r="O85" s="100">
        <v>0</v>
      </c>
      <c r="P85" s="100">
        <v>0.71</v>
      </c>
      <c r="Q85" s="100">
        <v>9.32</v>
      </c>
      <c r="R85" s="6"/>
      <c r="S85" s="6"/>
      <c r="T85" s="156"/>
      <c r="U85" s="6"/>
    </row>
    <row r="86" spans="1:21" customFormat="1">
      <c r="A86" s="201" t="s">
        <v>801</v>
      </c>
      <c r="B86" s="100">
        <v>4.51</v>
      </c>
      <c r="C86" s="100">
        <v>11.2</v>
      </c>
      <c r="D86" s="100">
        <v>9.4700000000000006</v>
      </c>
      <c r="E86" s="100">
        <v>5.91</v>
      </c>
      <c r="F86" s="100">
        <v>2</v>
      </c>
      <c r="G86" s="100">
        <v>96.11</v>
      </c>
      <c r="H86" s="100">
        <v>28.89</v>
      </c>
      <c r="I86" s="100">
        <v>7.74</v>
      </c>
      <c r="J86" s="100">
        <v>0.23</v>
      </c>
      <c r="K86" s="100">
        <v>146.96</v>
      </c>
      <c r="L86" s="100">
        <v>14.1</v>
      </c>
      <c r="M86" s="100">
        <v>17.43</v>
      </c>
      <c r="N86" s="100">
        <v>2.1</v>
      </c>
      <c r="O86" s="100">
        <v>0</v>
      </c>
      <c r="P86" s="100">
        <v>0.73</v>
      </c>
      <c r="Q86" s="100">
        <v>9.32</v>
      </c>
      <c r="R86" s="6"/>
      <c r="S86" s="6"/>
      <c r="T86" s="156"/>
      <c r="U86" s="6"/>
    </row>
    <row r="87" spans="1:21" customFormat="1">
      <c r="A87" s="201" t="s">
        <v>802</v>
      </c>
      <c r="B87" s="100">
        <v>4.37</v>
      </c>
      <c r="C87" s="100">
        <v>10.57</v>
      </c>
      <c r="D87" s="100">
        <v>9.0299999999999994</v>
      </c>
      <c r="E87" s="100">
        <v>5.77</v>
      </c>
      <c r="F87" s="100">
        <v>2</v>
      </c>
      <c r="G87" s="100">
        <v>107.72</v>
      </c>
      <c r="H87" s="100">
        <v>31.59</v>
      </c>
      <c r="I87" s="100">
        <v>8.0399999999999991</v>
      </c>
      <c r="J87" s="100">
        <v>0.18</v>
      </c>
      <c r="K87" s="100">
        <v>174.65</v>
      </c>
      <c r="L87" s="100">
        <v>16.809999999999999</v>
      </c>
      <c r="M87" s="100">
        <v>24.04</v>
      </c>
      <c r="N87" s="100">
        <v>2.2999999999999998</v>
      </c>
      <c r="O87" s="100">
        <v>0</v>
      </c>
      <c r="P87" s="100">
        <v>0.72</v>
      </c>
      <c r="Q87" s="100">
        <v>9.32</v>
      </c>
      <c r="R87" s="6"/>
      <c r="S87" s="6"/>
      <c r="T87" s="156"/>
      <c r="U87" s="6"/>
    </row>
    <row r="88" spans="1:21" customFormat="1">
      <c r="A88" s="201" t="s">
        <v>803</v>
      </c>
      <c r="B88" s="100">
        <v>4.3600000000000003</v>
      </c>
      <c r="C88" s="100">
        <v>9.77</v>
      </c>
      <c r="D88" s="100">
        <v>8.6</v>
      </c>
      <c r="E88" s="100">
        <v>5.74</v>
      </c>
      <c r="F88" s="100">
        <v>2</v>
      </c>
      <c r="G88" s="100">
        <v>107.72</v>
      </c>
      <c r="H88" s="100">
        <v>31.59</v>
      </c>
      <c r="I88" s="100">
        <v>8.1999999999999993</v>
      </c>
      <c r="J88" s="100">
        <v>0.26</v>
      </c>
      <c r="K88" s="100">
        <v>177.63</v>
      </c>
      <c r="L88" s="100">
        <v>17.16</v>
      </c>
      <c r="M88" s="100">
        <v>25</v>
      </c>
      <c r="N88" s="100">
        <v>2.2999999999999998</v>
      </c>
      <c r="O88" s="100">
        <v>0</v>
      </c>
      <c r="P88" s="100">
        <v>0.72</v>
      </c>
      <c r="Q88" s="100">
        <v>9.32</v>
      </c>
      <c r="R88" s="6"/>
      <c r="S88" s="6"/>
      <c r="T88" s="156"/>
      <c r="U88" s="6"/>
    </row>
    <row r="89" spans="1:21" customFormat="1">
      <c r="A89" s="201" t="s">
        <v>804</v>
      </c>
      <c r="B89" s="100">
        <v>4.38</v>
      </c>
      <c r="C89" s="100">
        <v>8.89</v>
      </c>
      <c r="D89" s="100">
        <v>8.16</v>
      </c>
      <c r="E89" s="100">
        <v>5.77</v>
      </c>
      <c r="F89" s="100">
        <v>2</v>
      </c>
      <c r="G89" s="100">
        <v>107.72</v>
      </c>
      <c r="H89" s="100">
        <v>31.59</v>
      </c>
      <c r="I89" s="100">
        <v>8.2200000000000006</v>
      </c>
      <c r="J89" s="100">
        <v>0.18</v>
      </c>
      <c r="K89" s="100">
        <v>181.67</v>
      </c>
      <c r="L89" s="100">
        <v>17.25</v>
      </c>
      <c r="M89" s="100">
        <v>25.29</v>
      </c>
      <c r="N89" s="100">
        <v>2.2999999999999998</v>
      </c>
      <c r="O89" s="100">
        <v>0</v>
      </c>
      <c r="P89" s="100">
        <v>0.71</v>
      </c>
      <c r="Q89" s="100">
        <v>9.32</v>
      </c>
      <c r="R89" s="6"/>
      <c r="S89" s="6"/>
      <c r="T89" s="156"/>
      <c r="U89" s="6"/>
    </row>
    <row r="90" spans="1:21" customFormat="1">
      <c r="A90" s="201" t="s">
        <v>805</v>
      </c>
      <c r="B90" s="100">
        <v>4.37</v>
      </c>
      <c r="C90" s="100">
        <v>8.6300000000000008</v>
      </c>
      <c r="D90" s="100">
        <v>8.01</v>
      </c>
      <c r="E90" s="100">
        <v>5.73</v>
      </c>
      <c r="F90" s="100">
        <v>2</v>
      </c>
      <c r="G90" s="100">
        <v>107.16</v>
      </c>
      <c r="H90" s="100">
        <v>33.15</v>
      </c>
      <c r="I90" s="100">
        <v>8.32</v>
      </c>
      <c r="J90" s="100">
        <v>0.16</v>
      </c>
      <c r="K90" s="100">
        <v>207.73</v>
      </c>
      <c r="L90" s="100">
        <v>19.11</v>
      </c>
      <c r="M90" s="100">
        <v>29.96</v>
      </c>
      <c r="N90" s="100">
        <v>2.1</v>
      </c>
      <c r="O90" s="100">
        <v>0</v>
      </c>
      <c r="P90" s="100">
        <v>0.71</v>
      </c>
      <c r="Q90" s="100">
        <v>9.32</v>
      </c>
      <c r="R90" s="6"/>
      <c r="S90" s="6"/>
      <c r="T90" s="156"/>
      <c r="U90" s="6"/>
    </row>
    <row r="91" spans="1:21" customFormat="1">
      <c r="A91" s="201" t="s">
        <v>806</v>
      </c>
      <c r="B91" s="100">
        <v>4.42</v>
      </c>
      <c r="C91" s="100">
        <v>8.2200000000000006</v>
      </c>
      <c r="D91" s="100">
        <v>7.84</v>
      </c>
      <c r="E91" s="100">
        <v>4.04</v>
      </c>
      <c r="F91" s="100">
        <v>2</v>
      </c>
      <c r="G91" s="100">
        <v>106.46</v>
      </c>
      <c r="H91" s="100">
        <v>34.200000000000003</v>
      </c>
      <c r="I91" s="100">
        <v>8.26</v>
      </c>
      <c r="J91" s="100">
        <v>0.09</v>
      </c>
      <c r="K91" s="100">
        <v>185.53</v>
      </c>
      <c r="L91" s="100">
        <v>17.309999999999999</v>
      </c>
      <c r="M91" s="100">
        <v>25.45</v>
      </c>
      <c r="N91" s="100">
        <v>2.1</v>
      </c>
      <c r="O91" s="100">
        <v>0</v>
      </c>
      <c r="P91" s="100">
        <v>0.72</v>
      </c>
      <c r="Q91" s="100">
        <v>9.32</v>
      </c>
      <c r="R91" s="6"/>
      <c r="S91" s="6"/>
      <c r="T91" s="156"/>
      <c r="U91" s="6"/>
    </row>
    <row r="92" spans="1:21" customFormat="1">
      <c r="A92" s="201" t="s">
        <v>807</v>
      </c>
      <c r="B92" s="100">
        <v>4.4000000000000004</v>
      </c>
      <c r="C92" s="100">
        <v>8.09</v>
      </c>
      <c r="D92" s="100">
        <v>7.76</v>
      </c>
      <c r="E92" s="100">
        <v>5.0999999999999996</v>
      </c>
      <c r="F92" s="100">
        <v>2</v>
      </c>
      <c r="G92" s="100">
        <v>106.46</v>
      </c>
      <c r="H92" s="100">
        <v>34.200000000000003</v>
      </c>
      <c r="I92" s="100">
        <v>8.31</v>
      </c>
      <c r="J92" s="100">
        <v>0.21</v>
      </c>
      <c r="K92" s="100">
        <v>177.79</v>
      </c>
      <c r="L92" s="100">
        <v>17.059999999999999</v>
      </c>
      <c r="M92" s="100">
        <v>24.85</v>
      </c>
      <c r="N92" s="100">
        <v>2</v>
      </c>
      <c r="O92" s="100">
        <v>0</v>
      </c>
      <c r="P92" s="100">
        <v>0.73</v>
      </c>
      <c r="Q92" s="100">
        <v>9.32</v>
      </c>
      <c r="R92" s="6"/>
      <c r="S92" s="6"/>
      <c r="T92" s="156"/>
      <c r="U92" s="6"/>
    </row>
    <row r="93" spans="1:21" customFormat="1">
      <c r="A93" s="201" t="s">
        <v>808</v>
      </c>
      <c r="B93" s="100">
        <v>4.42</v>
      </c>
      <c r="C93" s="100">
        <v>7.87</v>
      </c>
      <c r="D93" s="100">
        <v>7.66</v>
      </c>
      <c r="E93" s="100">
        <v>5.48</v>
      </c>
      <c r="F93" s="100">
        <v>2</v>
      </c>
      <c r="G93" s="100">
        <v>106.46</v>
      </c>
      <c r="H93" s="100">
        <v>34.200000000000003</v>
      </c>
      <c r="I93" s="100">
        <v>8.41</v>
      </c>
      <c r="J93" s="100">
        <v>0.27</v>
      </c>
      <c r="K93" s="100">
        <v>161.99</v>
      </c>
      <c r="L93" s="100">
        <v>15.46</v>
      </c>
      <c r="M93" s="100">
        <v>20.86</v>
      </c>
      <c r="N93" s="100">
        <v>1.9</v>
      </c>
      <c r="O93" s="100">
        <v>0</v>
      </c>
      <c r="P93" s="100">
        <v>0.73</v>
      </c>
      <c r="Q93" s="100">
        <v>9.32</v>
      </c>
      <c r="R93" s="6"/>
      <c r="S93" s="6"/>
      <c r="T93" s="156"/>
      <c r="U93" s="6"/>
    </row>
    <row r="94" spans="1:21" customFormat="1">
      <c r="A94" s="201" t="s">
        <v>809</v>
      </c>
      <c r="B94" s="100">
        <v>4.58</v>
      </c>
      <c r="C94" s="100">
        <v>7.5</v>
      </c>
      <c r="D94" s="100">
        <v>7.59</v>
      </c>
      <c r="E94" s="100">
        <v>5.32</v>
      </c>
      <c r="F94" s="100">
        <v>2</v>
      </c>
      <c r="G94" s="100">
        <v>104.97</v>
      </c>
      <c r="H94" s="100">
        <v>32.909999999999997</v>
      </c>
      <c r="I94" s="100">
        <v>8.59</v>
      </c>
      <c r="J94" s="100">
        <v>0.13</v>
      </c>
      <c r="K94" s="100">
        <v>195.39</v>
      </c>
      <c r="L94" s="100">
        <v>17.87</v>
      </c>
      <c r="M94" s="100">
        <v>26.97</v>
      </c>
      <c r="N94" s="100">
        <v>2.2000000000000002</v>
      </c>
      <c r="O94" s="100">
        <v>0</v>
      </c>
      <c r="P94" s="100">
        <v>0.73</v>
      </c>
      <c r="Q94" s="100">
        <v>9.32</v>
      </c>
      <c r="R94" s="6"/>
      <c r="S94" s="6"/>
      <c r="T94" s="156"/>
      <c r="U94" s="6"/>
    </row>
    <row r="95" spans="1:21" customFormat="1">
      <c r="A95" s="201" t="s">
        <v>810</v>
      </c>
      <c r="B95" s="100">
        <v>4.83</v>
      </c>
      <c r="C95" s="100">
        <v>7.44</v>
      </c>
      <c r="D95" s="100">
        <v>7.76</v>
      </c>
      <c r="E95" s="100">
        <v>5.36</v>
      </c>
      <c r="F95" s="100">
        <v>2</v>
      </c>
      <c r="G95" s="100">
        <v>103.12</v>
      </c>
      <c r="H95" s="100">
        <v>32.049999999999997</v>
      </c>
      <c r="I95" s="100">
        <v>8.68</v>
      </c>
      <c r="J95" s="100">
        <v>0.16</v>
      </c>
      <c r="K95" s="100">
        <v>206.7</v>
      </c>
      <c r="L95" s="100">
        <v>18.88</v>
      </c>
      <c r="M95" s="100">
        <v>29.5</v>
      </c>
      <c r="N95" s="100">
        <v>2.4</v>
      </c>
      <c r="O95" s="100">
        <v>0</v>
      </c>
      <c r="P95" s="100">
        <v>0.74</v>
      </c>
      <c r="Q95" s="100">
        <v>9.32</v>
      </c>
      <c r="R95" s="6"/>
      <c r="S95" s="6"/>
      <c r="T95" s="156"/>
      <c r="U95" s="6"/>
    </row>
    <row r="96" spans="1:21" customFormat="1">
      <c r="A96" s="201" t="s">
        <v>811</v>
      </c>
      <c r="B96" s="100">
        <v>5.09</v>
      </c>
      <c r="C96" s="100">
        <v>7.28</v>
      </c>
      <c r="D96" s="100">
        <v>7.88</v>
      </c>
      <c r="E96" s="100">
        <v>5.47</v>
      </c>
      <c r="F96" s="100">
        <v>2</v>
      </c>
      <c r="G96" s="100">
        <v>103.12</v>
      </c>
      <c r="H96" s="100">
        <v>32.049999999999997</v>
      </c>
      <c r="I96" s="100">
        <v>8.7200000000000006</v>
      </c>
      <c r="J96" s="100">
        <v>0.23</v>
      </c>
      <c r="K96" s="100">
        <v>239.39</v>
      </c>
      <c r="L96" s="100">
        <v>21.61</v>
      </c>
      <c r="M96" s="100">
        <v>36.31</v>
      </c>
      <c r="N96" s="100">
        <v>2.1</v>
      </c>
      <c r="O96" s="100">
        <v>0</v>
      </c>
      <c r="P96" s="100">
        <v>0.75</v>
      </c>
      <c r="Q96" s="100">
        <v>9.32</v>
      </c>
      <c r="R96" s="6"/>
      <c r="S96" s="6"/>
      <c r="T96" s="156"/>
      <c r="U96" s="6"/>
    </row>
    <row r="97" spans="1:28" customFormat="1">
      <c r="A97" s="201" t="s">
        <v>812</v>
      </c>
      <c r="B97" s="100">
        <v>5.28</v>
      </c>
      <c r="C97" s="100">
        <v>7.16</v>
      </c>
      <c r="D97" s="100">
        <v>7.97</v>
      </c>
      <c r="E97" s="100">
        <v>5.36</v>
      </c>
      <c r="F97" s="100">
        <v>2</v>
      </c>
      <c r="G97" s="100">
        <v>103.12</v>
      </c>
      <c r="H97" s="100">
        <v>32.049999999999997</v>
      </c>
      <c r="I97" s="100">
        <v>8.82</v>
      </c>
      <c r="J97" s="100">
        <v>0.09</v>
      </c>
      <c r="K97" s="100">
        <v>186.57</v>
      </c>
      <c r="L97" s="100">
        <v>18.21</v>
      </c>
      <c r="M97" s="100">
        <v>27.85</v>
      </c>
      <c r="N97" s="100">
        <v>2.1</v>
      </c>
      <c r="O97" s="100">
        <v>0</v>
      </c>
      <c r="P97" s="100">
        <v>0.75</v>
      </c>
      <c r="Q97" s="100">
        <v>9.32</v>
      </c>
      <c r="R97" s="6"/>
      <c r="S97" s="6"/>
      <c r="T97" s="156"/>
      <c r="U97" s="6"/>
    </row>
    <row r="98" spans="1:28" customFormat="1">
      <c r="A98" s="201" t="s">
        <v>813</v>
      </c>
      <c r="B98" s="100">
        <v>5.91</v>
      </c>
      <c r="C98" s="100">
        <v>7.47</v>
      </c>
      <c r="D98" s="100">
        <v>8.64</v>
      </c>
      <c r="E98" s="100">
        <v>5.54</v>
      </c>
      <c r="F98" s="100">
        <v>2</v>
      </c>
      <c r="G98" s="100">
        <v>104.2</v>
      </c>
      <c r="H98" s="100">
        <v>30.8</v>
      </c>
      <c r="I98" s="100">
        <v>8.89</v>
      </c>
      <c r="J98" s="100">
        <v>0.2</v>
      </c>
      <c r="K98" s="100">
        <v>300.68</v>
      </c>
      <c r="L98" s="100">
        <v>19.02</v>
      </c>
      <c r="M98" s="100">
        <v>29.78</v>
      </c>
      <c r="N98" s="100">
        <v>1.9</v>
      </c>
      <c r="O98" s="100">
        <v>0</v>
      </c>
      <c r="P98" s="100">
        <v>0.75</v>
      </c>
      <c r="Q98" s="100">
        <v>9.32</v>
      </c>
      <c r="R98" s="6"/>
      <c r="S98" s="6"/>
      <c r="T98" s="156"/>
      <c r="U98" s="6"/>
    </row>
    <row r="99" spans="1:28" customFormat="1">
      <c r="A99" s="201" t="s">
        <v>814</v>
      </c>
      <c r="B99" s="100">
        <v>6.66</v>
      </c>
      <c r="C99" s="100">
        <v>7.68</v>
      </c>
      <c r="D99" s="100">
        <v>9.35</v>
      </c>
      <c r="E99" s="100">
        <v>5.34</v>
      </c>
      <c r="F99" s="100">
        <v>2</v>
      </c>
      <c r="G99" s="100">
        <v>105.5</v>
      </c>
      <c r="H99" s="100">
        <v>29.96</v>
      </c>
      <c r="I99" s="100">
        <v>8.9700000000000006</v>
      </c>
      <c r="J99" s="100">
        <v>0.02</v>
      </c>
      <c r="K99" s="100">
        <v>313.79000000000002</v>
      </c>
      <c r="L99" s="100">
        <v>19.68</v>
      </c>
      <c r="M99" s="100">
        <v>31.37</v>
      </c>
      <c r="N99" s="100">
        <v>1.8</v>
      </c>
      <c r="O99" s="100">
        <v>0</v>
      </c>
      <c r="P99" s="100">
        <v>0.76</v>
      </c>
      <c r="Q99" s="100">
        <v>9.32</v>
      </c>
      <c r="R99" s="6"/>
      <c r="S99" s="6"/>
      <c r="T99" s="156"/>
      <c r="U99" s="6"/>
    </row>
    <row r="100" spans="1:28" customFormat="1">
      <c r="A100" s="201" t="s">
        <v>815</v>
      </c>
      <c r="B100" s="100">
        <v>7.26</v>
      </c>
      <c r="C100" s="100">
        <v>7.85</v>
      </c>
      <c r="D100" s="100">
        <v>9.92</v>
      </c>
      <c r="E100" s="100">
        <v>5.72</v>
      </c>
      <c r="F100" s="100">
        <v>2</v>
      </c>
      <c r="G100" s="100">
        <v>105.5</v>
      </c>
      <c r="H100" s="100">
        <v>29.96</v>
      </c>
      <c r="I100" s="100">
        <v>9.07</v>
      </c>
      <c r="J100" s="100">
        <v>0.28999999999999998</v>
      </c>
      <c r="K100" s="100">
        <v>52.48</v>
      </c>
      <c r="L100" s="100">
        <v>8.44</v>
      </c>
      <c r="M100" s="100">
        <v>3.11</v>
      </c>
      <c r="N100" s="100">
        <v>1.7</v>
      </c>
      <c r="O100" s="100">
        <v>0</v>
      </c>
      <c r="P100" s="100">
        <v>0.77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816</v>
      </c>
      <c r="B101" s="100">
        <v>7.71</v>
      </c>
      <c r="C101" s="100">
        <v>8.0399999999999991</v>
      </c>
      <c r="D101" s="100">
        <v>10.38</v>
      </c>
      <c r="E101" s="100">
        <v>5.64</v>
      </c>
      <c r="F101" s="100">
        <v>2</v>
      </c>
      <c r="G101" s="100">
        <v>105.5</v>
      </c>
      <c r="H101" s="100">
        <v>29.96</v>
      </c>
      <c r="I101" s="100">
        <v>9.16</v>
      </c>
      <c r="J101" s="100">
        <v>0.23</v>
      </c>
      <c r="K101" s="100">
        <v>44.51</v>
      </c>
      <c r="L101" s="100">
        <v>7.32</v>
      </c>
      <c r="M101" s="100">
        <v>0.2</v>
      </c>
      <c r="N101" s="100">
        <v>2</v>
      </c>
      <c r="O101" s="100">
        <v>0</v>
      </c>
      <c r="P101" s="100">
        <v>0.77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817</v>
      </c>
      <c r="B102" s="100">
        <v>8.2899999999999991</v>
      </c>
      <c r="C102" s="100">
        <v>8.3000000000000007</v>
      </c>
      <c r="D102" s="100">
        <v>10.99</v>
      </c>
      <c r="E102" s="100">
        <v>5.37</v>
      </c>
      <c r="F102" s="100">
        <v>2</v>
      </c>
      <c r="G102" s="100">
        <v>105.58</v>
      </c>
      <c r="H102" s="100">
        <v>35.19</v>
      </c>
      <c r="I102" s="100">
        <v>9.23</v>
      </c>
      <c r="J102" s="100">
        <v>0.04</v>
      </c>
      <c r="K102" s="100">
        <v>60.53</v>
      </c>
      <c r="L102" s="100">
        <v>15.03</v>
      </c>
      <c r="M102" s="100">
        <v>19.71</v>
      </c>
      <c r="N102" s="100">
        <v>2.2999999999999998</v>
      </c>
      <c r="O102" s="100">
        <v>0</v>
      </c>
      <c r="P102" s="100">
        <v>0.77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818</v>
      </c>
      <c r="B103" s="100">
        <v>8.9499999999999993</v>
      </c>
      <c r="C103" s="100">
        <v>8.36</v>
      </c>
      <c r="D103" s="100">
        <v>11.54</v>
      </c>
      <c r="E103" s="100">
        <v>5.76</v>
      </c>
      <c r="F103" s="100">
        <v>2</v>
      </c>
      <c r="G103" s="100">
        <v>105.67</v>
      </c>
      <c r="H103" s="100">
        <v>38.72</v>
      </c>
      <c r="I103" s="100">
        <v>9.27</v>
      </c>
      <c r="J103" s="100">
        <v>0.14000000000000001</v>
      </c>
      <c r="K103" s="100">
        <v>190.31</v>
      </c>
      <c r="L103" s="100">
        <v>17.350000000000001</v>
      </c>
      <c r="M103" s="100">
        <v>25.7</v>
      </c>
      <c r="N103" s="100">
        <v>2.5</v>
      </c>
      <c r="O103" s="100">
        <v>0</v>
      </c>
      <c r="P103" s="100">
        <v>0.77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819</v>
      </c>
      <c r="B104" s="100">
        <v>9.27</v>
      </c>
      <c r="C104" s="100">
        <v>8.3800000000000008</v>
      </c>
      <c r="D104" s="100">
        <v>11.81</v>
      </c>
      <c r="E104" s="100">
        <v>5.97</v>
      </c>
      <c r="F104" s="100">
        <v>2</v>
      </c>
      <c r="G104" s="100">
        <v>105.67</v>
      </c>
      <c r="H104" s="100">
        <v>38.72</v>
      </c>
      <c r="I104" s="100">
        <v>9.36</v>
      </c>
      <c r="J104" s="100">
        <v>0.19</v>
      </c>
      <c r="K104" s="100">
        <v>180.96</v>
      </c>
      <c r="L104" s="100">
        <v>17.059999999999999</v>
      </c>
      <c r="M104" s="100">
        <v>24.97</v>
      </c>
      <c r="N104" s="100">
        <v>2.5</v>
      </c>
      <c r="O104" s="100">
        <v>0</v>
      </c>
      <c r="P104" s="100">
        <v>0.78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2.91</v>
      </c>
      <c r="C106" s="158">
        <f>MIN(C9:C104)</f>
        <v>6.8</v>
      </c>
      <c r="D106" s="158">
        <f t="shared" ref="D106:Q106" si="0">MIN(D9:D104)</f>
        <v>6.6</v>
      </c>
      <c r="E106" s="158">
        <f t="shared" si="0"/>
        <v>4.04</v>
      </c>
      <c r="F106" s="158">
        <f t="shared" si="0"/>
        <v>2</v>
      </c>
      <c r="G106" s="158">
        <f t="shared" si="0"/>
        <v>52.18</v>
      </c>
      <c r="H106" s="158">
        <f t="shared" si="0"/>
        <v>18.61</v>
      </c>
      <c r="I106" s="158">
        <f t="shared" si="0"/>
        <v>6.12</v>
      </c>
      <c r="J106" s="158">
        <f t="shared" si="0"/>
        <v>0.02</v>
      </c>
      <c r="K106" s="158">
        <f t="shared" si="0"/>
        <v>2.2599999999999998</v>
      </c>
      <c r="L106" s="158">
        <f t="shared" si="0"/>
        <v>6.49</v>
      </c>
      <c r="M106" s="158">
        <f t="shared" si="0"/>
        <v>-2.25</v>
      </c>
      <c r="N106" s="158">
        <f t="shared" si="0"/>
        <v>1.7</v>
      </c>
      <c r="O106" s="158">
        <f t="shared" si="0"/>
        <v>0</v>
      </c>
      <c r="P106" s="158">
        <f t="shared" si="0"/>
        <v>0.6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17.11</v>
      </c>
      <c r="C107" s="157">
        <f t="shared" ref="C107:Q107" si="1">MAX(C9:C104)</f>
        <v>15.01</v>
      </c>
      <c r="D107" s="157">
        <f t="shared" si="1"/>
        <v>18.66</v>
      </c>
      <c r="E107" s="157">
        <f t="shared" si="1"/>
        <v>11.12</v>
      </c>
      <c r="F107" s="157">
        <f t="shared" si="1"/>
        <v>7.47</v>
      </c>
      <c r="G107" s="157">
        <f t="shared" si="1"/>
        <v>107.72</v>
      </c>
      <c r="H107" s="157">
        <f t="shared" si="1"/>
        <v>38.72</v>
      </c>
      <c r="I107" s="157">
        <f t="shared" si="1"/>
        <v>10.26</v>
      </c>
      <c r="J107" s="157">
        <f t="shared" si="1"/>
        <v>1.1299999999999999</v>
      </c>
      <c r="K107" s="157">
        <f t="shared" si="1"/>
        <v>357.53</v>
      </c>
      <c r="L107" s="157">
        <f t="shared" si="1"/>
        <v>21.61</v>
      </c>
      <c r="M107" s="157">
        <f t="shared" si="1"/>
        <v>36.31</v>
      </c>
      <c r="N107" s="157">
        <f t="shared" si="1"/>
        <v>560.9</v>
      </c>
      <c r="O107" s="157">
        <f t="shared" si="1"/>
        <v>0</v>
      </c>
      <c r="P107" s="157">
        <f t="shared" si="1"/>
        <v>0.78</v>
      </c>
      <c r="Q107" s="157">
        <f t="shared" si="1"/>
        <v>11.87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8.0605208333333316</v>
      </c>
      <c r="C108" s="158">
        <f t="shared" ref="C108:Q108" si="2">AVERAGE(C9:C104)</f>
        <v>9.2042708333333305</v>
      </c>
      <c r="D108" s="158">
        <f t="shared" si="2"/>
        <v>11.273125</v>
      </c>
      <c r="E108" s="158">
        <f t="shared" si="2"/>
        <v>6.7445833333333356</v>
      </c>
      <c r="F108" s="158">
        <f t="shared" si="2"/>
        <v>2.4255208333333331</v>
      </c>
      <c r="G108" s="158">
        <f t="shared" si="2"/>
        <v>77.881770833333363</v>
      </c>
      <c r="H108" s="158">
        <f t="shared" si="2"/>
        <v>27.897916666666656</v>
      </c>
      <c r="I108" s="158">
        <f t="shared" si="2"/>
        <v>8.0712499999999991</v>
      </c>
      <c r="J108" s="158">
        <f t="shared" si="2"/>
        <v>0.3653125000000001</v>
      </c>
      <c r="K108" s="158">
        <f t="shared" si="2"/>
        <v>113.43343750000001</v>
      </c>
      <c r="L108" s="158">
        <f t="shared" si="2"/>
        <v>14.506458333333329</v>
      </c>
      <c r="M108" s="158">
        <f t="shared" si="2"/>
        <v>16.084270833333331</v>
      </c>
      <c r="N108" s="158">
        <f t="shared" si="2"/>
        <v>97.463541666666615</v>
      </c>
      <c r="O108" s="158">
        <f t="shared" si="2"/>
        <v>0</v>
      </c>
      <c r="P108" s="158">
        <f t="shared" si="2"/>
        <v>0.68510416666666651</v>
      </c>
      <c r="Q108" s="158">
        <f t="shared" si="2"/>
        <v>9.3719791666666854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4.479961317923145</v>
      </c>
      <c r="C109" s="158">
        <f t="shared" ref="C109:Q109" si="3">STDEV(C9:C104)</f>
        <v>1.8202919053311417</v>
      </c>
      <c r="D109" s="158">
        <f t="shared" si="3"/>
        <v>3.5517317681141884</v>
      </c>
      <c r="E109" s="158">
        <f t="shared" si="3"/>
        <v>1.1299081627018621</v>
      </c>
      <c r="F109" s="158">
        <f t="shared" si="3"/>
        <v>0.98382804423030978</v>
      </c>
      <c r="G109" s="158">
        <f t="shared" si="3"/>
        <v>18.31383882807237</v>
      </c>
      <c r="H109" s="158">
        <f t="shared" si="3"/>
        <v>4.2838175096683004</v>
      </c>
      <c r="I109" s="158">
        <f t="shared" si="3"/>
        <v>1.044775725114959</v>
      </c>
      <c r="J109" s="158">
        <f t="shared" si="3"/>
        <v>0.30304404100637522</v>
      </c>
      <c r="K109" s="158">
        <f t="shared" si="3"/>
        <v>80.591722767201887</v>
      </c>
      <c r="L109" s="158">
        <f t="shared" si="3"/>
        <v>3.6204733564219862</v>
      </c>
      <c r="M109" s="158">
        <f t="shared" si="3"/>
        <v>10.427688015924536</v>
      </c>
      <c r="N109" s="158">
        <f t="shared" si="3"/>
        <v>156.69319611722085</v>
      </c>
      <c r="O109" s="158">
        <f t="shared" si="3"/>
        <v>0</v>
      </c>
      <c r="P109" s="158">
        <f t="shared" si="3"/>
        <v>4.3961581113912261E-2</v>
      </c>
      <c r="Q109" s="158">
        <f t="shared" si="3"/>
        <v>0.31060084316036479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E15" sqref="E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820</v>
      </c>
      <c r="B9" s="100">
        <v>9.25</v>
      </c>
      <c r="C9" s="100">
        <v>8.41</v>
      </c>
      <c r="D9" s="100">
        <v>11.81</v>
      </c>
      <c r="E9" s="100">
        <v>5.72</v>
      </c>
      <c r="F9" s="100">
        <v>2</v>
      </c>
      <c r="G9" s="100">
        <v>105.67</v>
      </c>
      <c r="H9" s="100">
        <v>38.72</v>
      </c>
      <c r="I9" s="100">
        <v>9.41</v>
      </c>
      <c r="J9" s="100">
        <v>0.14000000000000001</v>
      </c>
      <c r="K9" s="100">
        <v>180.19</v>
      </c>
      <c r="L9" s="100">
        <v>17.16</v>
      </c>
      <c r="M9" s="100">
        <v>25.25</v>
      </c>
      <c r="N9" s="100">
        <v>2.2999999999999998</v>
      </c>
      <c r="O9" s="100">
        <v>0</v>
      </c>
      <c r="P9" s="100">
        <v>0.79</v>
      </c>
      <c r="Q9" s="100">
        <v>9.32</v>
      </c>
      <c r="R9" s="6"/>
      <c r="S9" s="6"/>
      <c r="T9" s="156"/>
      <c r="U9" s="6"/>
    </row>
    <row r="10" spans="1:21" customFormat="1">
      <c r="A10" s="201" t="s">
        <v>821</v>
      </c>
      <c r="B10" s="100">
        <v>9.41</v>
      </c>
      <c r="C10" s="100">
        <v>8.18</v>
      </c>
      <c r="D10" s="100">
        <v>11.82</v>
      </c>
      <c r="E10" s="100">
        <v>5.89</v>
      </c>
      <c r="F10" s="100">
        <v>2</v>
      </c>
      <c r="G10" s="100">
        <v>104.32</v>
      </c>
      <c r="H10" s="100">
        <v>35.51</v>
      </c>
      <c r="I10" s="100">
        <v>9.44</v>
      </c>
      <c r="J10" s="100">
        <v>0.11</v>
      </c>
      <c r="K10" s="100">
        <v>176.87</v>
      </c>
      <c r="L10" s="100">
        <v>16.63</v>
      </c>
      <c r="M10" s="100">
        <v>23.92</v>
      </c>
      <c r="N10" s="100">
        <v>2.1</v>
      </c>
      <c r="O10" s="100">
        <v>0</v>
      </c>
      <c r="P10" s="100">
        <v>0.78</v>
      </c>
      <c r="Q10" s="100">
        <v>9.32</v>
      </c>
      <c r="R10" s="6"/>
      <c r="S10" s="6"/>
      <c r="T10" s="156"/>
      <c r="U10" s="6"/>
    </row>
    <row r="11" spans="1:21" customFormat="1">
      <c r="A11" s="201" t="s">
        <v>822</v>
      </c>
      <c r="B11" s="100">
        <v>9.6</v>
      </c>
      <c r="C11" s="100">
        <v>7.95</v>
      </c>
      <c r="D11" s="100">
        <v>11.85</v>
      </c>
      <c r="E11" s="100">
        <v>5.78</v>
      </c>
      <c r="F11" s="100">
        <v>2</v>
      </c>
      <c r="G11" s="100">
        <v>102.63</v>
      </c>
      <c r="H11" s="100">
        <v>33.33</v>
      </c>
      <c r="I11" s="100">
        <v>9.48</v>
      </c>
      <c r="J11" s="100">
        <v>0.08</v>
      </c>
      <c r="K11" s="100">
        <v>173.6</v>
      </c>
      <c r="L11" s="100">
        <v>17.350000000000001</v>
      </c>
      <c r="M11" s="100">
        <v>25.74</v>
      </c>
      <c r="N11" s="100">
        <v>2</v>
      </c>
      <c r="O11" s="100">
        <v>0</v>
      </c>
      <c r="P11" s="100">
        <v>0.78</v>
      </c>
      <c r="Q11" s="100">
        <v>9.32</v>
      </c>
      <c r="R11" s="6"/>
      <c r="S11" s="6"/>
      <c r="T11" s="156"/>
      <c r="U11" s="6"/>
    </row>
    <row r="12" spans="1:21" customFormat="1">
      <c r="A12" s="201" t="s">
        <v>823</v>
      </c>
      <c r="B12" s="100">
        <v>9.89</v>
      </c>
      <c r="C12" s="100">
        <v>7.87</v>
      </c>
      <c r="D12" s="100">
        <v>12.05</v>
      </c>
      <c r="E12" s="100">
        <v>6.18</v>
      </c>
      <c r="F12" s="100">
        <v>2</v>
      </c>
      <c r="G12" s="100">
        <v>102.63</v>
      </c>
      <c r="H12" s="100">
        <v>33.33</v>
      </c>
      <c r="I12" s="100">
        <v>9.51</v>
      </c>
      <c r="J12" s="100">
        <v>0.08</v>
      </c>
      <c r="K12" s="100">
        <v>186.05</v>
      </c>
      <c r="L12" s="100">
        <v>17.329999999999998</v>
      </c>
      <c r="M12" s="100">
        <v>25.69</v>
      </c>
      <c r="N12" s="100">
        <v>2.1</v>
      </c>
      <c r="O12" s="100">
        <v>0</v>
      </c>
      <c r="P12" s="100">
        <v>0.79</v>
      </c>
      <c r="Q12" s="100">
        <v>9.32</v>
      </c>
      <c r="R12" s="6"/>
      <c r="S12" s="6"/>
      <c r="T12" s="156"/>
      <c r="U12" s="6"/>
    </row>
    <row r="13" spans="1:21" customFormat="1">
      <c r="A13" s="201" t="s">
        <v>824</v>
      </c>
      <c r="B13" s="100">
        <v>10.93</v>
      </c>
      <c r="C13" s="100">
        <v>8.07</v>
      </c>
      <c r="D13" s="100">
        <v>12.98</v>
      </c>
      <c r="E13" s="100">
        <v>5.89</v>
      </c>
      <c r="F13" s="100">
        <v>2</v>
      </c>
      <c r="G13" s="100">
        <v>102.63</v>
      </c>
      <c r="H13" s="100">
        <v>33.33</v>
      </c>
      <c r="I13" s="100">
        <v>9.59</v>
      </c>
      <c r="J13" s="100">
        <v>0.19</v>
      </c>
      <c r="K13" s="100">
        <v>178.88</v>
      </c>
      <c r="L13" s="100">
        <v>17.39</v>
      </c>
      <c r="M13" s="100">
        <v>25.83</v>
      </c>
      <c r="N13" s="100">
        <v>2</v>
      </c>
      <c r="O13" s="100">
        <v>0</v>
      </c>
      <c r="P13" s="100">
        <v>0.81</v>
      </c>
      <c r="Q13" s="100">
        <v>9.32</v>
      </c>
      <c r="R13" s="6"/>
      <c r="S13" s="6"/>
      <c r="T13" s="156"/>
      <c r="U13" s="6"/>
    </row>
    <row r="14" spans="1:21" customFormat="1">
      <c r="A14" s="201" t="s">
        <v>825</v>
      </c>
      <c r="B14" s="100">
        <v>11.76</v>
      </c>
      <c r="C14" s="100">
        <v>8.19</v>
      </c>
      <c r="D14" s="100">
        <v>13.7</v>
      </c>
      <c r="E14" s="100">
        <v>6.02</v>
      </c>
      <c r="F14" s="100">
        <v>2</v>
      </c>
      <c r="G14" s="100">
        <v>103.7</v>
      </c>
      <c r="H14" s="100">
        <v>37.119999999999997</v>
      </c>
      <c r="I14" s="100">
        <v>9.68</v>
      </c>
      <c r="J14" s="100">
        <v>0.18</v>
      </c>
      <c r="K14" s="100">
        <v>173.64</v>
      </c>
      <c r="L14" s="100">
        <v>16.93</v>
      </c>
      <c r="M14" s="100">
        <v>24.67</v>
      </c>
      <c r="N14" s="100">
        <v>2.2999999999999998</v>
      </c>
      <c r="O14" s="100">
        <v>0</v>
      </c>
      <c r="P14" s="100">
        <v>0.81</v>
      </c>
      <c r="Q14" s="100">
        <v>9.32</v>
      </c>
      <c r="R14" s="6"/>
      <c r="S14" s="6"/>
      <c r="T14" s="156"/>
      <c r="U14" s="6"/>
    </row>
    <row r="15" spans="1:21" customFormat="1">
      <c r="A15" s="201" t="s">
        <v>826</v>
      </c>
      <c r="B15" s="100">
        <v>12.07</v>
      </c>
      <c r="C15" s="100">
        <v>8.1</v>
      </c>
      <c r="D15" s="100">
        <v>13.91</v>
      </c>
      <c r="E15" s="100">
        <v>6.32</v>
      </c>
      <c r="F15" s="100">
        <v>2</v>
      </c>
      <c r="G15" s="100">
        <v>105.05</v>
      </c>
      <c r="H15" s="100">
        <v>43.52</v>
      </c>
      <c r="I15" s="100">
        <v>9.77</v>
      </c>
      <c r="J15" s="100">
        <v>0.12</v>
      </c>
      <c r="K15" s="100">
        <v>180.17</v>
      </c>
      <c r="L15" s="100">
        <v>16.309999999999999</v>
      </c>
      <c r="M15" s="100">
        <v>23.05</v>
      </c>
      <c r="N15" s="100">
        <v>2.1</v>
      </c>
      <c r="O15" s="100">
        <v>0</v>
      </c>
      <c r="P15" s="100">
        <v>0.81</v>
      </c>
      <c r="Q15" s="100">
        <v>9.32</v>
      </c>
      <c r="R15" s="6"/>
      <c r="S15" s="6"/>
      <c r="T15" s="156"/>
      <c r="U15" s="6"/>
    </row>
    <row r="16" spans="1:21" customFormat="1">
      <c r="A16" s="201" t="s">
        <v>827</v>
      </c>
      <c r="B16" s="100">
        <v>12.28</v>
      </c>
      <c r="C16" s="100">
        <v>8.0299999999999994</v>
      </c>
      <c r="D16" s="100">
        <v>14.05</v>
      </c>
      <c r="E16" s="100">
        <v>6.4</v>
      </c>
      <c r="F16" s="100">
        <v>2</v>
      </c>
      <c r="G16" s="100">
        <v>105.05</v>
      </c>
      <c r="H16" s="100">
        <v>43.52</v>
      </c>
      <c r="I16" s="100">
        <v>9.7899999999999991</v>
      </c>
      <c r="J16" s="100">
        <v>0.13</v>
      </c>
      <c r="K16" s="100">
        <v>172.79</v>
      </c>
      <c r="L16" s="100">
        <v>17.21</v>
      </c>
      <c r="M16" s="100">
        <v>25.38</v>
      </c>
      <c r="N16" s="100">
        <v>2.1</v>
      </c>
      <c r="O16" s="100">
        <v>0</v>
      </c>
      <c r="P16" s="100">
        <v>0.81</v>
      </c>
      <c r="Q16" s="100">
        <v>9.32</v>
      </c>
      <c r="R16" s="6"/>
      <c r="S16" s="6"/>
      <c r="T16" s="156"/>
      <c r="U16" s="6"/>
    </row>
    <row r="17" spans="1:21" customFormat="1">
      <c r="A17" s="201" t="s">
        <v>828</v>
      </c>
      <c r="B17" s="100">
        <v>12.71</v>
      </c>
      <c r="C17" s="100">
        <v>8.0299999999999994</v>
      </c>
      <c r="D17" s="100">
        <v>14.39</v>
      </c>
      <c r="E17" s="100">
        <v>5.87</v>
      </c>
      <c r="F17" s="100">
        <v>2</v>
      </c>
      <c r="G17" s="100">
        <v>105.05</v>
      </c>
      <c r="H17" s="100">
        <v>43.52</v>
      </c>
      <c r="I17" s="100">
        <v>9.77</v>
      </c>
      <c r="J17" s="100">
        <v>0.14000000000000001</v>
      </c>
      <c r="K17" s="100">
        <v>161.77000000000001</v>
      </c>
      <c r="L17" s="100">
        <v>15.8</v>
      </c>
      <c r="M17" s="100">
        <v>21.83</v>
      </c>
      <c r="N17" s="100">
        <v>2.1</v>
      </c>
      <c r="O17" s="100">
        <v>0</v>
      </c>
      <c r="P17" s="100">
        <v>0.82</v>
      </c>
      <c r="Q17" s="100">
        <v>9.32</v>
      </c>
      <c r="R17" s="6"/>
      <c r="S17" s="6"/>
      <c r="T17" s="156"/>
      <c r="U17" s="6"/>
    </row>
    <row r="18" spans="1:21" customFormat="1">
      <c r="A18" s="201" t="s">
        <v>829</v>
      </c>
      <c r="B18" s="100">
        <v>13.23</v>
      </c>
      <c r="C18" s="100">
        <v>8.01</v>
      </c>
      <c r="D18" s="100">
        <v>14.79</v>
      </c>
      <c r="E18" s="100">
        <v>7.19</v>
      </c>
      <c r="F18" s="100">
        <v>2</v>
      </c>
      <c r="G18" s="100">
        <v>102.78</v>
      </c>
      <c r="H18" s="100">
        <v>42.71</v>
      </c>
      <c r="I18" s="100">
        <v>9.82</v>
      </c>
      <c r="J18" s="100">
        <v>0.09</v>
      </c>
      <c r="K18" s="100">
        <v>125.32</v>
      </c>
      <c r="L18" s="100">
        <v>12.6</v>
      </c>
      <c r="M18" s="100">
        <v>13.77</v>
      </c>
      <c r="N18" s="100">
        <v>1.9</v>
      </c>
      <c r="O18" s="100">
        <v>0</v>
      </c>
      <c r="P18" s="100">
        <v>0.81</v>
      </c>
      <c r="Q18" s="100">
        <v>9.32</v>
      </c>
      <c r="R18" s="6"/>
      <c r="S18" s="6"/>
      <c r="T18" s="156"/>
      <c r="U18" s="6"/>
    </row>
    <row r="19" spans="1:21" customFormat="1">
      <c r="A19" s="201" t="s">
        <v>830</v>
      </c>
      <c r="B19" s="100">
        <v>13.95</v>
      </c>
      <c r="C19" s="100">
        <v>8.23</v>
      </c>
      <c r="D19" s="100">
        <v>15.49</v>
      </c>
      <c r="E19" s="100">
        <v>7.17</v>
      </c>
      <c r="F19" s="100">
        <v>2</v>
      </c>
      <c r="G19" s="100">
        <v>99.94</v>
      </c>
      <c r="H19" s="100">
        <v>42.16</v>
      </c>
      <c r="I19" s="100">
        <v>9.84</v>
      </c>
      <c r="J19" s="100">
        <v>0.1</v>
      </c>
      <c r="K19" s="100">
        <v>118.9</v>
      </c>
      <c r="L19" s="100">
        <v>11.46</v>
      </c>
      <c r="M19" s="100">
        <v>10.72</v>
      </c>
      <c r="N19" s="100">
        <v>2</v>
      </c>
      <c r="O19" s="100">
        <v>0</v>
      </c>
      <c r="P19" s="100">
        <v>0.81</v>
      </c>
      <c r="Q19" s="100">
        <v>9.32</v>
      </c>
      <c r="R19" s="6"/>
      <c r="S19" s="6"/>
      <c r="T19" s="156"/>
      <c r="U19" s="6"/>
    </row>
    <row r="20" spans="1:21" customFormat="1">
      <c r="A20" s="201" t="s">
        <v>831</v>
      </c>
      <c r="B20" s="100">
        <v>14.36</v>
      </c>
      <c r="C20" s="100">
        <v>8.44</v>
      </c>
      <c r="D20" s="100">
        <v>15.93</v>
      </c>
      <c r="E20" s="100">
        <v>7.37</v>
      </c>
      <c r="F20" s="100">
        <v>2</v>
      </c>
      <c r="G20" s="100">
        <v>99.94</v>
      </c>
      <c r="H20" s="100">
        <v>42.16</v>
      </c>
      <c r="I20" s="100">
        <v>9.7899999999999991</v>
      </c>
      <c r="J20" s="100">
        <v>0.09</v>
      </c>
      <c r="K20" s="100">
        <v>122.53</v>
      </c>
      <c r="L20" s="100">
        <v>13.32</v>
      </c>
      <c r="M20" s="100">
        <v>15.4</v>
      </c>
      <c r="N20" s="100">
        <v>2.2000000000000002</v>
      </c>
      <c r="O20" s="100">
        <v>0</v>
      </c>
      <c r="P20" s="100">
        <v>0.8</v>
      </c>
      <c r="Q20" s="100">
        <v>9.32</v>
      </c>
      <c r="R20" s="6"/>
      <c r="S20" s="6"/>
      <c r="T20" s="156"/>
      <c r="U20" s="6"/>
    </row>
    <row r="21" spans="1:21" customFormat="1">
      <c r="A21" s="201" t="s">
        <v>832</v>
      </c>
      <c r="B21" s="100">
        <v>14.36</v>
      </c>
      <c r="C21" s="100">
        <v>8.56</v>
      </c>
      <c r="D21" s="100">
        <v>15.99</v>
      </c>
      <c r="E21" s="100">
        <v>7.56</v>
      </c>
      <c r="F21" s="100">
        <v>2</v>
      </c>
      <c r="G21" s="100">
        <v>99.94</v>
      </c>
      <c r="H21" s="100">
        <v>42.16</v>
      </c>
      <c r="I21" s="100">
        <v>9.8000000000000007</v>
      </c>
      <c r="J21" s="100">
        <v>0.01</v>
      </c>
      <c r="K21" s="100">
        <v>107.17</v>
      </c>
      <c r="L21" s="100">
        <v>17.559999999999999</v>
      </c>
      <c r="M21" s="100">
        <v>25.99</v>
      </c>
      <c r="N21" s="100">
        <v>2.1</v>
      </c>
      <c r="O21" s="100">
        <v>0</v>
      </c>
      <c r="P21" s="100">
        <v>0.81</v>
      </c>
      <c r="Q21" s="100">
        <v>9.32</v>
      </c>
      <c r="R21" s="6"/>
      <c r="S21" s="6"/>
      <c r="T21" s="156"/>
      <c r="U21" s="6"/>
    </row>
    <row r="22" spans="1:21" customFormat="1">
      <c r="A22" s="201" t="s">
        <v>833</v>
      </c>
      <c r="B22" s="100">
        <v>14.36</v>
      </c>
      <c r="C22" s="100">
        <v>8.64</v>
      </c>
      <c r="D22" s="100">
        <v>16.03</v>
      </c>
      <c r="E22" s="100">
        <v>7.35</v>
      </c>
      <c r="F22" s="100">
        <v>2</v>
      </c>
      <c r="G22" s="100">
        <v>105.28</v>
      </c>
      <c r="H22" s="100">
        <v>40.049999999999997</v>
      </c>
      <c r="I22" s="100">
        <v>9.83</v>
      </c>
      <c r="J22" s="100">
        <v>0.1</v>
      </c>
      <c r="K22" s="100">
        <v>126.67</v>
      </c>
      <c r="L22" s="100">
        <v>11.5</v>
      </c>
      <c r="M22" s="100">
        <v>10.81</v>
      </c>
      <c r="N22" s="100">
        <v>2.1</v>
      </c>
      <c r="O22" s="100">
        <v>0</v>
      </c>
      <c r="P22" s="100">
        <v>0.81</v>
      </c>
      <c r="Q22" s="100">
        <v>9.32</v>
      </c>
      <c r="R22" s="6"/>
      <c r="S22" s="6"/>
      <c r="T22" s="156"/>
      <c r="U22" s="6"/>
    </row>
    <row r="23" spans="1:21" customFormat="1">
      <c r="A23" s="201" t="s">
        <v>834</v>
      </c>
      <c r="B23" s="100">
        <v>14.49</v>
      </c>
      <c r="C23" s="100">
        <v>8.6</v>
      </c>
      <c r="D23" s="100">
        <v>16.11</v>
      </c>
      <c r="E23" s="100">
        <v>7.37</v>
      </c>
      <c r="F23" s="100">
        <v>2</v>
      </c>
      <c r="G23" s="100">
        <v>111.94</v>
      </c>
      <c r="H23" s="100">
        <v>38.630000000000003</v>
      </c>
      <c r="I23" s="100">
        <v>9.7899999999999991</v>
      </c>
      <c r="J23" s="100">
        <v>0.13</v>
      </c>
      <c r="K23" s="100">
        <v>42.76</v>
      </c>
      <c r="L23" s="100">
        <v>11.46</v>
      </c>
      <c r="M23" s="100">
        <v>10.53</v>
      </c>
      <c r="N23" s="100">
        <v>2.1</v>
      </c>
      <c r="O23" s="100">
        <v>0</v>
      </c>
      <c r="P23" s="100">
        <v>0.79</v>
      </c>
      <c r="Q23" s="100">
        <v>9.32</v>
      </c>
      <c r="R23" s="6"/>
      <c r="S23" s="6"/>
      <c r="T23" s="156"/>
      <c r="U23" s="6"/>
    </row>
    <row r="24" spans="1:21" customFormat="1">
      <c r="A24" s="201" t="s">
        <v>835</v>
      </c>
      <c r="B24" s="100">
        <v>14.63</v>
      </c>
      <c r="C24" s="100">
        <v>8.59</v>
      </c>
      <c r="D24" s="100">
        <v>16.22</v>
      </c>
      <c r="E24" s="100">
        <v>7.5</v>
      </c>
      <c r="F24" s="100">
        <v>2</v>
      </c>
      <c r="G24" s="100">
        <v>111.94</v>
      </c>
      <c r="H24" s="100">
        <v>38.630000000000003</v>
      </c>
      <c r="I24" s="100">
        <v>9.6999999999999993</v>
      </c>
      <c r="J24" s="100">
        <v>0.14000000000000001</v>
      </c>
      <c r="K24" s="100">
        <v>49.69</v>
      </c>
      <c r="L24" s="100">
        <v>7.47</v>
      </c>
      <c r="M24" s="100">
        <v>0.59</v>
      </c>
      <c r="N24" s="100">
        <v>2.1</v>
      </c>
      <c r="O24" s="100">
        <v>0</v>
      </c>
      <c r="P24" s="100">
        <v>0.8</v>
      </c>
      <c r="Q24" s="100">
        <v>9.32</v>
      </c>
      <c r="R24" s="6"/>
      <c r="S24" s="6"/>
      <c r="T24" s="156"/>
      <c r="U24" s="6"/>
    </row>
    <row r="25" spans="1:21" customFormat="1">
      <c r="A25" s="201" t="s">
        <v>836</v>
      </c>
      <c r="B25" s="100">
        <v>14.73</v>
      </c>
      <c r="C25" s="100">
        <v>8.57</v>
      </c>
      <c r="D25" s="100">
        <v>16.29</v>
      </c>
      <c r="E25" s="100">
        <v>7.01</v>
      </c>
      <c r="F25" s="100">
        <v>2</v>
      </c>
      <c r="G25" s="100">
        <v>111.94</v>
      </c>
      <c r="H25" s="100">
        <v>38.630000000000003</v>
      </c>
      <c r="I25" s="100">
        <v>9.67</v>
      </c>
      <c r="J25" s="100">
        <v>0.1</v>
      </c>
      <c r="K25" s="100">
        <v>117.81</v>
      </c>
      <c r="L25" s="100">
        <v>12.25</v>
      </c>
      <c r="M25" s="100">
        <v>12.78</v>
      </c>
      <c r="N25" s="100">
        <v>2.2000000000000002</v>
      </c>
      <c r="O25" s="100">
        <v>0</v>
      </c>
      <c r="P25" s="100">
        <v>0.8</v>
      </c>
      <c r="Q25" s="100">
        <v>9.32</v>
      </c>
      <c r="R25" s="6"/>
      <c r="S25" s="6"/>
      <c r="T25" s="156"/>
      <c r="U25" s="6"/>
    </row>
    <row r="26" spans="1:21" customFormat="1">
      <c r="A26" s="201" t="s">
        <v>837</v>
      </c>
      <c r="B26" s="100">
        <v>14.86</v>
      </c>
      <c r="C26" s="100">
        <v>8.6300000000000008</v>
      </c>
      <c r="D26" s="100">
        <v>16.420000000000002</v>
      </c>
      <c r="E26" s="100">
        <v>7.26</v>
      </c>
      <c r="F26" s="100">
        <v>2</v>
      </c>
      <c r="G26" s="100">
        <v>112.49</v>
      </c>
      <c r="H26" s="100">
        <v>39.049999999999997</v>
      </c>
      <c r="I26" s="100">
        <v>9.6300000000000008</v>
      </c>
      <c r="J26" s="100">
        <v>0.21</v>
      </c>
      <c r="K26" s="100">
        <v>52</v>
      </c>
      <c r="L26" s="100">
        <v>7.29</v>
      </c>
      <c r="M26" s="100">
        <v>0.17</v>
      </c>
      <c r="N26" s="100">
        <v>2.1</v>
      </c>
      <c r="O26" s="100">
        <v>0</v>
      </c>
      <c r="P26" s="100">
        <v>0.79</v>
      </c>
      <c r="Q26" s="100">
        <v>9.32</v>
      </c>
      <c r="R26" s="6"/>
      <c r="S26" s="6"/>
      <c r="T26" s="156"/>
      <c r="U26" s="6"/>
    </row>
    <row r="27" spans="1:21" customFormat="1">
      <c r="A27" s="201" t="s">
        <v>838</v>
      </c>
      <c r="B27" s="100">
        <v>14.99</v>
      </c>
      <c r="C27" s="100">
        <v>8.56</v>
      </c>
      <c r="D27" s="100">
        <v>16.489999999999998</v>
      </c>
      <c r="E27" s="100">
        <v>7.61</v>
      </c>
      <c r="F27" s="100">
        <v>2</v>
      </c>
      <c r="G27" s="100">
        <v>113.17</v>
      </c>
      <c r="H27" s="100">
        <v>39.33</v>
      </c>
      <c r="I27" s="100">
        <v>9.56</v>
      </c>
      <c r="J27" s="100">
        <v>0.03</v>
      </c>
      <c r="K27" s="100">
        <v>78.78</v>
      </c>
      <c r="L27" s="100">
        <v>17.78</v>
      </c>
      <c r="M27" s="100">
        <v>26.46</v>
      </c>
      <c r="N27" s="100">
        <v>2.1</v>
      </c>
      <c r="O27" s="100">
        <v>0</v>
      </c>
      <c r="P27" s="100">
        <v>0.79</v>
      </c>
      <c r="Q27" s="100">
        <v>9.32</v>
      </c>
      <c r="R27" s="6"/>
      <c r="S27" s="6"/>
      <c r="T27" s="156"/>
      <c r="U27" s="6"/>
    </row>
    <row r="28" spans="1:21" customFormat="1">
      <c r="A28" s="201" t="s">
        <v>839</v>
      </c>
      <c r="B28" s="100">
        <v>15.26</v>
      </c>
      <c r="C28" s="100">
        <v>8.5500000000000007</v>
      </c>
      <c r="D28" s="100">
        <v>16.7</v>
      </c>
      <c r="E28" s="100">
        <v>7.63</v>
      </c>
      <c r="F28" s="100">
        <v>2</v>
      </c>
      <c r="G28" s="100">
        <v>113.17</v>
      </c>
      <c r="H28" s="100">
        <v>39.33</v>
      </c>
      <c r="I28" s="100">
        <v>9.52</v>
      </c>
      <c r="J28" s="100">
        <v>0.16</v>
      </c>
      <c r="K28" s="100">
        <v>30.12</v>
      </c>
      <c r="L28" s="100">
        <v>8.81</v>
      </c>
      <c r="M28" s="100">
        <v>3.79</v>
      </c>
      <c r="N28" s="100">
        <v>2.1</v>
      </c>
      <c r="O28" s="100">
        <v>0</v>
      </c>
      <c r="P28" s="100">
        <v>0.8</v>
      </c>
      <c r="Q28" s="100">
        <v>9.32</v>
      </c>
      <c r="R28" s="6"/>
      <c r="S28" s="6"/>
      <c r="T28" s="156"/>
      <c r="U28" s="6"/>
    </row>
    <row r="29" spans="1:21" customFormat="1">
      <c r="A29" s="201" t="s">
        <v>840</v>
      </c>
      <c r="B29" s="100">
        <v>15.55</v>
      </c>
      <c r="C29" s="100">
        <v>8.6999999999999993</v>
      </c>
      <c r="D29" s="100">
        <v>17.010000000000002</v>
      </c>
      <c r="E29" s="100">
        <v>7.6</v>
      </c>
      <c r="F29" s="100">
        <v>2</v>
      </c>
      <c r="G29" s="100">
        <v>113.17</v>
      </c>
      <c r="H29" s="100">
        <v>39.33</v>
      </c>
      <c r="I29" s="100">
        <v>9.49</v>
      </c>
      <c r="J29" s="100">
        <v>0.31</v>
      </c>
      <c r="K29" s="100">
        <v>46.07</v>
      </c>
      <c r="L29" s="100">
        <v>6.34</v>
      </c>
      <c r="M29" s="100">
        <v>-2.2799999999999998</v>
      </c>
      <c r="N29" s="100">
        <v>2.1</v>
      </c>
      <c r="O29" s="100">
        <v>0</v>
      </c>
      <c r="P29" s="100">
        <v>0.79</v>
      </c>
      <c r="Q29" s="100">
        <v>9.32</v>
      </c>
      <c r="R29" s="6"/>
      <c r="S29" s="6"/>
      <c r="T29" s="156"/>
      <c r="U29" s="6"/>
    </row>
    <row r="30" spans="1:21" customFormat="1">
      <c r="A30" s="201" t="s">
        <v>841</v>
      </c>
      <c r="B30" s="100">
        <v>15.5</v>
      </c>
      <c r="C30" s="100">
        <v>8.84</v>
      </c>
      <c r="D30" s="100">
        <v>17.04</v>
      </c>
      <c r="E30" s="100">
        <v>7.49</v>
      </c>
      <c r="F30" s="100">
        <v>2</v>
      </c>
      <c r="G30" s="100">
        <v>112.68</v>
      </c>
      <c r="H30" s="100">
        <v>37.08</v>
      </c>
      <c r="I30" s="100">
        <v>9.48</v>
      </c>
      <c r="J30" s="100">
        <v>0.23</v>
      </c>
      <c r="K30" s="100">
        <v>22.12</v>
      </c>
      <c r="L30" s="100">
        <v>11.42</v>
      </c>
      <c r="M30" s="100">
        <v>10.36</v>
      </c>
      <c r="N30" s="100">
        <v>2.1</v>
      </c>
      <c r="O30" s="100">
        <v>0</v>
      </c>
      <c r="P30" s="100">
        <v>0.79</v>
      </c>
      <c r="Q30" s="100">
        <v>9.32</v>
      </c>
      <c r="R30" s="6"/>
      <c r="S30" s="6"/>
      <c r="T30" s="156"/>
      <c r="U30" s="6"/>
    </row>
    <row r="31" spans="1:21" customFormat="1">
      <c r="A31" s="201" t="s">
        <v>842</v>
      </c>
      <c r="B31" s="100">
        <v>15.4</v>
      </c>
      <c r="C31" s="100">
        <v>8.8800000000000008</v>
      </c>
      <c r="D31" s="100">
        <v>16.989999999999998</v>
      </c>
      <c r="E31" s="100">
        <v>7.67</v>
      </c>
      <c r="F31" s="100">
        <v>2</v>
      </c>
      <c r="G31" s="100">
        <v>112.07</v>
      </c>
      <c r="H31" s="100">
        <v>35.53</v>
      </c>
      <c r="I31" s="100">
        <v>9.42</v>
      </c>
      <c r="J31" s="100">
        <v>0.2</v>
      </c>
      <c r="K31" s="100">
        <v>6.46</v>
      </c>
      <c r="L31" s="100">
        <v>12.1</v>
      </c>
      <c r="M31" s="100">
        <v>12.73</v>
      </c>
      <c r="N31" s="100">
        <v>2.2000000000000002</v>
      </c>
      <c r="O31" s="100">
        <v>0</v>
      </c>
      <c r="P31" s="100">
        <v>0.78</v>
      </c>
      <c r="Q31" s="100">
        <v>9.32</v>
      </c>
      <c r="R31" s="6"/>
      <c r="S31" s="6"/>
      <c r="T31" s="156"/>
      <c r="U31" s="6"/>
    </row>
    <row r="32" spans="1:21" customFormat="1">
      <c r="A32" s="201" t="s">
        <v>843</v>
      </c>
      <c r="B32" s="100">
        <v>15.5</v>
      </c>
      <c r="C32" s="100">
        <v>8.9499999999999993</v>
      </c>
      <c r="D32" s="100">
        <v>17.100000000000001</v>
      </c>
      <c r="E32" s="100">
        <v>7.53</v>
      </c>
      <c r="F32" s="100">
        <v>2</v>
      </c>
      <c r="G32" s="100">
        <v>112.07</v>
      </c>
      <c r="H32" s="100">
        <v>35.53</v>
      </c>
      <c r="I32" s="100">
        <v>9.3000000000000007</v>
      </c>
      <c r="J32" s="100">
        <v>0.16</v>
      </c>
      <c r="K32" s="100">
        <v>12.66</v>
      </c>
      <c r="L32" s="100">
        <v>12.1</v>
      </c>
      <c r="M32" s="100">
        <v>11.91</v>
      </c>
      <c r="N32" s="100">
        <v>2.4</v>
      </c>
      <c r="O32" s="100">
        <v>0</v>
      </c>
      <c r="P32" s="100">
        <v>0.77</v>
      </c>
      <c r="Q32" s="100">
        <v>9.32</v>
      </c>
      <c r="R32" s="6"/>
      <c r="S32" s="6"/>
      <c r="T32" s="156"/>
      <c r="U32" s="6"/>
    </row>
    <row r="33" spans="1:21" customFormat="1">
      <c r="A33" s="201" t="s">
        <v>844</v>
      </c>
      <c r="B33" s="100">
        <v>15.53</v>
      </c>
      <c r="C33" s="100">
        <v>9.11</v>
      </c>
      <c r="D33" s="100">
        <v>17.22</v>
      </c>
      <c r="E33" s="100">
        <v>7.17</v>
      </c>
      <c r="F33" s="100">
        <v>2</v>
      </c>
      <c r="G33" s="100">
        <v>112.07</v>
      </c>
      <c r="H33" s="100">
        <v>35.53</v>
      </c>
      <c r="I33" s="100">
        <v>9.23</v>
      </c>
      <c r="J33" s="100">
        <v>0.23</v>
      </c>
      <c r="K33" s="100">
        <v>49.15</v>
      </c>
      <c r="L33" s="100">
        <v>7.18</v>
      </c>
      <c r="M33" s="100">
        <v>-0.17</v>
      </c>
      <c r="N33" s="100">
        <v>4.2</v>
      </c>
      <c r="O33" s="100">
        <v>0</v>
      </c>
      <c r="P33" s="100">
        <v>0.77</v>
      </c>
      <c r="Q33" s="100">
        <v>9.32</v>
      </c>
      <c r="R33" s="6"/>
      <c r="S33" s="6"/>
      <c r="T33" s="156"/>
      <c r="U33" s="6"/>
    </row>
    <row r="34" spans="1:21" customFormat="1">
      <c r="A34" s="201" t="s">
        <v>845</v>
      </c>
      <c r="B34" s="100">
        <v>15.47</v>
      </c>
      <c r="C34" s="100">
        <v>9.14</v>
      </c>
      <c r="D34" s="100">
        <v>17.18</v>
      </c>
      <c r="E34" s="100">
        <v>6.88</v>
      </c>
      <c r="F34" s="100">
        <v>2</v>
      </c>
      <c r="G34" s="100">
        <v>114.46</v>
      </c>
      <c r="H34" s="100">
        <v>36.17</v>
      </c>
      <c r="I34" s="100">
        <v>9.3699999999999992</v>
      </c>
      <c r="J34" s="100">
        <v>0.18</v>
      </c>
      <c r="K34" s="100">
        <v>43.02</v>
      </c>
      <c r="L34" s="100">
        <v>7.33</v>
      </c>
      <c r="M34" s="100">
        <v>0</v>
      </c>
      <c r="N34" s="100">
        <v>10.3</v>
      </c>
      <c r="O34" s="100">
        <v>0</v>
      </c>
      <c r="P34" s="100">
        <v>0.78</v>
      </c>
      <c r="Q34" s="100">
        <v>9.32</v>
      </c>
      <c r="R34" s="6"/>
      <c r="S34" s="6"/>
      <c r="T34" s="156"/>
      <c r="U34" s="6"/>
    </row>
    <row r="35" spans="1:21" customFormat="1">
      <c r="A35" s="201" t="s">
        <v>846</v>
      </c>
      <c r="B35" s="100">
        <v>15.59</v>
      </c>
      <c r="C35" s="100">
        <v>9.17</v>
      </c>
      <c r="D35" s="100">
        <v>17.29</v>
      </c>
      <c r="E35" s="100">
        <v>7.15</v>
      </c>
      <c r="F35" s="100">
        <v>2</v>
      </c>
      <c r="G35" s="100">
        <v>117.44</v>
      </c>
      <c r="H35" s="100">
        <v>36.6</v>
      </c>
      <c r="I35" s="100">
        <v>9.67</v>
      </c>
      <c r="J35" s="100">
        <v>0.2</v>
      </c>
      <c r="K35" s="100">
        <v>34.67</v>
      </c>
      <c r="L35" s="100">
        <v>6.97</v>
      </c>
      <c r="M35" s="100">
        <v>-1.1200000000000001</v>
      </c>
      <c r="N35" s="100">
        <v>17.5</v>
      </c>
      <c r="O35" s="100">
        <v>0</v>
      </c>
      <c r="P35" s="100">
        <v>0.77</v>
      </c>
      <c r="Q35" s="100">
        <v>9.32</v>
      </c>
      <c r="R35" s="6"/>
      <c r="S35" s="6"/>
      <c r="T35" s="156"/>
      <c r="U35" s="6"/>
    </row>
    <row r="36" spans="1:21" customFormat="1">
      <c r="A36" s="201" t="s">
        <v>847</v>
      </c>
      <c r="B36" s="100">
        <v>15.79</v>
      </c>
      <c r="C36" s="100">
        <v>9.25</v>
      </c>
      <c r="D36" s="100">
        <v>17.5</v>
      </c>
      <c r="E36" s="100">
        <v>7.28</v>
      </c>
      <c r="F36" s="100">
        <v>2</v>
      </c>
      <c r="G36" s="100">
        <v>117.44</v>
      </c>
      <c r="H36" s="100">
        <v>36.6</v>
      </c>
      <c r="I36" s="100">
        <v>10.050000000000001</v>
      </c>
      <c r="J36" s="100">
        <v>0.28000000000000003</v>
      </c>
      <c r="K36" s="100">
        <v>30.7</v>
      </c>
      <c r="L36" s="100">
        <v>9.9700000000000006</v>
      </c>
      <c r="M36" s="100">
        <v>6.11</v>
      </c>
      <c r="N36" s="100">
        <v>27.9</v>
      </c>
      <c r="O36" s="100">
        <v>0</v>
      </c>
      <c r="P36" s="100">
        <v>0.77</v>
      </c>
      <c r="Q36" s="100">
        <v>9.32</v>
      </c>
      <c r="R36" s="6"/>
      <c r="S36" s="6"/>
      <c r="T36" s="156"/>
      <c r="U36" s="6"/>
    </row>
    <row r="37" spans="1:21" customFormat="1">
      <c r="A37" s="201" t="s">
        <v>848</v>
      </c>
      <c r="B37" s="100">
        <v>15.87</v>
      </c>
      <c r="C37" s="100">
        <v>9.32</v>
      </c>
      <c r="D37" s="100">
        <v>17.600000000000001</v>
      </c>
      <c r="E37" s="100">
        <v>6.9</v>
      </c>
      <c r="F37" s="100">
        <v>2</v>
      </c>
      <c r="G37" s="100">
        <v>117.44</v>
      </c>
      <c r="H37" s="100">
        <v>36.6</v>
      </c>
      <c r="I37" s="100">
        <v>10.38</v>
      </c>
      <c r="J37" s="100">
        <v>0.23</v>
      </c>
      <c r="K37" s="100">
        <v>22.91</v>
      </c>
      <c r="L37" s="100">
        <v>8.89</v>
      </c>
      <c r="M37" s="100">
        <v>3.04</v>
      </c>
      <c r="N37" s="100">
        <v>44.1</v>
      </c>
      <c r="O37" s="100">
        <v>0</v>
      </c>
      <c r="P37" s="100">
        <v>0.76</v>
      </c>
      <c r="Q37" s="100">
        <v>9.32</v>
      </c>
      <c r="R37" s="6"/>
      <c r="S37" s="6"/>
      <c r="T37" s="156"/>
      <c r="U37" s="6"/>
    </row>
    <row r="38" spans="1:21" customFormat="1">
      <c r="A38" s="201" t="s">
        <v>849</v>
      </c>
      <c r="B38" s="100">
        <v>16.11</v>
      </c>
      <c r="C38" s="100">
        <v>9.4</v>
      </c>
      <c r="D38" s="100">
        <v>17.829999999999998</v>
      </c>
      <c r="E38" s="100">
        <v>7.23</v>
      </c>
      <c r="F38" s="100">
        <v>2</v>
      </c>
      <c r="G38" s="100">
        <v>118.1</v>
      </c>
      <c r="H38" s="100">
        <v>36.26</v>
      </c>
      <c r="I38" s="100">
        <v>10.55</v>
      </c>
      <c r="J38" s="100">
        <v>0.38</v>
      </c>
      <c r="K38" s="100">
        <v>44</v>
      </c>
      <c r="L38" s="100">
        <v>7.13</v>
      </c>
      <c r="M38" s="100">
        <v>-1.61</v>
      </c>
      <c r="N38" s="100">
        <v>59.2</v>
      </c>
      <c r="O38" s="100">
        <v>0</v>
      </c>
      <c r="P38" s="100">
        <v>0.77</v>
      </c>
      <c r="Q38" s="100">
        <v>9.32</v>
      </c>
      <c r="R38" s="6"/>
      <c r="S38" s="6"/>
      <c r="T38" s="156"/>
      <c r="U38" s="6"/>
    </row>
    <row r="39" spans="1:21" customFormat="1">
      <c r="A39" s="201" t="s">
        <v>850</v>
      </c>
      <c r="B39" s="100">
        <v>16.28</v>
      </c>
      <c r="C39" s="100">
        <v>9.43</v>
      </c>
      <c r="D39" s="100">
        <v>17.989999999999998</v>
      </c>
      <c r="E39" s="100">
        <v>7.29</v>
      </c>
      <c r="F39" s="100">
        <v>2</v>
      </c>
      <c r="G39" s="100">
        <v>118.93</v>
      </c>
      <c r="H39" s="100">
        <v>35.68</v>
      </c>
      <c r="I39" s="100">
        <v>10.63</v>
      </c>
      <c r="J39" s="100">
        <v>0.35</v>
      </c>
      <c r="K39" s="100">
        <v>35.14</v>
      </c>
      <c r="L39" s="100">
        <v>12.56</v>
      </c>
      <c r="M39" s="100">
        <v>11.1</v>
      </c>
      <c r="N39" s="100">
        <v>95.5</v>
      </c>
      <c r="O39" s="100">
        <v>0</v>
      </c>
      <c r="P39" s="100">
        <v>0.78</v>
      </c>
      <c r="Q39" s="100">
        <v>9.32</v>
      </c>
      <c r="R39" s="6"/>
      <c r="S39" s="6"/>
      <c r="T39" s="156"/>
      <c r="U39" s="6"/>
    </row>
    <row r="40" spans="1:21" customFormat="1">
      <c r="A40" s="201" t="s">
        <v>851</v>
      </c>
      <c r="B40" s="100">
        <v>16.329999999999998</v>
      </c>
      <c r="C40" s="100">
        <v>9.36</v>
      </c>
      <c r="D40" s="100">
        <v>17.989999999999998</v>
      </c>
      <c r="E40" s="100">
        <v>7.52</v>
      </c>
      <c r="F40" s="100">
        <v>2</v>
      </c>
      <c r="G40" s="100">
        <v>118.93</v>
      </c>
      <c r="H40" s="100">
        <v>35.68</v>
      </c>
      <c r="I40" s="100">
        <v>10.66</v>
      </c>
      <c r="J40" s="100">
        <v>0.45</v>
      </c>
      <c r="K40" s="100">
        <v>30.71</v>
      </c>
      <c r="L40" s="100">
        <v>11.45</v>
      </c>
      <c r="M40" s="100">
        <v>6.04</v>
      </c>
      <c r="N40" s="100">
        <v>192.2</v>
      </c>
      <c r="O40" s="100">
        <v>0</v>
      </c>
      <c r="P40" s="100">
        <v>0.77</v>
      </c>
      <c r="Q40" s="100">
        <v>9.32</v>
      </c>
      <c r="R40" s="6"/>
      <c r="S40" s="6"/>
      <c r="T40" s="156"/>
      <c r="U40" s="6"/>
    </row>
    <row r="41" spans="1:21" customFormat="1">
      <c r="A41" s="201" t="s">
        <v>852</v>
      </c>
      <c r="B41" s="100">
        <v>16.239999999999998</v>
      </c>
      <c r="C41" s="100">
        <v>9.39</v>
      </c>
      <c r="D41" s="100">
        <v>17.920000000000002</v>
      </c>
      <c r="E41" s="100">
        <v>7.3</v>
      </c>
      <c r="F41" s="100">
        <v>2</v>
      </c>
      <c r="G41" s="100">
        <v>118.93</v>
      </c>
      <c r="H41" s="100">
        <v>35.68</v>
      </c>
      <c r="I41" s="100">
        <v>10.64</v>
      </c>
      <c r="J41" s="100">
        <v>0.38</v>
      </c>
      <c r="K41" s="100">
        <v>40.72</v>
      </c>
      <c r="L41" s="100">
        <v>12.48</v>
      </c>
      <c r="M41" s="100">
        <v>7.76</v>
      </c>
      <c r="N41" s="100">
        <v>232.6</v>
      </c>
      <c r="O41" s="100">
        <v>0</v>
      </c>
      <c r="P41" s="100">
        <v>0.78</v>
      </c>
      <c r="Q41" s="100">
        <v>9.32</v>
      </c>
      <c r="R41" s="6"/>
      <c r="S41" s="6"/>
      <c r="T41" s="156"/>
      <c r="U41" s="6"/>
    </row>
    <row r="42" spans="1:21" customFormat="1">
      <c r="A42" s="201" t="s">
        <v>853</v>
      </c>
      <c r="B42" s="100">
        <v>15.98</v>
      </c>
      <c r="C42" s="100">
        <v>9.4600000000000009</v>
      </c>
      <c r="D42" s="100">
        <v>17.760000000000002</v>
      </c>
      <c r="E42" s="100">
        <v>7.22</v>
      </c>
      <c r="F42" s="100">
        <v>2</v>
      </c>
      <c r="G42" s="100">
        <v>117.56</v>
      </c>
      <c r="H42" s="100">
        <v>31.04</v>
      </c>
      <c r="I42" s="100">
        <v>10.57</v>
      </c>
      <c r="J42" s="100">
        <v>0.68</v>
      </c>
      <c r="K42" s="100">
        <v>43.76</v>
      </c>
      <c r="L42" s="100">
        <v>9.68</v>
      </c>
      <c r="M42" s="100">
        <v>-0.28000000000000003</v>
      </c>
      <c r="N42" s="100">
        <v>275.8</v>
      </c>
      <c r="O42" s="100">
        <v>0</v>
      </c>
      <c r="P42" s="100">
        <v>0.78</v>
      </c>
      <c r="Q42" s="100">
        <v>9.32</v>
      </c>
      <c r="R42" s="6"/>
      <c r="S42" s="6"/>
      <c r="T42" s="156"/>
      <c r="U42" s="6"/>
    </row>
    <row r="43" spans="1:21" customFormat="1">
      <c r="A43" s="201" t="s">
        <v>854</v>
      </c>
      <c r="B43" s="100">
        <v>15.66</v>
      </c>
      <c r="C43" s="100">
        <v>9.4499999999999993</v>
      </c>
      <c r="D43" s="100">
        <v>17.5</v>
      </c>
      <c r="E43" s="100">
        <v>6.94</v>
      </c>
      <c r="F43" s="100">
        <v>2</v>
      </c>
      <c r="G43" s="100">
        <v>115.85</v>
      </c>
      <c r="H43" s="100">
        <v>27.92</v>
      </c>
      <c r="I43" s="100">
        <v>10.5</v>
      </c>
      <c r="J43" s="100">
        <v>0.46</v>
      </c>
      <c r="K43" s="100">
        <v>49.54</v>
      </c>
      <c r="L43" s="100">
        <v>10.93</v>
      </c>
      <c r="M43" s="100">
        <v>1.75</v>
      </c>
      <c r="N43" s="100">
        <v>324.2</v>
      </c>
      <c r="O43" s="100">
        <v>0</v>
      </c>
      <c r="P43" s="100">
        <v>0.78</v>
      </c>
      <c r="Q43" s="100">
        <v>9.32</v>
      </c>
      <c r="R43" s="6"/>
      <c r="S43" s="6"/>
      <c r="T43" s="156"/>
      <c r="U43" s="6"/>
    </row>
    <row r="44" spans="1:21" customFormat="1">
      <c r="A44" s="201" t="s">
        <v>855</v>
      </c>
      <c r="B44" s="100">
        <v>15.19</v>
      </c>
      <c r="C44" s="100">
        <v>9.56</v>
      </c>
      <c r="D44" s="100">
        <v>17.170000000000002</v>
      </c>
      <c r="E44" s="100">
        <v>7.46</v>
      </c>
      <c r="F44" s="100">
        <v>2</v>
      </c>
      <c r="G44" s="100">
        <v>115.85</v>
      </c>
      <c r="H44" s="100">
        <v>27.92</v>
      </c>
      <c r="I44" s="100">
        <v>10.44</v>
      </c>
      <c r="J44" s="100">
        <v>0.8</v>
      </c>
      <c r="K44" s="100">
        <v>41.44</v>
      </c>
      <c r="L44" s="100">
        <v>10.48</v>
      </c>
      <c r="M44" s="100">
        <v>-0.55000000000000004</v>
      </c>
      <c r="N44" s="100">
        <v>371.1</v>
      </c>
      <c r="O44" s="100">
        <v>0</v>
      </c>
      <c r="P44" s="100">
        <v>0.78</v>
      </c>
      <c r="Q44" s="100">
        <v>9.32</v>
      </c>
      <c r="R44" s="6"/>
      <c r="S44" s="6"/>
      <c r="T44" s="156"/>
      <c r="U44" s="6"/>
    </row>
    <row r="45" spans="1:21" customFormat="1">
      <c r="A45" s="201" t="s">
        <v>856</v>
      </c>
      <c r="B45" s="100">
        <v>14.62</v>
      </c>
      <c r="C45" s="100">
        <v>9.68</v>
      </c>
      <c r="D45" s="100">
        <v>16.78</v>
      </c>
      <c r="E45" s="100">
        <v>7.34</v>
      </c>
      <c r="F45" s="100">
        <v>2</v>
      </c>
      <c r="G45" s="100">
        <v>115.85</v>
      </c>
      <c r="H45" s="100">
        <v>27.92</v>
      </c>
      <c r="I45" s="100">
        <v>10.36</v>
      </c>
      <c r="J45" s="100">
        <v>0.65</v>
      </c>
      <c r="K45" s="100">
        <v>55.01</v>
      </c>
      <c r="L45" s="100">
        <v>12.2</v>
      </c>
      <c r="M45" s="100">
        <v>2.79</v>
      </c>
      <c r="N45" s="100">
        <v>414.5</v>
      </c>
      <c r="O45" s="100">
        <v>0</v>
      </c>
      <c r="P45" s="100">
        <v>0.76</v>
      </c>
      <c r="Q45" s="100">
        <v>9.32</v>
      </c>
      <c r="R45" s="6"/>
      <c r="S45" s="6"/>
      <c r="T45" s="156"/>
      <c r="U45" s="6"/>
    </row>
    <row r="46" spans="1:21" customFormat="1">
      <c r="A46" s="201" t="s">
        <v>857</v>
      </c>
      <c r="B46" s="100">
        <v>14</v>
      </c>
      <c r="C46" s="100">
        <v>9.84</v>
      </c>
      <c r="D46" s="100">
        <v>16.37</v>
      </c>
      <c r="E46" s="100">
        <v>7.43</v>
      </c>
      <c r="F46" s="100">
        <v>2</v>
      </c>
      <c r="G46" s="100">
        <v>113.68</v>
      </c>
      <c r="H46" s="100">
        <v>28.52</v>
      </c>
      <c r="I46" s="100">
        <v>10.24</v>
      </c>
      <c r="J46" s="100">
        <v>0.56000000000000005</v>
      </c>
      <c r="K46" s="100">
        <v>42.72</v>
      </c>
      <c r="L46" s="100">
        <v>12.57</v>
      </c>
      <c r="M46" s="100">
        <v>2.89</v>
      </c>
      <c r="N46" s="100">
        <v>449.7</v>
      </c>
      <c r="O46" s="100">
        <v>0</v>
      </c>
      <c r="P46" s="100">
        <v>0.77</v>
      </c>
      <c r="Q46" s="100">
        <v>9.32</v>
      </c>
      <c r="R46" s="6"/>
      <c r="S46" s="6"/>
      <c r="T46" s="156"/>
      <c r="U46" s="6"/>
    </row>
    <row r="47" spans="1:21" customFormat="1">
      <c r="A47" s="201" t="s">
        <v>858</v>
      </c>
      <c r="B47" s="100">
        <v>13.6</v>
      </c>
      <c r="C47" s="100">
        <v>9.8699999999999992</v>
      </c>
      <c r="D47" s="100">
        <v>16.059999999999999</v>
      </c>
      <c r="E47" s="100">
        <v>7.48</v>
      </c>
      <c r="F47" s="100">
        <v>2</v>
      </c>
      <c r="G47" s="100">
        <v>110.97</v>
      </c>
      <c r="H47" s="100">
        <v>28.93</v>
      </c>
      <c r="I47" s="100">
        <v>10.09</v>
      </c>
      <c r="J47" s="100">
        <v>0.59</v>
      </c>
      <c r="K47" s="100">
        <v>48.67</v>
      </c>
      <c r="L47" s="100">
        <v>11.63</v>
      </c>
      <c r="M47" s="100">
        <v>3.96</v>
      </c>
      <c r="N47" s="100">
        <v>304</v>
      </c>
      <c r="O47" s="100">
        <v>0</v>
      </c>
      <c r="P47" s="100">
        <v>0.77</v>
      </c>
      <c r="Q47" s="100">
        <v>9.32</v>
      </c>
      <c r="R47" s="6"/>
      <c r="S47" s="6"/>
      <c r="T47" s="156"/>
      <c r="U47" s="6"/>
    </row>
    <row r="48" spans="1:21" customFormat="1">
      <c r="A48" s="201" t="s">
        <v>859</v>
      </c>
      <c r="B48" s="100">
        <v>13.24</v>
      </c>
      <c r="C48" s="100">
        <v>10.48</v>
      </c>
      <c r="D48" s="100">
        <v>16.09</v>
      </c>
      <c r="E48" s="100">
        <v>7.37</v>
      </c>
      <c r="F48" s="100">
        <v>2</v>
      </c>
      <c r="G48" s="100">
        <v>110.97</v>
      </c>
      <c r="H48" s="100">
        <v>28.93</v>
      </c>
      <c r="I48" s="100">
        <v>9.9600000000000009</v>
      </c>
      <c r="J48" s="100">
        <v>0.38</v>
      </c>
      <c r="K48" s="100">
        <v>52.24</v>
      </c>
      <c r="L48" s="100">
        <v>13.31</v>
      </c>
      <c r="M48" s="100">
        <v>6.1</v>
      </c>
      <c r="N48" s="100">
        <v>394.1</v>
      </c>
      <c r="O48" s="100">
        <v>0</v>
      </c>
      <c r="P48" s="100">
        <v>0.76</v>
      </c>
      <c r="Q48" s="100">
        <v>9.32</v>
      </c>
      <c r="R48" s="6"/>
      <c r="S48" s="6"/>
      <c r="T48" s="156"/>
      <c r="U48" s="6"/>
    </row>
    <row r="49" spans="1:21" customFormat="1">
      <c r="A49" s="201" t="s">
        <v>860</v>
      </c>
      <c r="B49" s="100">
        <v>12.65</v>
      </c>
      <c r="C49" s="100">
        <v>10.42</v>
      </c>
      <c r="D49" s="100">
        <v>15.58</v>
      </c>
      <c r="E49" s="100">
        <v>5.37</v>
      </c>
      <c r="F49" s="100">
        <v>2</v>
      </c>
      <c r="G49" s="100">
        <v>110.97</v>
      </c>
      <c r="H49" s="100">
        <v>28.93</v>
      </c>
      <c r="I49" s="100">
        <v>9.82</v>
      </c>
      <c r="J49" s="100">
        <v>0.54</v>
      </c>
      <c r="K49" s="100">
        <v>28.66</v>
      </c>
      <c r="L49" s="100">
        <v>16.13</v>
      </c>
      <c r="M49" s="100">
        <v>8.86</v>
      </c>
      <c r="N49" s="100">
        <v>543.4</v>
      </c>
      <c r="O49" s="100">
        <v>0</v>
      </c>
      <c r="P49" s="100">
        <v>0.75</v>
      </c>
      <c r="Q49" s="100">
        <v>9.32</v>
      </c>
      <c r="R49" s="6"/>
      <c r="S49" s="6"/>
      <c r="T49" s="156"/>
      <c r="U49" s="6"/>
    </row>
    <row r="50" spans="1:21" customFormat="1">
      <c r="A50" s="201" t="s">
        <v>861</v>
      </c>
      <c r="B50" s="100">
        <v>12.11</v>
      </c>
      <c r="C50" s="100">
        <v>10.42</v>
      </c>
      <c r="D50" s="100">
        <v>15.15</v>
      </c>
      <c r="E50" s="100">
        <v>6.71</v>
      </c>
      <c r="F50" s="100">
        <v>2</v>
      </c>
      <c r="G50" s="100">
        <v>109.39</v>
      </c>
      <c r="H50" s="100">
        <v>30.31</v>
      </c>
      <c r="I50" s="100">
        <v>9.66</v>
      </c>
      <c r="J50" s="100">
        <v>0.3</v>
      </c>
      <c r="K50" s="100">
        <v>59.69</v>
      </c>
      <c r="L50" s="100">
        <v>16.399999999999999</v>
      </c>
      <c r="M50" s="100">
        <v>9.8000000000000007</v>
      </c>
      <c r="N50" s="100">
        <v>568.1</v>
      </c>
      <c r="O50" s="100">
        <v>0</v>
      </c>
      <c r="P50" s="100">
        <v>0.75</v>
      </c>
      <c r="Q50" s="100">
        <v>9.32</v>
      </c>
      <c r="R50" s="6"/>
      <c r="S50" s="6"/>
      <c r="T50" s="156"/>
      <c r="U50" s="6"/>
    </row>
    <row r="51" spans="1:21" customFormat="1">
      <c r="A51" s="201" t="s">
        <v>862</v>
      </c>
      <c r="B51" s="100">
        <v>11.47</v>
      </c>
      <c r="C51" s="100">
        <v>10.35</v>
      </c>
      <c r="D51" s="100">
        <v>14.61</v>
      </c>
      <c r="E51" s="100">
        <v>6.63</v>
      </c>
      <c r="F51" s="100">
        <v>2</v>
      </c>
      <c r="G51" s="100">
        <v>107.4</v>
      </c>
      <c r="H51" s="100">
        <v>31.24</v>
      </c>
      <c r="I51" s="100">
        <v>9.51</v>
      </c>
      <c r="J51" s="100">
        <v>0.54</v>
      </c>
      <c r="K51" s="100">
        <v>47.55</v>
      </c>
      <c r="L51" s="100">
        <v>15.23</v>
      </c>
      <c r="M51" s="100">
        <v>6.16</v>
      </c>
      <c r="N51" s="100">
        <v>595.1</v>
      </c>
      <c r="O51" s="100">
        <v>0</v>
      </c>
      <c r="P51" s="100">
        <v>0.74</v>
      </c>
      <c r="Q51" s="100">
        <v>9.32</v>
      </c>
      <c r="R51" s="6"/>
      <c r="S51" s="6"/>
      <c r="T51" s="156"/>
      <c r="U51" s="6"/>
    </row>
    <row r="52" spans="1:21" customFormat="1">
      <c r="A52" s="201" t="s">
        <v>863</v>
      </c>
      <c r="B52" s="100">
        <v>10.75</v>
      </c>
      <c r="C52" s="100">
        <v>10.53</v>
      </c>
      <c r="D52" s="100">
        <v>14.12</v>
      </c>
      <c r="E52" s="100">
        <v>6.76</v>
      </c>
      <c r="F52" s="100">
        <v>2</v>
      </c>
      <c r="G52" s="100">
        <v>107.4</v>
      </c>
      <c r="H52" s="100">
        <v>31.24</v>
      </c>
      <c r="I52" s="100">
        <v>9.3800000000000008</v>
      </c>
      <c r="J52" s="100">
        <v>0.74</v>
      </c>
      <c r="K52" s="100">
        <v>36.76</v>
      </c>
      <c r="L52" s="100">
        <v>16.75</v>
      </c>
      <c r="M52" s="100">
        <v>10.98</v>
      </c>
      <c r="N52" s="100">
        <v>551.5</v>
      </c>
      <c r="O52" s="100">
        <v>0</v>
      </c>
      <c r="P52" s="100">
        <v>0.73</v>
      </c>
      <c r="Q52" s="100">
        <v>9.32</v>
      </c>
      <c r="R52" s="6"/>
      <c r="S52" s="6"/>
      <c r="T52" s="156"/>
      <c r="U52" s="6"/>
    </row>
    <row r="53" spans="1:21" customFormat="1">
      <c r="A53" s="201" t="s">
        <v>864</v>
      </c>
      <c r="B53" s="100">
        <v>10.14</v>
      </c>
      <c r="C53" s="100">
        <v>10.8</v>
      </c>
      <c r="D53" s="100">
        <v>13.77</v>
      </c>
      <c r="E53" s="100">
        <v>6.89</v>
      </c>
      <c r="F53" s="100">
        <v>2</v>
      </c>
      <c r="G53" s="100">
        <v>107.4</v>
      </c>
      <c r="H53" s="100">
        <v>31.24</v>
      </c>
      <c r="I53" s="100">
        <v>9.25</v>
      </c>
      <c r="J53" s="100">
        <v>0.75</v>
      </c>
      <c r="K53" s="100">
        <v>39.44</v>
      </c>
      <c r="L53" s="100">
        <v>15.09</v>
      </c>
      <c r="M53" s="100">
        <v>5.01</v>
      </c>
      <c r="N53" s="100">
        <v>629</v>
      </c>
      <c r="O53" s="100">
        <v>0</v>
      </c>
      <c r="P53" s="100">
        <v>0.72</v>
      </c>
      <c r="Q53" s="100">
        <v>9.32</v>
      </c>
      <c r="R53" s="6"/>
      <c r="S53" s="6"/>
      <c r="T53" s="156"/>
      <c r="U53" s="6"/>
    </row>
    <row r="54" spans="1:21" customFormat="1">
      <c r="A54" s="201" t="s">
        <v>865</v>
      </c>
      <c r="B54" s="100">
        <v>9.3000000000000007</v>
      </c>
      <c r="C54" s="100">
        <v>11.06</v>
      </c>
      <c r="D54" s="100">
        <v>13.23</v>
      </c>
      <c r="E54" s="100">
        <v>7.28</v>
      </c>
      <c r="F54" s="100">
        <v>2.04</v>
      </c>
      <c r="G54" s="100">
        <v>101.33</v>
      </c>
      <c r="H54" s="100">
        <v>30</v>
      </c>
      <c r="I54" s="100">
        <v>9.0299999999999994</v>
      </c>
      <c r="J54" s="100">
        <v>0.56999999999999995</v>
      </c>
      <c r="K54" s="100">
        <v>27.31</v>
      </c>
      <c r="L54" s="100">
        <v>19.12</v>
      </c>
      <c r="M54" s="100">
        <v>14.77</v>
      </c>
      <c r="N54" s="100">
        <v>645.9</v>
      </c>
      <c r="O54" s="100">
        <v>0</v>
      </c>
      <c r="P54" s="100">
        <v>0.71</v>
      </c>
      <c r="Q54" s="100">
        <v>9.32</v>
      </c>
      <c r="R54" s="6"/>
      <c r="S54" s="6"/>
      <c r="T54" s="156"/>
      <c r="U54" s="6"/>
    </row>
    <row r="55" spans="1:21" customFormat="1">
      <c r="A55" s="201" t="s">
        <v>866</v>
      </c>
      <c r="B55" s="100">
        <v>8.5299999999999994</v>
      </c>
      <c r="C55" s="100">
        <v>10.92</v>
      </c>
      <c r="D55" s="100">
        <v>12.55</v>
      </c>
      <c r="E55" s="100">
        <v>7.33</v>
      </c>
      <c r="F55" s="100">
        <v>2.23</v>
      </c>
      <c r="G55" s="100">
        <v>93.74</v>
      </c>
      <c r="H55" s="100">
        <v>29.15</v>
      </c>
      <c r="I55" s="100">
        <v>8.77</v>
      </c>
      <c r="J55" s="100">
        <v>0.5</v>
      </c>
      <c r="K55" s="100">
        <v>34.47</v>
      </c>
      <c r="L55" s="100">
        <v>17.48</v>
      </c>
      <c r="M55" s="100">
        <v>10.56</v>
      </c>
      <c r="N55" s="100">
        <v>649.70000000000005</v>
      </c>
      <c r="O55" s="100">
        <v>0</v>
      </c>
      <c r="P55" s="100">
        <v>0.69</v>
      </c>
      <c r="Q55" s="100">
        <v>9.32</v>
      </c>
      <c r="R55" s="6"/>
      <c r="S55" s="6"/>
      <c r="T55" s="156"/>
      <c r="U55" s="6"/>
    </row>
    <row r="56" spans="1:21" customFormat="1">
      <c r="A56" s="201" t="s">
        <v>867</v>
      </c>
      <c r="B56" s="100">
        <v>7.74</v>
      </c>
      <c r="C56" s="100">
        <v>10.89</v>
      </c>
      <c r="D56" s="100">
        <v>11.9</v>
      </c>
      <c r="E56" s="100">
        <v>7.24</v>
      </c>
      <c r="F56" s="100">
        <v>2.2000000000000002</v>
      </c>
      <c r="G56" s="100">
        <v>93.74</v>
      </c>
      <c r="H56" s="100">
        <v>29.15</v>
      </c>
      <c r="I56" s="100">
        <v>8.56</v>
      </c>
      <c r="J56" s="100">
        <v>0.28000000000000003</v>
      </c>
      <c r="K56" s="100">
        <v>53.03</v>
      </c>
      <c r="L56" s="100">
        <v>18.59</v>
      </c>
      <c r="M56" s="100">
        <v>13.94</v>
      </c>
      <c r="N56" s="100">
        <v>658.7</v>
      </c>
      <c r="O56" s="100">
        <v>0</v>
      </c>
      <c r="P56" s="100">
        <v>0.7</v>
      </c>
      <c r="Q56" s="100">
        <v>9.32</v>
      </c>
      <c r="R56" s="6"/>
      <c r="S56" s="6"/>
      <c r="T56" s="156"/>
      <c r="U56" s="6"/>
    </row>
    <row r="57" spans="1:21" customFormat="1">
      <c r="A57" s="201" t="s">
        <v>868</v>
      </c>
      <c r="B57" s="100">
        <v>6.96</v>
      </c>
      <c r="C57" s="100">
        <v>11.19</v>
      </c>
      <c r="D57" s="100">
        <v>11.43</v>
      </c>
      <c r="E57" s="100">
        <v>7.07</v>
      </c>
      <c r="F57" s="100">
        <v>2</v>
      </c>
      <c r="G57" s="100">
        <v>93.74</v>
      </c>
      <c r="H57" s="100">
        <v>29.15</v>
      </c>
      <c r="I57" s="100">
        <v>8.3699999999999992</v>
      </c>
      <c r="J57" s="100">
        <v>0.42</v>
      </c>
      <c r="K57" s="100">
        <v>26.98</v>
      </c>
      <c r="L57" s="100">
        <v>18.809999999999999</v>
      </c>
      <c r="M57" s="100">
        <v>15.06</v>
      </c>
      <c r="N57" s="100">
        <v>597</v>
      </c>
      <c r="O57" s="100">
        <v>0</v>
      </c>
      <c r="P57" s="100">
        <v>0.68</v>
      </c>
      <c r="Q57" s="100">
        <v>9.32</v>
      </c>
      <c r="R57" s="6"/>
      <c r="S57" s="6"/>
      <c r="T57" s="156"/>
      <c r="U57" s="6"/>
    </row>
    <row r="58" spans="1:21" customFormat="1">
      <c r="A58" s="201" t="s">
        <v>869</v>
      </c>
      <c r="B58" s="100">
        <v>6.13</v>
      </c>
      <c r="C58" s="100">
        <v>10.96</v>
      </c>
      <c r="D58" s="100">
        <v>10.64</v>
      </c>
      <c r="E58" s="100">
        <v>6.34</v>
      </c>
      <c r="F58" s="100">
        <v>2.13</v>
      </c>
      <c r="G58" s="100">
        <v>86.82</v>
      </c>
      <c r="H58" s="100">
        <v>27.82</v>
      </c>
      <c r="I58" s="100">
        <v>8.16</v>
      </c>
      <c r="J58" s="100">
        <v>0.17</v>
      </c>
      <c r="K58" s="100">
        <v>80.27</v>
      </c>
      <c r="L58" s="100">
        <v>14.42</v>
      </c>
      <c r="M58" s="100">
        <v>14.82</v>
      </c>
      <c r="N58" s="100">
        <v>157.4</v>
      </c>
      <c r="O58" s="100">
        <v>0</v>
      </c>
      <c r="P58" s="100">
        <v>0.67</v>
      </c>
      <c r="Q58" s="100">
        <v>9.32</v>
      </c>
      <c r="R58" s="6"/>
      <c r="S58" s="6"/>
      <c r="T58" s="156"/>
      <c r="U58" s="6"/>
    </row>
    <row r="59" spans="1:21" customFormat="1">
      <c r="A59" s="201" t="s">
        <v>870</v>
      </c>
      <c r="B59" s="100">
        <v>5.36</v>
      </c>
      <c r="C59" s="100">
        <v>10.75</v>
      </c>
      <c r="D59" s="100">
        <v>9.91</v>
      </c>
      <c r="E59" s="100">
        <v>6.37</v>
      </c>
      <c r="F59" s="100">
        <v>2.0499999999999998</v>
      </c>
      <c r="G59" s="100">
        <v>78.16</v>
      </c>
      <c r="H59" s="100">
        <v>26.91</v>
      </c>
      <c r="I59" s="100">
        <v>7.86</v>
      </c>
      <c r="J59" s="100">
        <v>0.27</v>
      </c>
      <c r="K59" s="100">
        <v>319.07</v>
      </c>
      <c r="L59" s="100">
        <v>26.04</v>
      </c>
      <c r="M59" s="100">
        <v>37.549999999999997</v>
      </c>
      <c r="N59" s="100">
        <v>406.3</v>
      </c>
      <c r="O59" s="100">
        <v>0</v>
      </c>
      <c r="P59" s="100">
        <v>0.65</v>
      </c>
      <c r="Q59" s="100">
        <v>9.32</v>
      </c>
      <c r="R59" s="6"/>
      <c r="S59" s="6"/>
      <c r="T59" s="156"/>
      <c r="U59" s="6"/>
    </row>
    <row r="60" spans="1:21" customFormat="1">
      <c r="A60" s="201" t="s">
        <v>871</v>
      </c>
      <c r="B60" s="100">
        <v>4.9000000000000004</v>
      </c>
      <c r="C60" s="100">
        <v>10.76</v>
      </c>
      <c r="D60" s="100">
        <v>9.5500000000000007</v>
      </c>
      <c r="E60" s="100">
        <v>6.39</v>
      </c>
      <c r="F60" s="100">
        <v>2.04</v>
      </c>
      <c r="G60" s="100">
        <v>78.16</v>
      </c>
      <c r="H60" s="100">
        <v>26.91</v>
      </c>
      <c r="I60" s="100">
        <v>7.62</v>
      </c>
      <c r="J60" s="100">
        <v>0.47</v>
      </c>
      <c r="K60" s="100">
        <v>314.02999999999997</v>
      </c>
      <c r="L60" s="100">
        <v>26.09</v>
      </c>
      <c r="M60" s="100">
        <v>34.729999999999997</v>
      </c>
      <c r="N60" s="100">
        <v>534.6</v>
      </c>
      <c r="O60" s="100">
        <v>0</v>
      </c>
      <c r="P60" s="100">
        <v>0.65</v>
      </c>
      <c r="Q60" s="100">
        <v>9.32</v>
      </c>
      <c r="R60" s="6"/>
      <c r="S60" s="6"/>
      <c r="T60" s="156"/>
      <c r="U60" s="6"/>
    </row>
    <row r="61" spans="1:21" customFormat="1">
      <c r="A61" s="201" t="s">
        <v>872</v>
      </c>
      <c r="B61" s="100">
        <v>4.57</v>
      </c>
      <c r="C61" s="100">
        <v>11.17</v>
      </c>
      <c r="D61" s="100">
        <v>9.5</v>
      </c>
      <c r="E61" s="100">
        <v>6.82</v>
      </c>
      <c r="F61" s="100">
        <v>2.44</v>
      </c>
      <c r="G61" s="100">
        <v>78.16</v>
      </c>
      <c r="H61" s="100">
        <v>26.91</v>
      </c>
      <c r="I61" s="100">
        <v>7.45</v>
      </c>
      <c r="J61" s="100">
        <v>0.42</v>
      </c>
      <c r="K61" s="100">
        <v>354.98</v>
      </c>
      <c r="L61" s="100">
        <v>21.88</v>
      </c>
      <c r="M61" s="100">
        <v>26.05</v>
      </c>
      <c r="N61" s="100">
        <v>455.3</v>
      </c>
      <c r="O61" s="100">
        <v>0</v>
      </c>
      <c r="P61" s="100">
        <v>0.64</v>
      </c>
      <c r="Q61" s="100">
        <v>9.32</v>
      </c>
      <c r="R61" s="6"/>
      <c r="S61" s="6"/>
      <c r="T61" s="156"/>
      <c r="U61" s="6"/>
    </row>
    <row r="62" spans="1:21" customFormat="1">
      <c r="A62" s="201" t="s">
        <v>873</v>
      </c>
      <c r="B62" s="100">
        <v>4.03</v>
      </c>
      <c r="C62" s="100">
        <v>10.72</v>
      </c>
      <c r="D62" s="100">
        <v>8.83</v>
      </c>
      <c r="E62" s="100">
        <v>6.19</v>
      </c>
      <c r="F62" s="100">
        <v>2.1800000000000002</v>
      </c>
      <c r="G62" s="100">
        <v>73.87</v>
      </c>
      <c r="H62" s="100">
        <v>25.2</v>
      </c>
      <c r="I62" s="100">
        <v>7.17</v>
      </c>
      <c r="J62" s="100">
        <v>0.19</v>
      </c>
      <c r="K62" s="100">
        <v>337.14</v>
      </c>
      <c r="L62" s="100">
        <v>22.08</v>
      </c>
      <c r="M62" s="100">
        <v>27.92</v>
      </c>
      <c r="N62" s="100">
        <v>400.7</v>
      </c>
      <c r="O62" s="100">
        <v>0</v>
      </c>
      <c r="P62" s="100">
        <v>0.63</v>
      </c>
      <c r="Q62" s="100">
        <v>9.32</v>
      </c>
      <c r="R62" s="6"/>
      <c r="S62" s="6"/>
      <c r="T62" s="156"/>
      <c r="U62" s="6"/>
    </row>
    <row r="63" spans="1:21" customFormat="1">
      <c r="A63" s="201" t="s">
        <v>874</v>
      </c>
      <c r="B63" s="100">
        <v>3.77</v>
      </c>
      <c r="C63" s="100">
        <v>10.93</v>
      </c>
      <c r="D63" s="100">
        <v>8.73</v>
      </c>
      <c r="E63" s="100">
        <v>6.66</v>
      </c>
      <c r="F63" s="100">
        <v>2.5</v>
      </c>
      <c r="G63" s="100">
        <v>68.510000000000005</v>
      </c>
      <c r="H63" s="100">
        <v>22.31</v>
      </c>
      <c r="I63" s="100">
        <v>6.92</v>
      </c>
      <c r="J63" s="100">
        <v>0.44</v>
      </c>
      <c r="K63" s="100">
        <v>59.43</v>
      </c>
      <c r="L63" s="100">
        <v>15.65</v>
      </c>
      <c r="M63" s="100">
        <v>11.81</v>
      </c>
      <c r="N63" s="100">
        <v>395.8</v>
      </c>
      <c r="O63" s="100">
        <v>0</v>
      </c>
      <c r="P63" s="100">
        <v>0.61</v>
      </c>
      <c r="Q63" s="100">
        <v>9.32</v>
      </c>
      <c r="R63" s="6"/>
      <c r="S63" s="6"/>
      <c r="T63" s="156"/>
      <c r="U63" s="6"/>
    </row>
    <row r="64" spans="1:21" customFormat="1">
      <c r="A64" s="201" t="s">
        <v>875</v>
      </c>
      <c r="B64" s="100">
        <v>3.32</v>
      </c>
      <c r="C64" s="100">
        <v>10.53</v>
      </c>
      <c r="D64" s="100">
        <v>8.16</v>
      </c>
      <c r="E64" s="100">
        <v>6.88</v>
      </c>
      <c r="F64" s="100">
        <v>2.54</v>
      </c>
      <c r="G64" s="100">
        <v>68.510000000000005</v>
      </c>
      <c r="H64" s="100">
        <v>22.31</v>
      </c>
      <c r="I64" s="100">
        <v>6.79</v>
      </c>
      <c r="J64" s="100">
        <v>0.27</v>
      </c>
      <c r="K64" s="100">
        <v>102.51</v>
      </c>
      <c r="L64" s="100">
        <v>15.64</v>
      </c>
      <c r="M64" s="100">
        <v>14.65</v>
      </c>
      <c r="N64" s="100">
        <v>273.89999999999998</v>
      </c>
      <c r="O64" s="100">
        <v>0</v>
      </c>
      <c r="P64" s="100">
        <v>0.61</v>
      </c>
      <c r="Q64" s="100">
        <v>9.32</v>
      </c>
      <c r="R64" s="6"/>
      <c r="S64" s="6"/>
      <c r="T64" s="156"/>
      <c r="U64" s="6"/>
    </row>
    <row r="65" spans="1:21" customFormat="1">
      <c r="A65" s="201" t="s">
        <v>876</v>
      </c>
      <c r="B65" s="100">
        <v>2.98</v>
      </c>
      <c r="C65" s="100">
        <v>10.49</v>
      </c>
      <c r="D65" s="100">
        <v>7.87</v>
      </c>
      <c r="E65" s="100">
        <v>6.75</v>
      </c>
      <c r="F65" s="100">
        <v>4.6100000000000003</v>
      </c>
      <c r="G65" s="100">
        <v>68.510000000000005</v>
      </c>
      <c r="H65" s="100">
        <v>22.31</v>
      </c>
      <c r="I65" s="100">
        <v>6.69</v>
      </c>
      <c r="J65" s="100">
        <v>0.33</v>
      </c>
      <c r="K65" s="100">
        <v>24.62</v>
      </c>
      <c r="L65" s="100">
        <v>12.9</v>
      </c>
      <c r="M65" s="100">
        <v>12.37</v>
      </c>
      <c r="N65" s="100">
        <v>69.5</v>
      </c>
      <c r="O65" s="100">
        <v>0</v>
      </c>
      <c r="P65" s="100">
        <v>0.45</v>
      </c>
      <c r="Q65" s="100">
        <v>9.32</v>
      </c>
      <c r="R65" s="6"/>
      <c r="S65" s="6"/>
      <c r="T65" s="156"/>
      <c r="U65" s="6"/>
    </row>
    <row r="66" spans="1:21" customFormat="1">
      <c r="A66" s="201" t="s">
        <v>877</v>
      </c>
      <c r="B66" s="100">
        <v>2.98</v>
      </c>
      <c r="C66" s="100">
        <v>12.3</v>
      </c>
      <c r="D66" s="100">
        <v>8.81</v>
      </c>
      <c r="E66" s="100">
        <v>9.44</v>
      </c>
      <c r="F66" s="100">
        <v>6.51</v>
      </c>
      <c r="G66" s="100">
        <v>61.09</v>
      </c>
      <c r="H66" s="100">
        <v>21.35</v>
      </c>
      <c r="I66" s="100">
        <v>6.53</v>
      </c>
      <c r="J66" s="100">
        <v>0.3</v>
      </c>
      <c r="K66" s="100">
        <v>5.37</v>
      </c>
      <c r="L66" s="100">
        <v>15.38</v>
      </c>
      <c r="M66" s="100">
        <v>18.36</v>
      </c>
      <c r="N66" s="100">
        <v>80.900000000000006</v>
      </c>
      <c r="O66" s="100">
        <v>0</v>
      </c>
      <c r="P66" s="100">
        <v>0.45</v>
      </c>
      <c r="Q66" s="100">
        <v>9.32</v>
      </c>
      <c r="R66" s="6"/>
      <c r="S66" s="6"/>
      <c r="T66" s="156"/>
      <c r="U66" s="6"/>
    </row>
    <row r="67" spans="1:21" customFormat="1">
      <c r="A67" s="201" t="s">
        <v>878</v>
      </c>
      <c r="B67" s="100">
        <v>3.88</v>
      </c>
      <c r="C67" s="100">
        <v>20.69</v>
      </c>
      <c r="D67" s="100">
        <v>13.92</v>
      </c>
      <c r="E67" s="100">
        <v>15.59</v>
      </c>
      <c r="F67" s="100">
        <v>1.22</v>
      </c>
      <c r="G67" s="100">
        <v>51.83</v>
      </c>
      <c r="H67" s="100">
        <v>20.68</v>
      </c>
      <c r="I67" s="100">
        <v>6.25</v>
      </c>
      <c r="J67" s="100">
        <v>0.28000000000000003</v>
      </c>
      <c r="K67" s="100">
        <v>304.58</v>
      </c>
      <c r="L67" s="100">
        <v>24.22</v>
      </c>
      <c r="M67" s="100">
        <v>40.85</v>
      </c>
      <c r="N67" s="100">
        <v>64</v>
      </c>
      <c r="O67" s="100">
        <v>0</v>
      </c>
      <c r="P67" s="100">
        <v>0.42</v>
      </c>
      <c r="Q67" s="100">
        <v>9.32</v>
      </c>
      <c r="R67" s="6"/>
      <c r="S67" s="6"/>
      <c r="T67" s="156"/>
      <c r="U67" s="6"/>
    </row>
    <row r="68" spans="1:21" customFormat="1">
      <c r="A68" s="201" t="s">
        <v>879</v>
      </c>
      <c r="B68" s="100">
        <v>3</v>
      </c>
      <c r="C68" s="100">
        <v>23.83</v>
      </c>
      <c r="D68" s="100">
        <v>14.85</v>
      </c>
      <c r="E68" s="100">
        <v>20.49</v>
      </c>
      <c r="F68" s="100">
        <v>67.12</v>
      </c>
      <c r="G68" s="100">
        <v>51.83</v>
      </c>
      <c r="H68" s="100">
        <v>20.68</v>
      </c>
      <c r="I68" s="100">
        <v>5.61</v>
      </c>
      <c r="J68" s="100">
        <v>0.27</v>
      </c>
      <c r="K68" s="100">
        <v>14.88</v>
      </c>
      <c r="L68" s="100">
        <v>13.56</v>
      </c>
      <c r="M68" s="100">
        <v>14.47</v>
      </c>
      <c r="N68" s="100">
        <v>58</v>
      </c>
      <c r="O68" s="100">
        <v>0</v>
      </c>
      <c r="P68" s="100">
        <v>0.41</v>
      </c>
      <c r="Q68" s="100">
        <v>9.32</v>
      </c>
      <c r="R68" s="6"/>
      <c r="S68" s="6"/>
      <c r="T68" s="156"/>
      <c r="U68" s="6"/>
    </row>
    <row r="69" spans="1:21" customFormat="1">
      <c r="A69" s="201" t="s">
        <v>880</v>
      </c>
      <c r="B69" s="100">
        <v>2.13</v>
      </c>
      <c r="C69" s="100">
        <v>19.579999999999998</v>
      </c>
      <c r="D69" s="100">
        <v>11.94</v>
      </c>
      <c r="E69" s="100">
        <v>18.559999999999999</v>
      </c>
      <c r="F69" s="100">
        <v>56.2</v>
      </c>
      <c r="G69" s="100">
        <v>51.83</v>
      </c>
      <c r="H69" s="100">
        <v>20.68</v>
      </c>
      <c r="I69" s="100">
        <v>4.47</v>
      </c>
      <c r="J69" s="100">
        <v>-0.04</v>
      </c>
      <c r="K69" s="100">
        <v>0.45</v>
      </c>
      <c r="L69" s="100">
        <v>17.72</v>
      </c>
      <c r="M69" s="100">
        <v>24.87</v>
      </c>
      <c r="N69" s="100">
        <v>56.8</v>
      </c>
      <c r="O69" s="100">
        <v>0</v>
      </c>
      <c r="P69" s="100">
        <v>0.44</v>
      </c>
      <c r="Q69" s="100">
        <v>9.32</v>
      </c>
      <c r="R69" s="6"/>
      <c r="S69" s="6"/>
      <c r="T69" s="156"/>
      <c r="U69" s="6"/>
    </row>
    <row r="70" spans="1:21" customFormat="1">
      <c r="A70" s="201" t="s">
        <v>881</v>
      </c>
      <c r="B70" s="100">
        <v>2.73</v>
      </c>
      <c r="C70" s="100">
        <v>20.68</v>
      </c>
      <c r="D70" s="100">
        <v>12.99</v>
      </c>
      <c r="E70" s="100">
        <v>14.94</v>
      </c>
      <c r="F70" s="100">
        <v>52.38</v>
      </c>
      <c r="G70" s="100">
        <v>56.37</v>
      </c>
      <c r="H70" s="100">
        <v>20.010000000000002</v>
      </c>
      <c r="I70" s="100">
        <v>3.63</v>
      </c>
      <c r="J70" s="100">
        <v>0.46</v>
      </c>
      <c r="K70" s="100">
        <v>19.78</v>
      </c>
      <c r="L70" s="100">
        <v>13.99</v>
      </c>
      <c r="M70" s="100">
        <v>15.64</v>
      </c>
      <c r="N70" s="100">
        <v>47.4</v>
      </c>
      <c r="O70" s="100">
        <v>0</v>
      </c>
      <c r="P70" s="100">
        <v>0.38</v>
      </c>
      <c r="Q70" s="100">
        <v>9.32</v>
      </c>
      <c r="R70" s="6"/>
      <c r="S70" s="6"/>
      <c r="T70" s="156"/>
      <c r="U70" s="6"/>
    </row>
    <row r="71" spans="1:21" customFormat="1">
      <c r="A71" s="201" t="s">
        <v>882</v>
      </c>
      <c r="B71" s="100">
        <v>4.09</v>
      </c>
      <c r="C71" s="100">
        <v>27.03</v>
      </c>
      <c r="D71" s="100">
        <v>17.399999999999999</v>
      </c>
      <c r="E71" s="100">
        <v>8.81</v>
      </c>
      <c r="F71" s="100">
        <v>1.51</v>
      </c>
      <c r="G71" s="100">
        <v>61.59</v>
      </c>
      <c r="H71" s="100">
        <v>19.77</v>
      </c>
      <c r="I71" s="100">
        <v>3.3</v>
      </c>
      <c r="J71" s="100">
        <v>0.63</v>
      </c>
      <c r="K71" s="100">
        <v>39.86</v>
      </c>
      <c r="L71" s="100">
        <v>7.41</v>
      </c>
      <c r="M71" s="100">
        <v>-0.51</v>
      </c>
      <c r="N71" s="100">
        <v>39.1</v>
      </c>
      <c r="O71" s="100">
        <v>0</v>
      </c>
      <c r="P71" s="100">
        <v>0.41</v>
      </c>
      <c r="Q71" s="100">
        <v>9.32</v>
      </c>
      <c r="R71" s="6"/>
      <c r="S71" s="6"/>
      <c r="T71" s="156"/>
      <c r="U71" s="6"/>
    </row>
    <row r="72" spans="1:21" customFormat="1">
      <c r="A72" s="201" t="s">
        <v>883</v>
      </c>
      <c r="B72" s="100">
        <v>2.88</v>
      </c>
      <c r="C72" s="100">
        <v>26.1</v>
      </c>
      <c r="D72" s="100">
        <v>15.95</v>
      </c>
      <c r="E72" s="100">
        <v>15.06</v>
      </c>
      <c r="F72" s="100">
        <v>43.16</v>
      </c>
      <c r="G72" s="100">
        <v>61.59</v>
      </c>
      <c r="H72" s="100">
        <v>19.77</v>
      </c>
      <c r="I72" s="100">
        <v>3.2</v>
      </c>
      <c r="J72" s="100">
        <v>0.44</v>
      </c>
      <c r="K72" s="100">
        <v>31.96</v>
      </c>
      <c r="L72" s="100">
        <v>12.51</v>
      </c>
      <c r="M72" s="100">
        <v>12.48</v>
      </c>
      <c r="N72" s="100">
        <v>32.700000000000003</v>
      </c>
      <c r="O72" s="100">
        <v>0</v>
      </c>
      <c r="P72" s="100">
        <v>0.44</v>
      </c>
      <c r="Q72" s="100">
        <v>9.32</v>
      </c>
      <c r="R72" s="6"/>
      <c r="S72" s="6"/>
      <c r="T72" s="156"/>
      <c r="U72" s="6"/>
    </row>
    <row r="73" spans="1:21" customFormat="1">
      <c r="A73" s="201" t="s">
        <v>884</v>
      </c>
      <c r="B73" s="100">
        <v>2.7</v>
      </c>
      <c r="C73" s="100">
        <v>25.44</v>
      </c>
      <c r="D73" s="100">
        <v>15.45</v>
      </c>
      <c r="E73" s="100">
        <v>11.46</v>
      </c>
      <c r="F73" s="100">
        <v>35.4</v>
      </c>
      <c r="G73" s="100">
        <v>61.59</v>
      </c>
      <c r="H73" s="100">
        <v>19.77</v>
      </c>
      <c r="I73" s="100">
        <v>3.32</v>
      </c>
      <c r="J73" s="100">
        <v>0.62</v>
      </c>
      <c r="K73" s="100">
        <v>36.369999999999997</v>
      </c>
      <c r="L73" s="100">
        <v>9.56</v>
      </c>
      <c r="M73" s="100">
        <v>5.19</v>
      </c>
      <c r="N73" s="100">
        <v>26.4</v>
      </c>
      <c r="O73" s="100">
        <v>0</v>
      </c>
      <c r="P73" s="100">
        <v>0.45</v>
      </c>
      <c r="Q73" s="100">
        <v>9.32</v>
      </c>
      <c r="R73" s="6"/>
      <c r="S73" s="6"/>
      <c r="T73" s="156"/>
      <c r="U73" s="6"/>
    </row>
    <row r="74" spans="1:21" customFormat="1">
      <c r="A74" s="201" t="s">
        <v>885</v>
      </c>
      <c r="B74" s="100">
        <v>2.2999999999999998</v>
      </c>
      <c r="C74" s="100">
        <v>22.71</v>
      </c>
      <c r="D74" s="100">
        <v>13.71</v>
      </c>
      <c r="E74" s="100">
        <v>6.25</v>
      </c>
      <c r="F74" s="100">
        <v>13.64</v>
      </c>
      <c r="G74" s="100">
        <v>57.53</v>
      </c>
      <c r="H74" s="100">
        <v>19.95</v>
      </c>
      <c r="I74" s="100">
        <v>3.46</v>
      </c>
      <c r="J74" s="100">
        <v>0.45</v>
      </c>
      <c r="K74" s="100">
        <v>41.37</v>
      </c>
      <c r="L74" s="100">
        <v>8.42</v>
      </c>
      <c r="M74" s="100">
        <v>2.4700000000000002</v>
      </c>
      <c r="N74" s="100">
        <v>17</v>
      </c>
      <c r="O74" s="100">
        <v>0</v>
      </c>
      <c r="P74" s="100">
        <v>0.45</v>
      </c>
      <c r="Q74" s="100">
        <v>9.32</v>
      </c>
      <c r="R74" s="6"/>
      <c r="S74" s="6"/>
      <c r="T74" s="156"/>
      <c r="U74" s="6"/>
    </row>
    <row r="75" spans="1:21" customFormat="1">
      <c r="A75" s="201" t="s">
        <v>886</v>
      </c>
      <c r="B75" s="100">
        <v>2.48</v>
      </c>
      <c r="C75" s="100">
        <v>20.49</v>
      </c>
      <c r="D75" s="100">
        <v>12.7</v>
      </c>
      <c r="E75" s="100">
        <v>5.13</v>
      </c>
      <c r="F75" s="100">
        <v>4.42</v>
      </c>
      <c r="G75" s="100">
        <v>52.45</v>
      </c>
      <c r="H75" s="100">
        <v>20.079999999999998</v>
      </c>
      <c r="I75" s="100">
        <v>3.79</v>
      </c>
      <c r="J75" s="100">
        <v>0.36</v>
      </c>
      <c r="K75" s="100">
        <v>41.94</v>
      </c>
      <c r="L75" s="100">
        <v>8.1199999999999992</v>
      </c>
      <c r="M75" s="100">
        <v>1.79</v>
      </c>
      <c r="N75" s="100">
        <v>13.2</v>
      </c>
      <c r="O75" s="100">
        <v>0</v>
      </c>
      <c r="P75" s="100">
        <v>0.44</v>
      </c>
      <c r="Q75" s="100">
        <v>9.32</v>
      </c>
      <c r="R75" s="6"/>
      <c r="S75" s="6"/>
      <c r="T75" s="156"/>
      <c r="U75" s="6"/>
    </row>
    <row r="76" spans="1:21" customFormat="1">
      <c r="A76" s="201" t="s">
        <v>887</v>
      </c>
      <c r="B76" s="100">
        <v>3.06</v>
      </c>
      <c r="C76" s="100">
        <v>19.72</v>
      </c>
      <c r="D76" s="100">
        <v>12.75</v>
      </c>
      <c r="E76" s="100">
        <v>4.62</v>
      </c>
      <c r="F76" s="100">
        <v>2</v>
      </c>
      <c r="G76" s="100">
        <v>52.45</v>
      </c>
      <c r="H76" s="100">
        <v>20.079999999999998</v>
      </c>
      <c r="I76" s="100">
        <v>4.12</v>
      </c>
      <c r="J76" s="100">
        <v>0.33</v>
      </c>
      <c r="K76" s="100">
        <v>52.41</v>
      </c>
      <c r="L76" s="100">
        <v>8.24</v>
      </c>
      <c r="M76" s="100">
        <v>2.38</v>
      </c>
      <c r="N76" s="100">
        <v>9.6</v>
      </c>
      <c r="O76" s="100">
        <v>0</v>
      </c>
      <c r="P76" s="100">
        <v>0.45</v>
      </c>
      <c r="Q76" s="100">
        <v>9.32</v>
      </c>
      <c r="R76" s="6"/>
      <c r="S76" s="6"/>
      <c r="T76" s="156"/>
      <c r="U76" s="6"/>
    </row>
    <row r="77" spans="1:21" customFormat="1">
      <c r="A77" s="201" t="s">
        <v>888</v>
      </c>
      <c r="B77" s="100">
        <v>2.91</v>
      </c>
      <c r="C77" s="100">
        <v>17.7</v>
      </c>
      <c r="D77" s="100">
        <v>11.58</v>
      </c>
      <c r="E77" s="100">
        <v>4.22</v>
      </c>
      <c r="F77" s="100">
        <v>2</v>
      </c>
      <c r="G77" s="100">
        <v>52.45</v>
      </c>
      <c r="H77" s="100">
        <v>20.079999999999998</v>
      </c>
      <c r="I77" s="100">
        <v>4.41</v>
      </c>
      <c r="J77" s="100">
        <v>0.04</v>
      </c>
      <c r="K77" s="100">
        <v>103.82</v>
      </c>
      <c r="L77" s="100">
        <v>14.62</v>
      </c>
      <c r="M77" s="100">
        <v>18.54</v>
      </c>
      <c r="N77" s="100">
        <v>6.1</v>
      </c>
      <c r="O77" s="100">
        <v>0</v>
      </c>
      <c r="P77" s="100">
        <v>0.46</v>
      </c>
      <c r="Q77" s="100">
        <v>9.32</v>
      </c>
      <c r="R77" s="6"/>
      <c r="S77" s="6"/>
      <c r="T77" s="156"/>
      <c r="U77" s="6"/>
    </row>
    <row r="78" spans="1:21" customFormat="1">
      <c r="A78" s="201" t="s">
        <v>889</v>
      </c>
      <c r="B78" s="100">
        <v>3.13</v>
      </c>
      <c r="C78" s="100">
        <v>15.92</v>
      </c>
      <c r="D78" s="100">
        <v>10.83</v>
      </c>
      <c r="E78" s="100">
        <v>3.83</v>
      </c>
      <c r="F78" s="100">
        <v>2</v>
      </c>
      <c r="G78" s="100">
        <v>52.81</v>
      </c>
      <c r="H78" s="100">
        <v>19.940000000000001</v>
      </c>
      <c r="I78" s="100">
        <v>4.29</v>
      </c>
      <c r="J78" s="100">
        <v>0.18</v>
      </c>
      <c r="K78" s="100">
        <v>121.34</v>
      </c>
      <c r="L78" s="100">
        <v>12.39</v>
      </c>
      <c r="M78" s="100">
        <v>13.16</v>
      </c>
      <c r="N78" s="100">
        <v>3.8</v>
      </c>
      <c r="O78" s="100">
        <v>0</v>
      </c>
      <c r="P78" s="100">
        <v>0.46</v>
      </c>
      <c r="Q78" s="100">
        <v>9.32</v>
      </c>
      <c r="R78" s="6"/>
      <c r="S78" s="6"/>
      <c r="T78" s="156"/>
      <c r="U78" s="6"/>
    </row>
    <row r="79" spans="1:21" customFormat="1">
      <c r="A79" s="201" t="s">
        <v>890</v>
      </c>
      <c r="B79" s="100">
        <v>4.1399999999999997</v>
      </c>
      <c r="C79" s="100">
        <v>15.39</v>
      </c>
      <c r="D79" s="100">
        <v>11.36</v>
      </c>
      <c r="E79" s="100">
        <v>3.96</v>
      </c>
      <c r="F79" s="100">
        <v>2</v>
      </c>
      <c r="G79" s="100">
        <v>53.27</v>
      </c>
      <c r="H79" s="100">
        <v>19.84</v>
      </c>
      <c r="I79" s="100">
        <v>4.01</v>
      </c>
      <c r="J79" s="100">
        <v>0.32</v>
      </c>
      <c r="K79" s="100">
        <v>37.520000000000003</v>
      </c>
      <c r="L79" s="100">
        <v>8.74</v>
      </c>
      <c r="M79" s="100">
        <v>3.71</v>
      </c>
      <c r="N79" s="100">
        <v>2.1</v>
      </c>
      <c r="O79" s="100">
        <v>0</v>
      </c>
      <c r="P79" s="100">
        <v>0.46</v>
      </c>
      <c r="Q79" s="100">
        <v>9.32</v>
      </c>
      <c r="R79" s="6"/>
      <c r="S79" s="6"/>
      <c r="T79" s="156"/>
      <c r="U79" s="6"/>
    </row>
    <row r="80" spans="1:21" customFormat="1">
      <c r="A80" s="201" t="s">
        <v>891</v>
      </c>
      <c r="B80" s="100">
        <v>4.3899999999999997</v>
      </c>
      <c r="C80" s="100">
        <v>14.25</v>
      </c>
      <c r="D80" s="100">
        <v>10.97</v>
      </c>
      <c r="E80" s="100">
        <v>4.24</v>
      </c>
      <c r="F80" s="100">
        <v>2</v>
      </c>
      <c r="G80" s="100">
        <v>53.27</v>
      </c>
      <c r="H80" s="100">
        <v>19.84</v>
      </c>
      <c r="I80" s="100">
        <v>4.3499999999999996</v>
      </c>
      <c r="J80" s="100">
        <v>0.16</v>
      </c>
      <c r="K80" s="100">
        <v>138.74</v>
      </c>
      <c r="L80" s="100">
        <v>14.22</v>
      </c>
      <c r="M80" s="100">
        <v>17.809999999999999</v>
      </c>
      <c r="N80" s="100">
        <v>2.7</v>
      </c>
      <c r="O80" s="100">
        <v>0</v>
      </c>
      <c r="P80" s="100">
        <v>0.47</v>
      </c>
      <c r="Q80" s="100">
        <v>9.32</v>
      </c>
      <c r="R80" s="6"/>
      <c r="S80" s="6"/>
      <c r="T80" s="156"/>
      <c r="U80" s="6"/>
    </row>
    <row r="81" spans="1:21" customFormat="1">
      <c r="A81" s="201" t="s">
        <v>892</v>
      </c>
      <c r="B81" s="100">
        <v>3.88</v>
      </c>
      <c r="C81" s="100">
        <v>11.92</v>
      </c>
      <c r="D81" s="100">
        <v>9.33</v>
      </c>
      <c r="E81" s="100">
        <v>4.0199999999999996</v>
      </c>
      <c r="F81" s="100">
        <v>2</v>
      </c>
      <c r="G81" s="100">
        <v>53.27</v>
      </c>
      <c r="H81" s="100">
        <v>19.84</v>
      </c>
      <c r="I81" s="100">
        <v>5.24</v>
      </c>
      <c r="J81" s="100">
        <v>0.18</v>
      </c>
      <c r="K81" s="100">
        <v>180.75</v>
      </c>
      <c r="L81" s="100">
        <v>17.29</v>
      </c>
      <c r="M81" s="100">
        <v>25.56</v>
      </c>
      <c r="N81" s="100">
        <v>2.9</v>
      </c>
      <c r="O81" s="100">
        <v>0</v>
      </c>
      <c r="P81" s="100">
        <v>0.47</v>
      </c>
      <c r="Q81" s="100">
        <v>9.32</v>
      </c>
      <c r="R81" s="6"/>
      <c r="S81" s="6"/>
      <c r="T81" s="156"/>
      <c r="U81" s="6"/>
    </row>
    <row r="82" spans="1:21" customFormat="1">
      <c r="A82" s="201" t="s">
        <v>893</v>
      </c>
      <c r="B82" s="100">
        <v>3.98</v>
      </c>
      <c r="C82" s="100">
        <v>11.07</v>
      </c>
      <c r="D82" s="100">
        <v>8.98</v>
      </c>
      <c r="E82" s="100">
        <v>4.7</v>
      </c>
      <c r="F82" s="100">
        <v>2</v>
      </c>
      <c r="G82" s="100">
        <v>55.42</v>
      </c>
      <c r="H82" s="100">
        <v>19.07</v>
      </c>
      <c r="I82" s="100">
        <v>5.87</v>
      </c>
      <c r="J82" s="100">
        <v>0.21</v>
      </c>
      <c r="K82" s="100">
        <v>194.3</v>
      </c>
      <c r="L82" s="100">
        <v>18.079999999999998</v>
      </c>
      <c r="M82" s="100">
        <v>27.55</v>
      </c>
      <c r="N82" s="100">
        <v>2.7</v>
      </c>
      <c r="O82" s="100">
        <v>0</v>
      </c>
      <c r="P82" s="100">
        <v>0.47</v>
      </c>
      <c r="Q82" s="100">
        <v>9.32</v>
      </c>
      <c r="R82" s="6"/>
      <c r="S82" s="6"/>
      <c r="T82" s="156"/>
      <c r="U82" s="6"/>
    </row>
    <row r="83" spans="1:21" customFormat="1">
      <c r="A83" s="201" t="s">
        <v>894</v>
      </c>
      <c r="B83" s="100">
        <v>4.2</v>
      </c>
      <c r="C83" s="100">
        <v>10.4</v>
      </c>
      <c r="D83" s="100">
        <v>8.8000000000000007</v>
      </c>
      <c r="E83" s="100">
        <v>4.68</v>
      </c>
      <c r="F83" s="100">
        <v>2</v>
      </c>
      <c r="G83" s="100">
        <v>58.12</v>
      </c>
      <c r="H83" s="100">
        <v>18.54</v>
      </c>
      <c r="I83" s="100">
        <v>5.87</v>
      </c>
      <c r="J83" s="100">
        <v>0.18</v>
      </c>
      <c r="K83" s="100">
        <v>173.68</v>
      </c>
      <c r="L83" s="100">
        <v>17.04</v>
      </c>
      <c r="M83" s="100">
        <v>24.97</v>
      </c>
      <c r="N83" s="100">
        <v>2.5</v>
      </c>
      <c r="O83" s="100">
        <v>0</v>
      </c>
      <c r="P83" s="100">
        <v>0.47</v>
      </c>
      <c r="Q83" s="100">
        <v>9.32</v>
      </c>
      <c r="R83" s="6"/>
      <c r="S83" s="6"/>
      <c r="T83" s="156"/>
      <c r="U83" s="6"/>
    </row>
    <row r="84" spans="1:21" customFormat="1">
      <c r="A84" s="201" t="s">
        <v>895</v>
      </c>
      <c r="B84" s="100">
        <v>4.4800000000000004</v>
      </c>
      <c r="C84" s="100">
        <v>10.050000000000001</v>
      </c>
      <c r="D84" s="100">
        <v>8.85</v>
      </c>
      <c r="E84" s="100">
        <v>4.43</v>
      </c>
      <c r="F84" s="100">
        <v>2</v>
      </c>
      <c r="G84" s="100">
        <v>58.12</v>
      </c>
      <c r="H84" s="100">
        <v>18.54</v>
      </c>
      <c r="I84" s="100">
        <v>5.97</v>
      </c>
      <c r="J84" s="100">
        <v>0.2</v>
      </c>
      <c r="K84" s="100">
        <v>162.15</v>
      </c>
      <c r="L84" s="100">
        <v>15.36</v>
      </c>
      <c r="M84" s="100">
        <v>20.69</v>
      </c>
      <c r="N84" s="100">
        <v>2.1</v>
      </c>
      <c r="O84" s="100">
        <v>0</v>
      </c>
      <c r="P84" s="100">
        <v>0.48</v>
      </c>
      <c r="Q84" s="100">
        <v>9.32</v>
      </c>
      <c r="R84" s="6"/>
      <c r="S84" s="6"/>
      <c r="T84" s="156"/>
      <c r="U84" s="6"/>
    </row>
    <row r="85" spans="1:21" customFormat="1">
      <c r="A85" s="201" t="s">
        <v>896</v>
      </c>
      <c r="B85" s="100">
        <v>4.71</v>
      </c>
      <c r="C85" s="100">
        <v>9.69</v>
      </c>
      <c r="D85" s="100">
        <v>8.84</v>
      </c>
      <c r="E85" s="100">
        <v>4.21</v>
      </c>
      <c r="F85" s="100">
        <v>2</v>
      </c>
      <c r="G85" s="100">
        <v>58.12</v>
      </c>
      <c r="H85" s="100">
        <v>18.54</v>
      </c>
      <c r="I85" s="100">
        <v>6.09</v>
      </c>
      <c r="J85" s="100">
        <v>0.18</v>
      </c>
      <c r="K85" s="100">
        <v>153.84</v>
      </c>
      <c r="L85" s="100">
        <v>15.63</v>
      </c>
      <c r="M85" s="100">
        <v>21.37</v>
      </c>
      <c r="N85" s="100">
        <v>2.1</v>
      </c>
      <c r="O85" s="100">
        <v>0</v>
      </c>
      <c r="P85" s="100">
        <v>0.48</v>
      </c>
      <c r="Q85" s="100">
        <v>9.32</v>
      </c>
      <c r="R85" s="6"/>
      <c r="S85" s="6"/>
      <c r="T85" s="156"/>
      <c r="U85" s="6"/>
    </row>
    <row r="86" spans="1:21" customFormat="1">
      <c r="A86" s="201" t="s">
        <v>897</v>
      </c>
      <c r="B86" s="100">
        <v>5.2</v>
      </c>
      <c r="C86" s="100">
        <v>9.6300000000000008</v>
      </c>
      <c r="D86" s="100">
        <v>9.1999999999999993</v>
      </c>
      <c r="E86" s="100">
        <v>4.67</v>
      </c>
      <c r="F86" s="100">
        <v>2</v>
      </c>
      <c r="G86" s="100">
        <v>60.15</v>
      </c>
      <c r="H86" s="100">
        <v>21.83</v>
      </c>
      <c r="I86" s="100">
        <v>6.22</v>
      </c>
      <c r="J86" s="100">
        <v>0.2</v>
      </c>
      <c r="K86" s="100">
        <v>164.01</v>
      </c>
      <c r="L86" s="100">
        <v>15.56</v>
      </c>
      <c r="M86" s="100">
        <v>21.33</v>
      </c>
      <c r="N86" s="100">
        <v>2.1</v>
      </c>
      <c r="O86" s="100">
        <v>0</v>
      </c>
      <c r="P86" s="100">
        <v>0.49</v>
      </c>
      <c r="Q86" s="100">
        <v>9.32</v>
      </c>
      <c r="R86" s="6"/>
      <c r="S86" s="6"/>
      <c r="T86" s="156"/>
      <c r="U86" s="6"/>
    </row>
    <row r="87" spans="1:21" customFormat="1">
      <c r="A87" s="201" t="s">
        <v>898</v>
      </c>
      <c r="B87" s="100">
        <v>5.71</v>
      </c>
      <c r="C87" s="100">
        <v>9.42</v>
      </c>
      <c r="D87" s="100">
        <v>9.5</v>
      </c>
      <c r="E87" s="100">
        <v>4.75</v>
      </c>
      <c r="F87" s="100">
        <v>2</v>
      </c>
      <c r="G87" s="100">
        <v>62.69</v>
      </c>
      <c r="H87" s="100">
        <v>27.07</v>
      </c>
      <c r="I87" s="100">
        <v>6.35</v>
      </c>
      <c r="J87" s="100">
        <v>0.19</v>
      </c>
      <c r="K87" s="100">
        <v>227.35</v>
      </c>
      <c r="L87" s="100">
        <v>20.86</v>
      </c>
      <c r="M87" s="100">
        <v>34.42</v>
      </c>
      <c r="N87" s="100">
        <v>2.2000000000000002</v>
      </c>
      <c r="O87" s="100">
        <v>0</v>
      </c>
      <c r="P87" s="100">
        <v>0.5</v>
      </c>
      <c r="Q87" s="100">
        <v>9.32</v>
      </c>
      <c r="R87" s="6"/>
      <c r="S87" s="6"/>
      <c r="T87" s="156"/>
      <c r="U87" s="6"/>
    </row>
    <row r="88" spans="1:21" customFormat="1">
      <c r="A88" s="201" t="s">
        <v>899</v>
      </c>
      <c r="B88" s="100">
        <v>6.96</v>
      </c>
      <c r="C88" s="100">
        <v>9.4499999999999993</v>
      </c>
      <c r="D88" s="100">
        <v>10.52</v>
      </c>
      <c r="E88" s="100">
        <v>4.75</v>
      </c>
      <c r="F88" s="100">
        <v>2</v>
      </c>
      <c r="G88" s="100">
        <v>62.69</v>
      </c>
      <c r="H88" s="100">
        <v>27.07</v>
      </c>
      <c r="I88" s="100">
        <v>6.5</v>
      </c>
      <c r="J88" s="100">
        <v>0.17</v>
      </c>
      <c r="K88" s="100">
        <v>148.33000000000001</v>
      </c>
      <c r="L88" s="100">
        <v>15.53</v>
      </c>
      <c r="M88" s="100">
        <v>21.17</v>
      </c>
      <c r="N88" s="100">
        <v>2.1</v>
      </c>
      <c r="O88" s="100">
        <v>0</v>
      </c>
      <c r="P88" s="100">
        <v>0.51</v>
      </c>
      <c r="Q88" s="100">
        <v>9.32</v>
      </c>
      <c r="R88" s="6"/>
      <c r="S88" s="6"/>
      <c r="T88" s="156"/>
      <c r="U88" s="6"/>
    </row>
    <row r="89" spans="1:21" customFormat="1">
      <c r="A89" s="201" t="s">
        <v>900</v>
      </c>
      <c r="B89" s="100">
        <v>8.58</v>
      </c>
      <c r="C89" s="100">
        <v>9.6300000000000008</v>
      </c>
      <c r="D89" s="100">
        <v>11.91</v>
      </c>
      <c r="E89" s="100">
        <v>4.8899999999999997</v>
      </c>
      <c r="F89" s="100">
        <v>2</v>
      </c>
      <c r="G89" s="100">
        <v>62.69</v>
      </c>
      <c r="H89" s="100">
        <v>27.07</v>
      </c>
      <c r="I89" s="100">
        <v>6.68</v>
      </c>
      <c r="J89" s="100">
        <v>0.26</v>
      </c>
      <c r="K89" s="100">
        <v>142.30000000000001</v>
      </c>
      <c r="L89" s="100">
        <v>13.87</v>
      </c>
      <c r="M89" s="100">
        <v>16.98</v>
      </c>
      <c r="N89" s="100">
        <v>2</v>
      </c>
      <c r="O89" s="100">
        <v>0</v>
      </c>
      <c r="P89" s="100">
        <v>0.55000000000000004</v>
      </c>
      <c r="Q89" s="100">
        <v>9.32</v>
      </c>
      <c r="R89" s="6"/>
      <c r="S89" s="6"/>
      <c r="T89" s="156"/>
      <c r="U89" s="6"/>
    </row>
    <row r="90" spans="1:21" customFormat="1">
      <c r="A90" s="201" t="s">
        <v>901</v>
      </c>
      <c r="B90" s="100">
        <v>9.7100000000000009</v>
      </c>
      <c r="C90" s="100">
        <v>9.77</v>
      </c>
      <c r="D90" s="100">
        <v>12.9</v>
      </c>
      <c r="E90" s="100">
        <v>4.8</v>
      </c>
      <c r="F90" s="100">
        <v>2</v>
      </c>
      <c r="G90" s="100">
        <v>69.930000000000007</v>
      </c>
      <c r="H90" s="100">
        <v>24.9</v>
      </c>
      <c r="I90" s="100">
        <v>6.96</v>
      </c>
      <c r="J90" s="100">
        <v>0.08</v>
      </c>
      <c r="K90" s="100">
        <v>146.09</v>
      </c>
      <c r="L90" s="100">
        <v>17.43</v>
      </c>
      <c r="M90" s="100">
        <v>25.89</v>
      </c>
      <c r="N90" s="100">
        <v>2.1</v>
      </c>
      <c r="O90" s="100">
        <v>0</v>
      </c>
      <c r="P90" s="100">
        <v>0.56000000000000005</v>
      </c>
      <c r="Q90" s="100">
        <v>9.32</v>
      </c>
      <c r="R90" s="6"/>
      <c r="S90" s="6"/>
      <c r="T90" s="156"/>
      <c r="U90" s="6"/>
    </row>
    <row r="91" spans="1:21" customFormat="1">
      <c r="A91" s="201" t="s">
        <v>902</v>
      </c>
      <c r="B91" s="100">
        <v>10.38</v>
      </c>
      <c r="C91" s="100">
        <v>9.92</v>
      </c>
      <c r="D91" s="100">
        <v>13.5</v>
      </c>
      <c r="E91" s="100">
        <v>5.35</v>
      </c>
      <c r="F91" s="100">
        <v>2</v>
      </c>
      <c r="G91" s="100">
        <v>78.989999999999995</v>
      </c>
      <c r="H91" s="100">
        <v>23.44</v>
      </c>
      <c r="I91" s="100">
        <v>7.28</v>
      </c>
      <c r="J91" s="100">
        <v>0.05</v>
      </c>
      <c r="K91" s="100">
        <v>22.57</v>
      </c>
      <c r="L91" s="100">
        <v>14.59</v>
      </c>
      <c r="M91" s="100">
        <v>18.57</v>
      </c>
      <c r="N91" s="100">
        <v>1.9</v>
      </c>
      <c r="O91" s="100">
        <v>0</v>
      </c>
      <c r="P91" s="100">
        <v>0.57999999999999996</v>
      </c>
      <c r="Q91" s="100">
        <v>9.32</v>
      </c>
      <c r="R91" s="6"/>
      <c r="S91" s="6"/>
      <c r="T91" s="156"/>
      <c r="U91" s="6"/>
    </row>
    <row r="92" spans="1:21" customFormat="1">
      <c r="A92" s="201" t="s">
        <v>903</v>
      </c>
      <c r="B92" s="100">
        <v>10.99</v>
      </c>
      <c r="C92" s="100">
        <v>9.9</v>
      </c>
      <c r="D92" s="100">
        <v>13.98</v>
      </c>
      <c r="E92" s="100">
        <v>5.61</v>
      </c>
      <c r="F92" s="100">
        <v>2</v>
      </c>
      <c r="G92" s="100">
        <v>78.989999999999995</v>
      </c>
      <c r="H92" s="100">
        <v>23.44</v>
      </c>
      <c r="I92" s="100">
        <v>7.62</v>
      </c>
      <c r="J92" s="100">
        <v>0.13</v>
      </c>
      <c r="K92" s="100">
        <v>173.55</v>
      </c>
      <c r="L92" s="100">
        <v>17.16</v>
      </c>
      <c r="M92" s="100">
        <v>25.2</v>
      </c>
      <c r="N92" s="100">
        <v>2.2000000000000002</v>
      </c>
      <c r="O92" s="100">
        <v>0</v>
      </c>
      <c r="P92" s="100">
        <v>0.6</v>
      </c>
      <c r="Q92" s="100">
        <v>9.32</v>
      </c>
      <c r="R92" s="6"/>
      <c r="S92" s="6"/>
      <c r="T92" s="156"/>
      <c r="U92" s="6"/>
    </row>
    <row r="93" spans="1:21" customFormat="1">
      <c r="A93" s="201" t="s">
        <v>904</v>
      </c>
      <c r="B93" s="100">
        <v>11.4</v>
      </c>
      <c r="C93" s="100">
        <v>10.01</v>
      </c>
      <c r="D93" s="100">
        <v>14.37</v>
      </c>
      <c r="E93" s="100">
        <v>5.53</v>
      </c>
      <c r="F93" s="100">
        <v>2</v>
      </c>
      <c r="G93" s="100">
        <v>78.989999999999995</v>
      </c>
      <c r="H93" s="100">
        <v>23.44</v>
      </c>
      <c r="I93" s="100">
        <v>7.89</v>
      </c>
      <c r="J93" s="100">
        <v>0.19</v>
      </c>
      <c r="K93" s="100">
        <v>168.55</v>
      </c>
      <c r="L93" s="100">
        <v>16.13</v>
      </c>
      <c r="M93" s="100">
        <v>22.69</v>
      </c>
      <c r="N93" s="100">
        <v>2.2000000000000002</v>
      </c>
      <c r="O93" s="100">
        <v>0</v>
      </c>
      <c r="P93" s="100">
        <v>0.61</v>
      </c>
      <c r="Q93" s="100">
        <v>15.17</v>
      </c>
      <c r="R93" s="6"/>
      <c r="S93" s="6"/>
      <c r="T93" s="156"/>
      <c r="U93" s="6"/>
    </row>
    <row r="94" spans="1:21" customFormat="1">
      <c r="A94" s="201" t="s">
        <v>905</v>
      </c>
      <c r="B94" s="100">
        <v>11.85</v>
      </c>
      <c r="C94" s="100">
        <v>9.89</v>
      </c>
      <c r="D94" s="100">
        <v>14.67</v>
      </c>
      <c r="E94" s="100">
        <v>5.5</v>
      </c>
      <c r="F94" s="100">
        <v>2</v>
      </c>
      <c r="G94" s="100">
        <v>85.18</v>
      </c>
      <c r="H94" s="100">
        <v>29.91</v>
      </c>
      <c r="I94" s="100">
        <v>8.1300000000000008</v>
      </c>
      <c r="J94" s="100">
        <v>0.14000000000000001</v>
      </c>
      <c r="K94" s="100">
        <v>191.77</v>
      </c>
      <c r="L94" s="100">
        <v>17.98</v>
      </c>
      <c r="M94" s="100">
        <v>27.32</v>
      </c>
      <c r="N94" s="100">
        <v>2.2000000000000002</v>
      </c>
      <c r="O94" s="100">
        <v>0</v>
      </c>
      <c r="P94" s="100">
        <v>0.62</v>
      </c>
      <c r="Q94" s="100">
        <v>11.84</v>
      </c>
      <c r="R94" s="6"/>
      <c r="S94" s="6"/>
      <c r="T94" s="156"/>
      <c r="U94" s="6"/>
    </row>
    <row r="95" spans="1:21" customFormat="1">
      <c r="A95" s="201" t="s">
        <v>906</v>
      </c>
      <c r="B95" s="100">
        <v>12.12</v>
      </c>
      <c r="C95" s="100">
        <v>9.73</v>
      </c>
      <c r="D95" s="100">
        <v>14.8</v>
      </c>
      <c r="E95" s="100">
        <v>5.54</v>
      </c>
      <c r="F95" s="100">
        <v>2</v>
      </c>
      <c r="G95" s="100">
        <v>92.92</v>
      </c>
      <c r="H95" s="100">
        <v>34.28</v>
      </c>
      <c r="I95" s="100">
        <v>8.35</v>
      </c>
      <c r="J95" s="100">
        <v>0.16</v>
      </c>
      <c r="K95" s="100">
        <v>185.49</v>
      </c>
      <c r="L95" s="100">
        <v>17.649999999999999</v>
      </c>
      <c r="M95" s="100">
        <v>26.46</v>
      </c>
      <c r="N95" s="100">
        <v>2.2000000000000002</v>
      </c>
      <c r="O95" s="100">
        <v>0</v>
      </c>
      <c r="P95" s="100">
        <v>0.63</v>
      </c>
      <c r="Q95" s="100">
        <v>9.73</v>
      </c>
      <c r="R95" s="6"/>
      <c r="S95" s="6"/>
      <c r="T95" s="156"/>
      <c r="U95" s="6"/>
    </row>
    <row r="96" spans="1:21" customFormat="1">
      <c r="A96" s="201" t="s">
        <v>907</v>
      </c>
      <c r="B96" s="100">
        <v>12.02</v>
      </c>
      <c r="C96" s="100">
        <v>9.6199999999999992</v>
      </c>
      <c r="D96" s="100">
        <v>14.67</v>
      </c>
      <c r="E96" s="100">
        <v>5.37</v>
      </c>
      <c r="F96" s="100">
        <v>2</v>
      </c>
      <c r="G96" s="100">
        <v>92.92</v>
      </c>
      <c r="H96" s="100">
        <v>34.28</v>
      </c>
      <c r="I96" s="100">
        <v>8.51</v>
      </c>
      <c r="J96" s="100">
        <v>0.27</v>
      </c>
      <c r="K96" s="100">
        <v>174.5</v>
      </c>
      <c r="L96" s="100">
        <v>16.93</v>
      </c>
      <c r="M96" s="100">
        <v>24.67</v>
      </c>
      <c r="N96" s="100">
        <v>2</v>
      </c>
      <c r="O96" s="100">
        <v>0</v>
      </c>
      <c r="P96" s="100">
        <v>0.64</v>
      </c>
      <c r="Q96" s="100">
        <v>9.32</v>
      </c>
      <c r="R96" s="6"/>
      <c r="S96" s="6"/>
      <c r="T96" s="156"/>
      <c r="U96" s="6"/>
    </row>
    <row r="97" spans="1:28" customFormat="1">
      <c r="A97" s="201" t="s">
        <v>908</v>
      </c>
      <c r="B97" s="100">
        <v>11.82</v>
      </c>
      <c r="C97" s="100">
        <v>9.58</v>
      </c>
      <c r="D97" s="100">
        <v>14.49</v>
      </c>
      <c r="E97" s="100">
        <v>5.72</v>
      </c>
      <c r="F97" s="100">
        <v>2</v>
      </c>
      <c r="G97" s="100">
        <v>92.92</v>
      </c>
      <c r="H97" s="100">
        <v>34.28</v>
      </c>
      <c r="I97" s="100">
        <v>8.6300000000000008</v>
      </c>
      <c r="J97" s="100">
        <v>0.16</v>
      </c>
      <c r="K97" s="100">
        <v>201.88</v>
      </c>
      <c r="L97" s="100">
        <v>19.18</v>
      </c>
      <c r="M97" s="100">
        <v>30.27</v>
      </c>
      <c r="N97" s="100">
        <v>2.1</v>
      </c>
      <c r="O97" s="100">
        <v>0</v>
      </c>
      <c r="P97" s="100">
        <v>0.65</v>
      </c>
      <c r="Q97" s="100">
        <v>9.32</v>
      </c>
      <c r="R97" s="6"/>
      <c r="S97" s="6"/>
      <c r="T97" s="156"/>
      <c r="U97" s="6"/>
    </row>
    <row r="98" spans="1:28" customFormat="1">
      <c r="A98" s="201" t="s">
        <v>909</v>
      </c>
      <c r="B98" s="100">
        <v>11.75</v>
      </c>
      <c r="C98" s="100">
        <v>9.4700000000000006</v>
      </c>
      <c r="D98" s="100">
        <v>14.37</v>
      </c>
      <c r="E98" s="100">
        <v>5.62</v>
      </c>
      <c r="F98" s="100">
        <v>2</v>
      </c>
      <c r="G98" s="100">
        <v>90.67</v>
      </c>
      <c r="H98" s="100">
        <v>32.89</v>
      </c>
      <c r="I98" s="100">
        <v>8.76</v>
      </c>
      <c r="J98" s="100">
        <v>0.15</v>
      </c>
      <c r="K98" s="100">
        <v>193.53</v>
      </c>
      <c r="L98" s="100">
        <v>17.93</v>
      </c>
      <c r="M98" s="100">
        <v>27.13</v>
      </c>
      <c r="N98" s="100">
        <v>2.1</v>
      </c>
      <c r="O98" s="100">
        <v>0</v>
      </c>
      <c r="P98" s="100">
        <v>0.66</v>
      </c>
      <c r="Q98" s="100">
        <v>9.32</v>
      </c>
      <c r="R98" s="6"/>
      <c r="S98" s="6"/>
      <c r="T98" s="156"/>
      <c r="U98" s="6"/>
    </row>
    <row r="99" spans="1:28" customFormat="1">
      <c r="A99" s="201" t="s">
        <v>910</v>
      </c>
      <c r="B99" s="100">
        <v>11.64</v>
      </c>
      <c r="C99" s="100">
        <v>9.32</v>
      </c>
      <c r="D99" s="100">
        <v>14.21</v>
      </c>
      <c r="E99" s="100">
        <v>5.58</v>
      </c>
      <c r="F99" s="100">
        <v>2</v>
      </c>
      <c r="G99" s="100">
        <v>87.86</v>
      </c>
      <c r="H99" s="100">
        <v>31.93</v>
      </c>
      <c r="I99" s="100">
        <v>8.89</v>
      </c>
      <c r="J99" s="100">
        <v>0.12</v>
      </c>
      <c r="K99" s="100">
        <v>187.72</v>
      </c>
      <c r="L99" s="100">
        <v>16.82</v>
      </c>
      <c r="M99" s="100">
        <v>24.29</v>
      </c>
      <c r="N99" s="100">
        <v>2</v>
      </c>
      <c r="O99" s="100">
        <v>0</v>
      </c>
      <c r="P99" s="100">
        <v>0.66</v>
      </c>
      <c r="Q99" s="100">
        <v>9.32</v>
      </c>
      <c r="R99" s="6"/>
      <c r="S99" s="6"/>
      <c r="T99" s="156"/>
      <c r="U99" s="6"/>
    </row>
    <row r="100" spans="1:28" customFormat="1">
      <c r="A100" s="201" t="s">
        <v>911</v>
      </c>
      <c r="B100" s="100">
        <v>11.54</v>
      </c>
      <c r="C100" s="100">
        <v>9.26</v>
      </c>
      <c r="D100" s="100">
        <v>14.09</v>
      </c>
      <c r="E100" s="100">
        <v>5.68</v>
      </c>
      <c r="F100" s="100">
        <v>2</v>
      </c>
      <c r="G100" s="100">
        <v>87.86</v>
      </c>
      <c r="H100" s="100">
        <v>31.93</v>
      </c>
      <c r="I100" s="100">
        <v>9</v>
      </c>
      <c r="J100" s="100">
        <v>0.17</v>
      </c>
      <c r="K100" s="100">
        <v>162.38999999999999</v>
      </c>
      <c r="L100" s="100">
        <v>16.309999999999999</v>
      </c>
      <c r="M100" s="100">
        <v>23.03</v>
      </c>
      <c r="N100" s="100">
        <v>1.9</v>
      </c>
      <c r="O100" s="100">
        <v>0</v>
      </c>
      <c r="P100" s="100">
        <v>0.66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912</v>
      </c>
      <c r="B101" s="100">
        <v>11.92</v>
      </c>
      <c r="C101" s="100">
        <v>9.2899999999999991</v>
      </c>
      <c r="D101" s="100">
        <v>14.42</v>
      </c>
      <c r="E101" s="100">
        <v>6.15</v>
      </c>
      <c r="F101" s="100">
        <v>2</v>
      </c>
      <c r="G101" s="100">
        <v>87.86</v>
      </c>
      <c r="H101" s="100">
        <v>31.93</v>
      </c>
      <c r="I101" s="100">
        <v>9.07</v>
      </c>
      <c r="J101" s="100">
        <v>0.06</v>
      </c>
      <c r="K101" s="100">
        <v>21.97</v>
      </c>
      <c r="L101" s="100">
        <v>15.41</v>
      </c>
      <c r="M101" s="100">
        <v>20.63</v>
      </c>
      <c r="N101" s="100">
        <v>1.9</v>
      </c>
      <c r="O101" s="100">
        <v>0</v>
      </c>
      <c r="P101" s="100">
        <v>0.67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913</v>
      </c>
      <c r="B102" s="100">
        <v>12.83</v>
      </c>
      <c r="C102" s="100">
        <v>9.61</v>
      </c>
      <c r="D102" s="100">
        <v>15.31</v>
      </c>
      <c r="E102" s="100">
        <v>6</v>
      </c>
      <c r="F102" s="100">
        <v>2</v>
      </c>
      <c r="G102" s="100">
        <v>87.44</v>
      </c>
      <c r="H102" s="100">
        <v>33.35</v>
      </c>
      <c r="I102" s="100">
        <v>9.18</v>
      </c>
      <c r="J102" s="100">
        <v>0.2</v>
      </c>
      <c r="K102" s="100">
        <v>52.92</v>
      </c>
      <c r="L102" s="100">
        <v>8.26</v>
      </c>
      <c r="M102" s="100">
        <v>2.59</v>
      </c>
      <c r="N102" s="100">
        <v>1.7</v>
      </c>
      <c r="O102" s="100">
        <v>0</v>
      </c>
      <c r="P102" s="100">
        <v>0.68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914</v>
      </c>
      <c r="B103" s="100">
        <v>13.54</v>
      </c>
      <c r="C103" s="100">
        <v>9.6999999999999993</v>
      </c>
      <c r="D103" s="100">
        <v>15.92</v>
      </c>
      <c r="E103" s="100">
        <v>6.41</v>
      </c>
      <c r="F103" s="100">
        <v>2</v>
      </c>
      <c r="G103" s="100">
        <v>86.91</v>
      </c>
      <c r="H103" s="100">
        <v>34.299999999999997</v>
      </c>
      <c r="I103" s="100">
        <v>9.2899999999999991</v>
      </c>
      <c r="J103" s="100">
        <v>0.14000000000000001</v>
      </c>
      <c r="K103" s="100">
        <v>163.79</v>
      </c>
      <c r="L103" s="100">
        <v>16.71</v>
      </c>
      <c r="M103" s="100">
        <v>23.97</v>
      </c>
      <c r="N103" s="100">
        <v>2</v>
      </c>
      <c r="O103" s="100">
        <v>0</v>
      </c>
      <c r="P103" s="100">
        <v>0.68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915</v>
      </c>
      <c r="B104" s="100">
        <v>13.83</v>
      </c>
      <c r="C104" s="100">
        <v>9.7799999999999994</v>
      </c>
      <c r="D104" s="100">
        <v>16.21</v>
      </c>
      <c r="E104" s="100">
        <v>6.12</v>
      </c>
      <c r="F104" s="100">
        <v>2</v>
      </c>
      <c r="G104" s="100">
        <v>86.91</v>
      </c>
      <c r="H104" s="100">
        <v>34.299999999999997</v>
      </c>
      <c r="I104" s="100">
        <v>9.4</v>
      </c>
      <c r="J104" s="100">
        <v>0.19</v>
      </c>
      <c r="K104" s="100">
        <v>166.63</v>
      </c>
      <c r="L104" s="100">
        <v>16.149999999999999</v>
      </c>
      <c r="M104" s="100">
        <v>22.66</v>
      </c>
      <c r="N104" s="100">
        <v>2.1</v>
      </c>
      <c r="O104" s="100">
        <v>0</v>
      </c>
      <c r="P104" s="100">
        <v>0.68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2.13</v>
      </c>
      <c r="C106" s="158">
        <f>MIN(C9:C104)</f>
        <v>7.87</v>
      </c>
      <c r="D106" s="158">
        <f t="shared" ref="D106:Q106" si="0">MIN(D9:D104)</f>
        <v>7.87</v>
      </c>
      <c r="E106" s="158">
        <f t="shared" si="0"/>
        <v>3.83</v>
      </c>
      <c r="F106" s="158">
        <f t="shared" si="0"/>
        <v>1.22</v>
      </c>
      <c r="G106" s="158">
        <f t="shared" si="0"/>
        <v>51.83</v>
      </c>
      <c r="H106" s="158">
        <f t="shared" si="0"/>
        <v>18.54</v>
      </c>
      <c r="I106" s="158">
        <f t="shared" si="0"/>
        <v>3.2</v>
      </c>
      <c r="J106" s="158">
        <f t="shared" si="0"/>
        <v>-0.04</v>
      </c>
      <c r="K106" s="158">
        <f t="shared" si="0"/>
        <v>0.45</v>
      </c>
      <c r="L106" s="158">
        <f t="shared" si="0"/>
        <v>6.34</v>
      </c>
      <c r="M106" s="158">
        <f t="shared" si="0"/>
        <v>-2.2799999999999998</v>
      </c>
      <c r="N106" s="158">
        <f t="shared" si="0"/>
        <v>1.7</v>
      </c>
      <c r="O106" s="158">
        <f t="shared" si="0"/>
        <v>0</v>
      </c>
      <c r="P106" s="158">
        <f t="shared" si="0"/>
        <v>0.38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16.329999999999998</v>
      </c>
      <c r="C107" s="157">
        <f t="shared" ref="C107:Q107" si="1">MAX(C9:C104)</f>
        <v>27.03</v>
      </c>
      <c r="D107" s="157">
        <f t="shared" si="1"/>
        <v>17.989999999999998</v>
      </c>
      <c r="E107" s="157">
        <f t="shared" si="1"/>
        <v>20.49</v>
      </c>
      <c r="F107" s="157">
        <f t="shared" si="1"/>
        <v>67.12</v>
      </c>
      <c r="G107" s="157">
        <f t="shared" si="1"/>
        <v>118.93</v>
      </c>
      <c r="H107" s="157">
        <f t="shared" si="1"/>
        <v>43.52</v>
      </c>
      <c r="I107" s="157">
        <f t="shared" si="1"/>
        <v>10.66</v>
      </c>
      <c r="J107" s="157">
        <f t="shared" si="1"/>
        <v>0.8</v>
      </c>
      <c r="K107" s="157">
        <f t="shared" si="1"/>
        <v>354.98</v>
      </c>
      <c r="L107" s="157">
        <f t="shared" si="1"/>
        <v>26.09</v>
      </c>
      <c r="M107" s="157">
        <f t="shared" si="1"/>
        <v>40.85</v>
      </c>
      <c r="N107" s="157">
        <f t="shared" si="1"/>
        <v>658.7</v>
      </c>
      <c r="O107" s="157">
        <f t="shared" si="1"/>
        <v>0</v>
      </c>
      <c r="P107" s="157">
        <f t="shared" si="1"/>
        <v>0.82</v>
      </c>
      <c r="Q107" s="157">
        <f t="shared" si="1"/>
        <v>15.17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10.01166666666667</v>
      </c>
      <c r="C108" s="158">
        <f t="shared" ref="C108:Q108" si="2">AVERAGE(C9:C104)</f>
        <v>11.190833333333332</v>
      </c>
      <c r="D108" s="158">
        <f t="shared" si="2"/>
        <v>13.874895833333333</v>
      </c>
      <c r="E108" s="158">
        <f t="shared" si="2"/>
        <v>6.9552083333333314</v>
      </c>
      <c r="F108" s="158">
        <f t="shared" si="2"/>
        <v>4.7762500000000001</v>
      </c>
      <c r="G108" s="158">
        <f t="shared" si="2"/>
        <v>89.573958333333323</v>
      </c>
      <c r="H108" s="158">
        <f t="shared" si="2"/>
        <v>30.08302083333335</v>
      </c>
      <c r="I108" s="158">
        <f t="shared" si="2"/>
        <v>8.1449999999999996</v>
      </c>
      <c r="J108" s="158">
        <f t="shared" si="2"/>
        <v>0.27093750000000005</v>
      </c>
      <c r="K108" s="158">
        <f t="shared" si="2"/>
        <v>104.20635416666664</v>
      </c>
      <c r="L108" s="158">
        <f t="shared" si="2"/>
        <v>14.391562500000004</v>
      </c>
      <c r="M108" s="158">
        <f t="shared" si="2"/>
        <v>15.193333333333337</v>
      </c>
      <c r="N108" s="158">
        <f t="shared" si="2"/>
        <v>124.0708333333334</v>
      </c>
      <c r="O108" s="158">
        <f t="shared" si="2"/>
        <v>0</v>
      </c>
      <c r="P108" s="158">
        <f t="shared" si="2"/>
        <v>0.66104166666666664</v>
      </c>
      <c r="Q108" s="158">
        <f t="shared" si="2"/>
        <v>9.4114583333333499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4.7338291314340886</v>
      </c>
      <c r="C109" s="158">
        <f t="shared" ref="C109:Q109" si="3">STDEV(C9:C104)</f>
        <v>4.3101648928444458</v>
      </c>
      <c r="D109" s="158">
        <f t="shared" si="3"/>
        <v>2.8636072190201971</v>
      </c>
      <c r="E109" s="158">
        <f t="shared" si="3"/>
        <v>2.7006178549075819</v>
      </c>
      <c r="F109" s="158">
        <f t="shared" si="3"/>
        <v>11.218597365183639</v>
      </c>
      <c r="G109" s="158">
        <f t="shared" si="3"/>
        <v>22.951437082820512</v>
      </c>
      <c r="H109" s="158">
        <f t="shared" si="3"/>
        <v>7.3683032567729798</v>
      </c>
      <c r="I109" s="158">
        <f t="shared" si="3"/>
        <v>2.1201459731274253</v>
      </c>
      <c r="J109" s="158">
        <f t="shared" si="3"/>
        <v>0.18291256539381698</v>
      </c>
      <c r="K109" s="158">
        <f t="shared" si="3"/>
        <v>82.439090767475051</v>
      </c>
      <c r="L109" s="158">
        <f t="shared" si="3"/>
        <v>4.228433411068675</v>
      </c>
      <c r="M109" s="158">
        <f t="shared" si="3"/>
        <v>10.375105495130521</v>
      </c>
      <c r="N109" s="158">
        <f t="shared" si="3"/>
        <v>204.55025732550379</v>
      </c>
      <c r="O109" s="158">
        <f t="shared" si="3"/>
        <v>0</v>
      </c>
      <c r="P109" s="158">
        <f t="shared" si="3"/>
        <v>0.1366322699547326</v>
      </c>
      <c r="Q109" s="158">
        <f t="shared" si="3"/>
        <v>0.6483825692755405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E12" sqref="E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916</v>
      </c>
      <c r="B9" s="100">
        <v>14.01</v>
      </c>
      <c r="C9" s="100">
        <v>9.77</v>
      </c>
      <c r="D9" s="100">
        <v>16.34</v>
      </c>
      <c r="E9" s="100">
        <v>6.33</v>
      </c>
      <c r="F9" s="100">
        <v>2</v>
      </c>
      <c r="G9" s="100">
        <v>86.91</v>
      </c>
      <c r="H9" s="100">
        <v>34.299999999999997</v>
      </c>
      <c r="I9" s="100">
        <v>9.52</v>
      </c>
      <c r="J9" s="100">
        <v>0.13</v>
      </c>
      <c r="K9" s="100">
        <v>167.38</v>
      </c>
      <c r="L9" s="100">
        <v>16.170000000000002</v>
      </c>
      <c r="M9" s="100">
        <v>22.74</v>
      </c>
      <c r="N9" s="100">
        <v>2</v>
      </c>
      <c r="O9" s="100">
        <v>0</v>
      </c>
      <c r="P9" s="100">
        <v>0.69</v>
      </c>
      <c r="Q9" s="100">
        <v>9.32</v>
      </c>
      <c r="R9" s="6"/>
      <c r="S9" s="6"/>
      <c r="T9" s="156"/>
      <c r="U9" s="6"/>
    </row>
    <row r="10" spans="1:21" customFormat="1">
      <c r="A10" s="201" t="s">
        <v>917</v>
      </c>
      <c r="B10" s="100">
        <v>14.4</v>
      </c>
      <c r="C10" s="100">
        <v>9.77</v>
      </c>
      <c r="D10" s="100">
        <v>16.649999999999999</v>
      </c>
      <c r="E10" s="100">
        <v>6.13</v>
      </c>
      <c r="F10" s="100">
        <v>2</v>
      </c>
      <c r="G10" s="100">
        <v>87.97</v>
      </c>
      <c r="H10" s="100">
        <v>33.03</v>
      </c>
      <c r="I10" s="100">
        <v>9.6</v>
      </c>
      <c r="J10" s="100">
        <v>0.15</v>
      </c>
      <c r="K10" s="100">
        <v>148.63999999999999</v>
      </c>
      <c r="L10" s="100">
        <v>14.33</v>
      </c>
      <c r="M10" s="100">
        <v>18.12</v>
      </c>
      <c r="N10" s="100">
        <v>1.9</v>
      </c>
      <c r="O10" s="100">
        <v>0</v>
      </c>
      <c r="P10" s="100">
        <v>0.7</v>
      </c>
      <c r="Q10" s="100">
        <v>9.32</v>
      </c>
      <c r="R10" s="6"/>
      <c r="S10" s="6"/>
      <c r="T10" s="156"/>
      <c r="U10" s="6"/>
    </row>
    <row r="11" spans="1:21" customFormat="1">
      <c r="A11" s="201" t="s">
        <v>918</v>
      </c>
      <c r="B11" s="100">
        <v>14.99</v>
      </c>
      <c r="C11" s="100">
        <v>9.84</v>
      </c>
      <c r="D11" s="100">
        <v>17.16</v>
      </c>
      <c r="E11" s="100">
        <v>6.12</v>
      </c>
      <c r="F11" s="100">
        <v>2</v>
      </c>
      <c r="G11" s="100">
        <v>89.29</v>
      </c>
      <c r="H11" s="100">
        <v>32.17</v>
      </c>
      <c r="I11" s="100">
        <v>9.7100000000000009</v>
      </c>
      <c r="J11" s="100">
        <v>0.12</v>
      </c>
      <c r="K11" s="100">
        <v>91.72</v>
      </c>
      <c r="L11" s="100">
        <v>10.69</v>
      </c>
      <c r="M11" s="100">
        <v>8.8699999999999992</v>
      </c>
      <c r="N11" s="100">
        <v>2</v>
      </c>
      <c r="O11" s="100">
        <v>0</v>
      </c>
      <c r="P11" s="100">
        <v>0.72</v>
      </c>
      <c r="Q11" s="100">
        <v>9.32</v>
      </c>
      <c r="R11" s="6"/>
      <c r="S11" s="6"/>
      <c r="T11" s="156"/>
      <c r="U11" s="6"/>
    </row>
    <row r="12" spans="1:21" customFormat="1">
      <c r="A12" s="201" t="s">
        <v>919</v>
      </c>
      <c r="B12" s="100">
        <v>15.73</v>
      </c>
      <c r="C12" s="100">
        <v>9.8699999999999992</v>
      </c>
      <c r="D12" s="100">
        <v>17.77</v>
      </c>
      <c r="E12" s="100">
        <v>6.41</v>
      </c>
      <c r="F12" s="100">
        <v>2</v>
      </c>
      <c r="G12" s="100">
        <v>89.29</v>
      </c>
      <c r="H12" s="100">
        <v>32.17</v>
      </c>
      <c r="I12" s="100">
        <v>9.82</v>
      </c>
      <c r="J12" s="100">
        <v>0.1</v>
      </c>
      <c r="K12" s="100">
        <v>18.989999999999998</v>
      </c>
      <c r="L12" s="100">
        <v>11.35</v>
      </c>
      <c r="M12" s="100">
        <v>10.32</v>
      </c>
      <c r="N12" s="100">
        <v>1.8</v>
      </c>
      <c r="O12" s="100">
        <v>0</v>
      </c>
      <c r="P12" s="100">
        <v>0.74</v>
      </c>
      <c r="Q12" s="100">
        <v>13.89</v>
      </c>
      <c r="R12" s="6"/>
      <c r="S12" s="6"/>
      <c r="T12" s="156"/>
      <c r="U12" s="6"/>
    </row>
    <row r="13" spans="1:21" customFormat="1">
      <c r="A13" s="201" t="s">
        <v>920</v>
      </c>
      <c r="B13" s="100">
        <v>16.38</v>
      </c>
      <c r="C13" s="100">
        <v>9.98</v>
      </c>
      <c r="D13" s="100">
        <v>18.350000000000001</v>
      </c>
      <c r="E13" s="100">
        <v>6.16</v>
      </c>
      <c r="F13" s="100">
        <v>2</v>
      </c>
      <c r="G13" s="100">
        <v>89.29</v>
      </c>
      <c r="H13" s="100">
        <v>32.17</v>
      </c>
      <c r="I13" s="100">
        <v>9.9</v>
      </c>
      <c r="J13" s="100">
        <v>0.21</v>
      </c>
      <c r="K13" s="100">
        <v>42.18</v>
      </c>
      <c r="L13" s="100">
        <v>6.25</v>
      </c>
      <c r="M13" s="100">
        <v>-2.4500000000000002</v>
      </c>
      <c r="N13" s="100">
        <v>2.1</v>
      </c>
      <c r="O13" s="100">
        <v>0</v>
      </c>
      <c r="P13" s="100">
        <v>0.76</v>
      </c>
      <c r="Q13" s="100">
        <v>11.71</v>
      </c>
      <c r="R13" s="6"/>
      <c r="S13" s="6"/>
      <c r="T13" s="156"/>
      <c r="U13" s="6"/>
    </row>
    <row r="14" spans="1:21" customFormat="1">
      <c r="A14" s="201" t="s">
        <v>921</v>
      </c>
      <c r="B14" s="100">
        <v>16.600000000000001</v>
      </c>
      <c r="C14" s="100">
        <v>10</v>
      </c>
      <c r="D14" s="100">
        <v>18.54</v>
      </c>
      <c r="E14" s="100">
        <v>6.35</v>
      </c>
      <c r="F14" s="100">
        <v>2</v>
      </c>
      <c r="G14" s="100">
        <v>99.33</v>
      </c>
      <c r="H14" s="100">
        <v>34.1</v>
      </c>
      <c r="I14" s="100">
        <v>9.9499999999999993</v>
      </c>
      <c r="J14" s="100">
        <v>0.19</v>
      </c>
      <c r="K14" s="100">
        <v>40.06</v>
      </c>
      <c r="L14" s="100">
        <v>7.57</v>
      </c>
      <c r="M14" s="100">
        <v>0.82</v>
      </c>
      <c r="N14" s="100">
        <v>2.1</v>
      </c>
      <c r="O14" s="100">
        <v>0</v>
      </c>
      <c r="P14" s="100">
        <v>0.77</v>
      </c>
      <c r="Q14" s="100">
        <v>9.68</v>
      </c>
      <c r="R14" s="6"/>
      <c r="S14" s="6"/>
      <c r="T14" s="156"/>
      <c r="U14" s="6"/>
    </row>
    <row r="15" spans="1:21" customFormat="1">
      <c r="A15" s="201" t="s">
        <v>922</v>
      </c>
      <c r="B15" s="100">
        <v>16.649999999999999</v>
      </c>
      <c r="C15" s="100">
        <v>9.9700000000000006</v>
      </c>
      <c r="D15" s="100">
        <v>18.559999999999999</v>
      </c>
      <c r="E15" s="100">
        <v>6.09</v>
      </c>
      <c r="F15" s="100">
        <v>2</v>
      </c>
      <c r="G15" s="100">
        <v>111.88</v>
      </c>
      <c r="H15" s="100">
        <v>37.36</v>
      </c>
      <c r="I15" s="100">
        <v>10</v>
      </c>
      <c r="J15" s="100">
        <v>0.33</v>
      </c>
      <c r="K15" s="100">
        <v>35.51</v>
      </c>
      <c r="L15" s="100">
        <v>6.56</v>
      </c>
      <c r="M15" s="100">
        <v>-1.84</v>
      </c>
      <c r="N15" s="100">
        <v>2.1</v>
      </c>
      <c r="O15" s="100">
        <v>0</v>
      </c>
      <c r="P15" s="100">
        <v>0.77</v>
      </c>
      <c r="Q15" s="100">
        <v>9.32</v>
      </c>
      <c r="R15" s="6"/>
      <c r="S15" s="6"/>
      <c r="T15" s="156"/>
      <c r="U15" s="6"/>
    </row>
    <row r="16" spans="1:21" customFormat="1">
      <c r="A16" s="201" t="s">
        <v>923</v>
      </c>
      <c r="B16" s="100">
        <v>16.39</v>
      </c>
      <c r="C16" s="100">
        <v>9.7899999999999991</v>
      </c>
      <c r="D16" s="100">
        <v>18.260000000000002</v>
      </c>
      <c r="E16" s="100">
        <v>6.2</v>
      </c>
      <c r="F16" s="100">
        <v>2</v>
      </c>
      <c r="G16" s="100">
        <v>111.88</v>
      </c>
      <c r="H16" s="100">
        <v>37.36</v>
      </c>
      <c r="I16" s="100">
        <v>10.01</v>
      </c>
      <c r="J16" s="100">
        <v>0.57999999999999996</v>
      </c>
      <c r="K16" s="100">
        <v>43.58</v>
      </c>
      <c r="L16" s="100">
        <v>8.23</v>
      </c>
      <c r="M16" s="100">
        <v>2.4700000000000002</v>
      </c>
      <c r="N16" s="100">
        <v>2.1</v>
      </c>
      <c r="O16" s="100">
        <v>0</v>
      </c>
      <c r="P16" s="100">
        <v>0.78</v>
      </c>
      <c r="Q16" s="100">
        <v>9.32</v>
      </c>
      <c r="R16" s="6"/>
      <c r="S16" s="6"/>
      <c r="T16" s="156"/>
      <c r="U16" s="6"/>
    </row>
    <row r="17" spans="1:21" customFormat="1">
      <c r="A17" s="201" t="s">
        <v>924</v>
      </c>
      <c r="B17" s="100">
        <v>15.92</v>
      </c>
      <c r="C17" s="100">
        <v>9.86</v>
      </c>
      <c r="D17" s="100">
        <v>17.920000000000002</v>
      </c>
      <c r="E17" s="100">
        <v>4.66</v>
      </c>
      <c r="F17" s="100">
        <v>2</v>
      </c>
      <c r="G17" s="100">
        <v>111.88</v>
      </c>
      <c r="H17" s="100">
        <v>37.36</v>
      </c>
      <c r="I17" s="100">
        <v>10</v>
      </c>
      <c r="J17" s="100">
        <v>0.6</v>
      </c>
      <c r="K17" s="100">
        <v>43.77</v>
      </c>
      <c r="L17" s="100">
        <v>6.31</v>
      </c>
      <c r="M17" s="100">
        <v>-1.64</v>
      </c>
      <c r="N17" s="100">
        <v>2.1</v>
      </c>
      <c r="O17" s="100">
        <v>0</v>
      </c>
      <c r="P17" s="100">
        <v>0.78</v>
      </c>
      <c r="Q17" s="100">
        <v>9.4499999999999993</v>
      </c>
      <c r="R17" s="6"/>
      <c r="S17" s="6"/>
      <c r="T17" s="156"/>
      <c r="U17" s="6"/>
    </row>
    <row r="18" spans="1:21" customFormat="1">
      <c r="A18" s="201" t="s">
        <v>925</v>
      </c>
      <c r="B18" s="100">
        <v>15.35</v>
      </c>
      <c r="C18" s="100">
        <v>9.91</v>
      </c>
      <c r="D18" s="100">
        <v>17.489999999999998</v>
      </c>
      <c r="E18" s="100">
        <v>5.68</v>
      </c>
      <c r="F18" s="100">
        <v>2</v>
      </c>
      <c r="G18" s="100">
        <v>111.33</v>
      </c>
      <c r="H18" s="100">
        <v>35.770000000000003</v>
      </c>
      <c r="I18" s="100">
        <v>9.93</v>
      </c>
      <c r="J18" s="100">
        <v>0.33</v>
      </c>
      <c r="K18" s="100">
        <v>37.82</v>
      </c>
      <c r="L18" s="100">
        <v>10</v>
      </c>
      <c r="M18" s="100">
        <v>6.87</v>
      </c>
      <c r="N18" s="100">
        <v>2.1</v>
      </c>
      <c r="O18" s="100">
        <v>0</v>
      </c>
      <c r="P18" s="100">
        <v>0.77</v>
      </c>
      <c r="Q18" s="100">
        <v>9.59</v>
      </c>
      <c r="R18" s="6"/>
      <c r="S18" s="6"/>
      <c r="T18" s="156"/>
      <c r="U18" s="6"/>
    </row>
    <row r="19" spans="1:21" customFormat="1">
      <c r="A19" s="201" t="s">
        <v>926</v>
      </c>
      <c r="B19" s="100">
        <v>14.86</v>
      </c>
      <c r="C19" s="100">
        <v>10.050000000000001</v>
      </c>
      <c r="D19" s="100">
        <v>17.170000000000002</v>
      </c>
      <c r="E19" s="100">
        <v>5.88</v>
      </c>
      <c r="F19" s="100">
        <v>2</v>
      </c>
      <c r="G19" s="100">
        <v>110.65</v>
      </c>
      <c r="H19" s="100">
        <v>34.68</v>
      </c>
      <c r="I19" s="100">
        <v>9.7899999999999991</v>
      </c>
      <c r="J19" s="100">
        <v>0.28999999999999998</v>
      </c>
      <c r="K19" s="100">
        <v>41.15</v>
      </c>
      <c r="L19" s="100">
        <v>6.48</v>
      </c>
      <c r="M19" s="100">
        <v>-1.94</v>
      </c>
      <c r="N19" s="100">
        <v>2.1</v>
      </c>
      <c r="O19" s="100">
        <v>0</v>
      </c>
      <c r="P19" s="100">
        <v>0.76</v>
      </c>
      <c r="Q19" s="100">
        <v>9.5299999999999994</v>
      </c>
      <c r="R19" s="6"/>
      <c r="S19" s="6"/>
      <c r="T19" s="156"/>
      <c r="U19" s="6"/>
    </row>
    <row r="20" spans="1:21" customFormat="1">
      <c r="A20" s="201" t="s">
        <v>927</v>
      </c>
      <c r="B20" s="100">
        <v>14.58</v>
      </c>
      <c r="C20" s="100">
        <v>10.130000000000001</v>
      </c>
      <c r="D20" s="100">
        <v>16.98</v>
      </c>
      <c r="E20" s="100">
        <v>5.96</v>
      </c>
      <c r="F20" s="100">
        <v>2</v>
      </c>
      <c r="G20" s="100">
        <v>110.65</v>
      </c>
      <c r="H20" s="100">
        <v>34.68</v>
      </c>
      <c r="I20" s="100">
        <v>9.6300000000000008</v>
      </c>
      <c r="J20" s="100">
        <v>0.47</v>
      </c>
      <c r="K20" s="100">
        <v>35.67</v>
      </c>
      <c r="L20" s="100">
        <v>8.34</v>
      </c>
      <c r="M20" s="100">
        <v>2</v>
      </c>
      <c r="N20" s="100">
        <v>1.9</v>
      </c>
      <c r="O20" s="100">
        <v>0</v>
      </c>
      <c r="P20" s="100">
        <v>0.76</v>
      </c>
      <c r="Q20" s="100">
        <v>9.65</v>
      </c>
      <c r="R20" s="6"/>
      <c r="S20" s="6"/>
      <c r="T20" s="156"/>
      <c r="U20" s="6"/>
    </row>
    <row r="21" spans="1:21" customFormat="1">
      <c r="A21" s="201" t="s">
        <v>928</v>
      </c>
      <c r="B21" s="100">
        <v>14.33</v>
      </c>
      <c r="C21" s="100">
        <v>10.18</v>
      </c>
      <c r="D21" s="100">
        <v>16.809999999999999</v>
      </c>
      <c r="E21" s="100">
        <v>5.76</v>
      </c>
      <c r="F21" s="100">
        <v>2</v>
      </c>
      <c r="G21" s="100">
        <v>110.65</v>
      </c>
      <c r="H21" s="100">
        <v>34.68</v>
      </c>
      <c r="I21" s="100">
        <v>9.4700000000000006</v>
      </c>
      <c r="J21" s="100">
        <v>0.42</v>
      </c>
      <c r="K21" s="100">
        <v>34.86</v>
      </c>
      <c r="L21" s="100">
        <v>7.53</v>
      </c>
      <c r="M21" s="100">
        <v>1.49</v>
      </c>
      <c r="N21" s="100">
        <v>2.1</v>
      </c>
      <c r="O21" s="100">
        <v>0</v>
      </c>
      <c r="P21" s="100">
        <v>0.75</v>
      </c>
      <c r="Q21" s="100">
        <v>9.36</v>
      </c>
      <c r="R21" s="6"/>
      <c r="S21" s="6"/>
      <c r="T21" s="156"/>
      <c r="U21" s="6"/>
    </row>
    <row r="22" spans="1:21" customFormat="1">
      <c r="A22" s="201" t="s">
        <v>929</v>
      </c>
      <c r="B22" s="100">
        <v>14.03</v>
      </c>
      <c r="C22" s="100">
        <v>10.25</v>
      </c>
      <c r="D22" s="100">
        <v>16.61</v>
      </c>
      <c r="E22" s="100">
        <v>5.88</v>
      </c>
      <c r="F22" s="100">
        <v>2</v>
      </c>
      <c r="G22" s="100">
        <v>102.29</v>
      </c>
      <c r="H22" s="100">
        <v>33.57</v>
      </c>
      <c r="I22" s="100">
        <v>9.32</v>
      </c>
      <c r="J22" s="100">
        <v>0.41</v>
      </c>
      <c r="K22" s="100">
        <v>36.85</v>
      </c>
      <c r="L22" s="100">
        <v>6.8</v>
      </c>
      <c r="M22" s="100">
        <v>-1.1200000000000001</v>
      </c>
      <c r="N22" s="100">
        <v>2.1</v>
      </c>
      <c r="O22" s="100">
        <v>0</v>
      </c>
      <c r="P22" s="100">
        <v>0.73</v>
      </c>
      <c r="Q22" s="100">
        <v>9.34</v>
      </c>
      <c r="R22" s="6"/>
      <c r="S22" s="6"/>
      <c r="T22" s="156"/>
      <c r="U22" s="6"/>
    </row>
    <row r="23" spans="1:21" customFormat="1">
      <c r="A23" s="201" t="s">
        <v>930</v>
      </c>
      <c r="B23" s="100">
        <v>13.82</v>
      </c>
      <c r="C23" s="100">
        <v>10.210000000000001</v>
      </c>
      <c r="D23" s="100">
        <v>16.420000000000002</v>
      </c>
      <c r="E23" s="100">
        <v>5.96</v>
      </c>
      <c r="F23" s="100">
        <v>2</v>
      </c>
      <c r="G23" s="100">
        <v>91.84</v>
      </c>
      <c r="H23" s="100">
        <v>32.81</v>
      </c>
      <c r="I23" s="100">
        <v>9.1999999999999993</v>
      </c>
      <c r="J23" s="100">
        <v>0.6</v>
      </c>
      <c r="K23" s="100">
        <v>40.409999999999997</v>
      </c>
      <c r="L23" s="100">
        <v>6.22</v>
      </c>
      <c r="M23" s="100">
        <v>-2.5</v>
      </c>
      <c r="N23" s="100">
        <v>2.1</v>
      </c>
      <c r="O23" s="100">
        <v>0</v>
      </c>
      <c r="P23" s="100">
        <v>0.72</v>
      </c>
      <c r="Q23" s="100">
        <v>9.4600000000000009</v>
      </c>
      <c r="R23" s="6"/>
      <c r="S23" s="6"/>
      <c r="T23" s="156"/>
      <c r="U23" s="6"/>
    </row>
    <row r="24" spans="1:21" customFormat="1">
      <c r="A24" s="201" t="s">
        <v>931</v>
      </c>
      <c r="B24" s="100">
        <v>13.49</v>
      </c>
      <c r="C24" s="100">
        <v>10.199999999999999</v>
      </c>
      <c r="D24" s="100">
        <v>16.149999999999999</v>
      </c>
      <c r="E24" s="100">
        <v>5.61</v>
      </c>
      <c r="F24" s="100">
        <v>2</v>
      </c>
      <c r="G24" s="100">
        <v>91.84</v>
      </c>
      <c r="H24" s="100">
        <v>32.81</v>
      </c>
      <c r="I24" s="100">
        <v>9.07</v>
      </c>
      <c r="J24" s="100">
        <v>0.63</v>
      </c>
      <c r="K24" s="100">
        <v>41.37</v>
      </c>
      <c r="L24" s="100">
        <v>6.9</v>
      </c>
      <c r="M24" s="100">
        <v>-0.84</v>
      </c>
      <c r="N24" s="100">
        <v>2.1</v>
      </c>
      <c r="O24" s="100">
        <v>0</v>
      </c>
      <c r="P24" s="100">
        <v>0.7</v>
      </c>
      <c r="Q24" s="100">
        <v>9.33</v>
      </c>
      <c r="R24" s="6"/>
      <c r="S24" s="6"/>
      <c r="T24" s="156"/>
      <c r="U24" s="6"/>
    </row>
    <row r="25" spans="1:21" customFormat="1">
      <c r="A25" s="201" t="s">
        <v>932</v>
      </c>
      <c r="B25" s="100">
        <v>13.13</v>
      </c>
      <c r="C25" s="100">
        <v>10.19</v>
      </c>
      <c r="D25" s="100">
        <v>15.86</v>
      </c>
      <c r="E25" s="100">
        <v>5.27</v>
      </c>
      <c r="F25" s="100">
        <v>2</v>
      </c>
      <c r="G25" s="100">
        <v>91.84</v>
      </c>
      <c r="H25" s="100">
        <v>32.81</v>
      </c>
      <c r="I25" s="100">
        <v>8.92</v>
      </c>
      <c r="J25" s="100">
        <v>0.52</v>
      </c>
      <c r="K25" s="100">
        <v>36.25</v>
      </c>
      <c r="L25" s="100">
        <v>8.85</v>
      </c>
      <c r="M25" s="100">
        <v>4.0199999999999996</v>
      </c>
      <c r="N25" s="100">
        <v>2.1</v>
      </c>
      <c r="O25" s="100">
        <v>0</v>
      </c>
      <c r="P25" s="100">
        <v>0.7</v>
      </c>
      <c r="Q25" s="100">
        <v>9.4499999999999993</v>
      </c>
      <c r="R25" s="6"/>
      <c r="S25" s="6"/>
      <c r="T25" s="156"/>
      <c r="U25" s="6"/>
    </row>
    <row r="26" spans="1:21" customFormat="1">
      <c r="A26" s="201" t="s">
        <v>933</v>
      </c>
      <c r="B26" s="100">
        <v>12.87</v>
      </c>
      <c r="C26" s="100">
        <v>10.23</v>
      </c>
      <c r="D26" s="100">
        <v>15.66</v>
      </c>
      <c r="E26" s="100">
        <v>6</v>
      </c>
      <c r="F26" s="100">
        <v>2</v>
      </c>
      <c r="G26" s="100">
        <v>87.1</v>
      </c>
      <c r="H26" s="100">
        <v>29.62</v>
      </c>
      <c r="I26" s="100">
        <v>8.8000000000000007</v>
      </c>
      <c r="J26" s="100">
        <v>0.38</v>
      </c>
      <c r="K26" s="100">
        <v>37.1</v>
      </c>
      <c r="L26" s="100">
        <v>10.79</v>
      </c>
      <c r="M26" s="100">
        <v>8.91</v>
      </c>
      <c r="N26" s="100">
        <v>2.1</v>
      </c>
      <c r="O26" s="100">
        <v>0</v>
      </c>
      <c r="P26" s="100">
        <v>0.68</v>
      </c>
      <c r="Q26" s="100">
        <v>9.4600000000000009</v>
      </c>
      <c r="R26" s="6"/>
      <c r="S26" s="6"/>
      <c r="T26" s="156"/>
      <c r="U26" s="6"/>
    </row>
    <row r="27" spans="1:21" customFormat="1">
      <c r="A27" s="201" t="s">
        <v>934</v>
      </c>
      <c r="B27" s="100">
        <v>12.78</v>
      </c>
      <c r="C27" s="100">
        <v>10.130000000000001</v>
      </c>
      <c r="D27" s="100">
        <v>15.54</v>
      </c>
      <c r="E27" s="100">
        <v>5.77</v>
      </c>
      <c r="F27" s="100">
        <v>2</v>
      </c>
      <c r="G27" s="100">
        <v>81.180000000000007</v>
      </c>
      <c r="H27" s="100">
        <v>27.42</v>
      </c>
      <c r="I27" s="100">
        <v>8.6999999999999993</v>
      </c>
      <c r="J27" s="100">
        <v>0.63</v>
      </c>
      <c r="K27" s="100">
        <v>42.01</v>
      </c>
      <c r="L27" s="100">
        <v>6.46</v>
      </c>
      <c r="M27" s="100">
        <v>-1.89</v>
      </c>
      <c r="N27" s="100">
        <v>2.1</v>
      </c>
      <c r="O27" s="100">
        <v>0</v>
      </c>
      <c r="P27" s="100">
        <v>0.67</v>
      </c>
      <c r="Q27" s="100">
        <v>9.42</v>
      </c>
      <c r="R27" s="6"/>
      <c r="S27" s="6"/>
      <c r="T27" s="156"/>
      <c r="U27" s="6"/>
    </row>
    <row r="28" spans="1:21" customFormat="1">
      <c r="A28" s="201" t="s">
        <v>935</v>
      </c>
      <c r="B28" s="100">
        <v>12.52</v>
      </c>
      <c r="C28" s="100">
        <v>10.220000000000001</v>
      </c>
      <c r="D28" s="100">
        <v>15.38</v>
      </c>
      <c r="E28" s="100">
        <v>5.68</v>
      </c>
      <c r="F28" s="100">
        <v>2</v>
      </c>
      <c r="G28" s="100">
        <v>81.180000000000007</v>
      </c>
      <c r="H28" s="100">
        <v>27.42</v>
      </c>
      <c r="I28" s="100">
        <v>8.6</v>
      </c>
      <c r="J28" s="100">
        <v>0.55000000000000004</v>
      </c>
      <c r="K28" s="100">
        <v>43.4</v>
      </c>
      <c r="L28" s="100">
        <v>6.47</v>
      </c>
      <c r="M28" s="100">
        <v>-1.84</v>
      </c>
      <c r="N28" s="100">
        <v>2.1</v>
      </c>
      <c r="O28" s="100">
        <v>0</v>
      </c>
      <c r="P28" s="100">
        <v>0.66</v>
      </c>
      <c r="Q28" s="100">
        <v>9.33</v>
      </c>
      <c r="R28" s="6"/>
      <c r="S28" s="6"/>
      <c r="T28" s="156"/>
      <c r="U28" s="6"/>
    </row>
    <row r="29" spans="1:21" customFormat="1">
      <c r="A29" s="201" t="s">
        <v>936</v>
      </c>
      <c r="B29" s="100">
        <v>12.31</v>
      </c>
      <c r="C29" s="100">
        <v>10.15</v>
      </c>
      <c r="D29" s="100">
        <v>15.17</v>
      </c>
      <c r="E29" s="100">
        <v>5.81</v>
      </c>
      <c r="F29" s="100">
        <v>2</v>
      </c>
      <c r="G29" s="100">
        <v>81.180000000000007</v>
      </c>
      <c r="H29" s="100">
        <v>27.42</v>
      </c>
      <c r="I29" s="100">
        <v>8.52</v>
      </c>
      <c r="J29" s="100">
        <v>0.33</v>
      </c>
      <c r="K29" s="100">
        <v>36.21</v>
      </c>
      <c r="L29" s="100">
        <v>9.42</v>
      </c>
      <c r="M29" s="100">
        <v>5.47</v>
      </c>
      <c r="N29" s="100">
        <v>2.1</v>
      </c>
      <c r="O29" s="100">
        <v>0</v>
      </c>
      <c r="P29" s="100">
        <v>0.65</v>
      </c>
      <c r="Q29" s="100">
        <v>9.61</v>
      </c>
      <c r="R29" s="6"/>
      <c r="S29" s="6"/>
      <c r="T29" s="156"/>
      <c r="U29" s="6"/>
    </row>
    <row r="30" spans="1:21" customFormat="1">
      <c r="A30" s="201" t="s">
        <v>937</v>
      </c>
      <c r="B30" s="100">
        <v>12.25</v>
      </c>
      <c r="C30" s="100">
        <v>10.14</v>
      </c>
      <c r="D30" s="100">
        <v>15.12</v>
      </c>
      <c r="E30" s="100">
        <v>5.81</v>
      </c>
      <c r="F30" s="100">
        <v>2</v>
      </c>
      <c r="G30" s="100">
        <v>74.83</v>
      </c>
      <c r="H30" s="100">
        <v>27.07</v>
      </c>
      <c r="I30" s="100">
        <v>8.43</v>
      </c>
      <c r="J30" s="100">
        <v>0.43</v>
      </c>
      <c r="K30" s="100">
        <v>47.01</v>
      </c>
      <c r="L30" s="100">
        <v>8.19</v>
      </c>
      <c r="M30" s="100">
        <v>2.4300000000000002</v>
      </c>
      <c r="N30" s="100">
        <v>2.1</v>
      </c>
      <c r="O30" s="100">
        <v>0</v>
      </c>
      <c r="P30" s="100">
        <v>0.64</v>
      </c>
      <c r="Q30" s="100">
        <v>9.91</v>
      </c>
      <c r="R30" s="6"/>
      <c r="S30" s="6"/>
      <c r="T30" s="156"/>
      <c r="U30" s="6"/>
    </row>
    <row r="31" spans="1:21" customFormat="1">
      <c r="A31" s="201" t="s">
        <v>938</v>
      </c>
      <c r="B31" s="100">
        <v>12.36</v>
      </c>
      <c r="C31" s="100">
        <v>10.26</v>
      </c>
      <c r="D31" s="100">
        <v>15.27</v>
      </c>
      <c r="E31" s="100">
        <v>5.83</v>
      </c>
      <c r="F31" s="100">
        <v>2</v>
      </c>
      <c r="G31" s="100">
        <v>66.89</v>
      </c>
      <c r="H31" s="100">
        <v>26.83</v>
      </c>
      <c r="I31" s="100">
        <v>8.31</v>
      </c>
      <c r="J31" s="100">
        <v>0.39</v>
      </c>
      <c r="K31" s="100">
        <v>46.22</v>
      </c>
      <c r="L31" s="100">
        <v>7.23</v>
      </c>
      <c r="M31" s="100">
        <v>0.08</v>
      </c>
      <c r="N31" s="100">
        <v>2.1</v>
      </c>
      <c r="O31" s="100">
        <v>0</v>
      </c>
      <c r="P31" s="100">
        <v>0.63</v>
      </c>
      <c r="Q31" s="100">
        <v>9.99</v>
      </c>
      <c r="R31" s="6"/>
      <c r="S31" s="6"/>
      <c r="T31" s="156"/>
      <c r="U31" s="6"/>
    </row>
    <row r="32" spans="1:21" customFormat="1">
      <c r="A32" s="201" t="s">
        <v>939</v>
      </c>
      <c r="B32" s="100">
        <v>12.49</v>
      </c>
      <c r="C32" s="100">
        <v>10.48</v>
      </c>
      <c r="D32" s="100">
        <v>15.49</v>
      </c>
      <c r="E32" s="100">
        <v>5.76</v>
      </c>
      <c r="F32" s="100">
        <v>2</v>
      </c>
      <c r="G32" s="100">
        <v>66.89</v>
      </c>
      <c r="H32" s="100">
        <v>26.83</v>
      </c>
      <c r="I32" s="100">
        <v>8.25</v>
      </c>
      <c r="J32" s="100">
        <v>0.14000000000000001</v>
      </c>
      <c r="K32" s="100">
        <v>54.22</v>
      </c>
      <c r="L32" s="100">
        <v>12.63</v>
      </c>
      <c r="M32" s="100">
        <v>13.77</v>
      </c>
      <c r="N32" s="100">
        <v>2.2000000000000002</v>
      </c>
      <c r="O32" s="100">
        <v>0</v>
      </c>
      <c r="P32" s="100">
        <v>0.63</v>
      </c>
      <c r="Q32" s="100">
        <v>9.74</v>
      </c>
      <c r="R32" s="6"/>
      <c r="S32" s="6"/>
      <c r="T32" s="156"/>
      <c r="U32" s="6"/>
    </row>
    <row r="33" spans="1:21" customFormat="1">
      <c r="A33" s="201" t="s">
        <v>940</v>
      </c>
      <c r="B33" s="100">
        <v>12.79</v>
      </c>
      <c r="C33" s="100">
        <v>10.68</v>
      </c>
      <c r="D33" s="100">
        <v>15.83</v>
      </c>
      <c r="E33" s="100">
        <v>5.71</v>
      </c>
      <c r="F33" s="100">
        <v>2</v>
      </c>
      <c r="G33" s="100">
        <v>66.89</v>
      </c>
      <c r="H33" s="100">
        <v>26.83</v>
      </c>
      <c r="I33" s="100">
        <v>8.23</v>
      </c>
      <c r="J33" s="100">
        <v>0.1</v>
      </c>
      <c r="K33" s="100">
        <v>189.44</v>
      </c>
      <c r="L33" s="100">
        <v>17.600000000000001</v>
      </c>
      <c r="M33" s="100">
        <v>26.35</v>
      </c>
      <c r="N33" s="100">
        <v>3.9</v>
      </c>
      <c r="O33" s="100">
        <v>0</v>
      </c>
      <c r="P33" s="100">
        <v>0.62</v>
      </c>
      <c r="Q33" s="100">
        <v>10.039999999999999</v>
      </c>
      <c r="R33" s="6"/>
      <c r="S33" s="6"/>
      <c r="T33" s="156"/>
      <c r="U33" s="6"/>
    </row>
    <row r="34" spans="1:21" customFormat="1">
      <c r="A34" s="201" t="s">
        <v>941</v>
      </c>
      <c r="B34" s="100">
        <v>13.15</v>
      </c>
      <c r="C34" s="100">
        <v>10.67</v>
      </c>
      <c r="D34" s="100">
        <v>16.12</v>
      </c>
      <c r="E34" s="100">
        <v>5.64</v>
      </c>
      <c r="F34" s="100">
        <v>2</v>
      </c>
      <c r="G34" s="100">
        <v>67.400000000000006</v>
      </c>
      <c r="H34" s="100">
        <v>26.05</v>
      </c>
      <c r="I34" s="100">
        <v>8.18</v>
      </c>
      <c r="J34" s="100">
        <v>0.15</v>
      </c>
      <c r="K34" s="100">
        <v>232.95</v>
      </c>
      <c r="L34" s="100">
        <v>20.71</v>
      </c>
      <c r="M34" s="100">
        <v>34</v>
      </c>
      <c r="N34" s="100">
        <v>8.1999999999999993</v>
      </c>
      <c r="O34" s="100">
        <v>0</v>
      </c>
      <c r="P34" s="100">
        <v>0.61</v>
      </c>
      <c r="Q34" s="100">
        <v>9.57</v>
      </c>
      <c r="R34" s="6"/>
      <c r="S34" s="6"/>
      <c r="T34" s="156"/>
      <c r="U34" s="6"/>
    </row>
    <row r="35" spans="1:21" customFormat="1">
      <c r="A35" s="201" t="s">
        <v>942</v>
      </c>
      <c r="B35" s="100">
        <v>13.56</v>
      </c>
      <c r="C35" s="100">
        <v>10.73</v>
      </c>
      <c r="D35" s="100">
        <v>16.48</v>
      </c>
      <c r="E35" s="100">
        <v>5.76</v>
      </c>
      <c r="F35" s="100">
        <v>2</v>
      </c>
      <c r="G35" s="100">
        <v>68.040000000000006</v>
      </c>
      <c r="H35" s="100">
        <v>25.46</v>
      </c>
      <c r="I35" s="100">
        <v>8.11</v>
      </c>
      <c r="J35" s="100">
        <v>0.12</v>
      </c>
      <c r="K35" s="100">
        <v>158.72999999999999</v>
      </c>
      <c r="L35" s="100">
        <v>15.64</v>
      </c>
      <c r="M35" s="100">
        <v>21.16</v>
      </c>
      <c r="N35" s="100">
        <v>14.8</v>
      </c>
      <c r="O35" s="100">
        <v>0</v>
      </c>
      <c r="P35" s="100">
        <v>0.61</v>
      </c>
      <c r="Q35" s="100">
        <v>9.35</v>
      </c>
      <c r="R35" s="6"/>
      <c r="S35" s="6"/>
      <c r="T35" s="156"/>
      <c r="U35" s="6"/>
    </row>
    <row r="36" spans="1:21" customFormat="1">
      <c r="A36" s="201" t="s">
        <v>943</v>
      </c>
      <c r="B36" s="100">
        <v>13.95</v>
      </c>
      <c r="C36" s="100">
        <v>10.82</v>
      </c>
      <c r="D36" s="100">
        <v>16.84</v>
      </c>
      <c r="E36" s="100">
        <v>5.54</v>
      </c>
      <c r="F36" s="100">
        <v>2</v>
      </c>
      <c r="G36" s="100">
        <v>68.040000000000006</v>
      </c>
      <c r="H36" s="100">
        <v>25.46</v>
      </c>
      <c r="I36" s="100">
        <v>8.06</v>
      </c>
      <c r="J36" s="100">
        <v>0.1</v>
      </c>
      <c r="K36" s="100">
        <v>94.75</v>
      </c>
      <c r="L36" s="100">
        <v>10.58</v>
      </c>
      <c r="M36" s="100">
        <v>8.07</v>
      </c>
      <c r="N36" s="100">
        <v>25.5</v>
      </c>
      <c r="O36" s="100">
        <v>0</v>
      </c>
      <c r="P36" s="100">
        <v>0.6</v>
      </c>
      <c r="Q36" s="100">
        <v>9.32</v>
      </c>
      <c r="R36" s="6"/>
      <c r="S36" s="6"/>
      <c r="T36" s="156"/>
      <c r="U36" s="6"/>
    </row>
    <row r="37" spans="1:21" customFormat="1">
      <c r="A37" s="201" t="s">
        <v>944</v>
      </c>
      <c r="B37" s="100">
        <v>14.07</v>
      </c>
      <c r="C37" s="100">
        <v>10.89</v>
      </c>
      <c r="D37" s="100">
        <v>16.97</v>
      </c>
      <c r="E37" s="100">
        <v>5.72</v>
      </c>
      <c r="F37" s="100">
        <v>2</v>
      </c>
      <c r="G37" s="100">
        <v>68.040000000000006</v>
      </c>
      <c r="H37" s="100">
        <v>25.46</v>
      </c>
      <c r="I37" s="100">
        <v>8.02</v>
      </c>
      <c r="J37" s="100">
        <v>0.11</v>
      </c>
      <c r="K37" s="100">
        <v>274.64999999999998</v>
      </c>
      <c r="L37" s="100">
        <v>17.12</v>
      </c>
      <c r="M37" s="100">
        <v>24.02</v>
      </c>
      <c r="N37" s="100">
        <v>40.700000000000003</v>
      </c>
      <c r="O37" s="100">
        <v>0</v>
      </c>
      <c r="P37" s="100">
        <v>0.6</v>
      </c>
      <c r="Q37" s="100">
        <v>9.32</v>
      </c>
      <c r="R37" s="6"/>
      <c r="S37" s="6"/>
      <c r="T37" s="156"/>
      <c r="U37" s="6"/>
    </row>
    <row r="38" spans="1:21" customFormat="1">
      <c r="A38" s="201" t="s">
        <v>945</v>
      </c>
      <c r="B38" s="100">
        <v>14.07</v>
      </c>
      <c r="C38" s="100">
        <v>10.69</v>
      </c>
      <c r="D38" s="100">
        <v>16.87</v>
      </c>
      <c r="E38" s="100">
        <v>5.81</v>
      </c>
      <c r="F38" s="100">
        <v>2</v>
      </c>
      <c r="G38" s="100">
        <v>69.94</v>
      </c>
      <c r="H38" s="100">
        <v>28.2</v>
      </c>
      <c r="I38" s="100">
        <v>8.0299999999999994</v>
      </c>
      <c r="J38" s="100">
        <v>0.16</v>
      </c>
      <c r="K38" s="100">
        <v>200.53</v>
      </c>
      <c r="L38" s="100">
        <v>18.77</v>
      </c>
      <c r="M38" s="100">
        <v>28.03</v>
      </c>
      <c r="N38" s="100">
        <v>56.7</v>
      </c>
      <c r="O38" s="100">
        <v>0</v>
      </c>
      <c r="P38" s="100">
        <v>0.6</v>
      </c>
      <c r="Q38" s="100">
        <v>9.32</v>
      </c>
      <c r="R38" s="6"/>
      <c r="S38" s="6"/>
      <c r="T38" s="156"/>
      <c r="U38" s="6"/>
    </row>
    <row r="39" spans="1:21" customFormat="1">
      <c r="A39" s="201" t="s">
        <v>946</v>
      </c>
      <c r="B39" s="100">
        <v>13.9</v>
      </c>
      <c r="C39" s="100">
        <v>10.47</v>
      </c>
      <c r="D39" s="100">
        <v>16.62</v>
      </c>
      <c r="E39" s="100">
        <v>5.51</v>
      </c>
      <c r="F39" s="100">
        <v>2</v>
      </c>
      <c r="G39" s="100">
        <v>72.3</v>
      </c>
      <c r="H39" s="100">
        <v>32.81</v>
      </c>
      <c r="I39" s="100">
        <v>8.09</v>
      </c>
      <c r="J39" s="100">
        <v>0.18</v>
      </c>
      <c r="K39" s="100">
        <v>20.48</v>
      </c>
      <c r="L39" s="100">
        <v>15.36</v>
      </c>
      <c r="M39" s="100">
        <v>18.16</v>
      </c>
      <c r="N39" s="100">
        <v>94.9</v>
      </c>
      <c r="O39" s="100">
        <v>0</v>
      </c>
      <c r="P39" s="100">
        <v>0.6</v>
      </c>
      <c r="Q39" s="100">
        <v>9.32</v>
      </c>
      <c r="R39" s="6"/>
      <c r="S39" s="6"/>
      <c r="T39" s="156"/>
      <c r="U39" s="6"/>
    </row>
    <row r="40" spans="1:21" customFormat="1">
      <c r="A40" s="201" t="s">
        <v>947</v>
      </c>
      <c r="B40" s="100">
        <v>13.62</v>
      </c>
      <c r="C40" s="100">
        <v>10.62</v>
      </c>
      <c r="D40" s="100">
        <v>16.47</v>
      </c>
      <c r="E40" s="100">
        <v>5.95</v>
      </c>
      <c r="F40" s="100">
        <v>2</v>
      </c>
      <c r="G40" s="100">
        <v>72.3</v>
      </c>
      <c r="H40" s="100">
        <v>32.81</v>
      </c>
      <c r="I40" s="100">
        <v>8.11</v>
      </c>
      <c r="J40" s="100">
        <v>0.42</v>
      </c>
      <c r="K40" s="100">
        <v>45.1</v>
      </c>
      <c r="L40" s="100">
        <v>10.119999999999999</v>
      </c>
      <c r="M40" s="100">
        <v>2.5099999999999998</v>
      </c>
      <c r="N40" s="100">
        <v>203.6</v>
      </c>
      <c r="O40" s="100">
        <v>0</v>
      </c>
      <c r="P40" s="100">
        <v>0.6</v>
      </c>
      <c r="Q40" s="100">
        <v>9.32</v>
      </c>
      <c r="R40" s="6"/>
      <c r="S40" s="6"/>
      <c r="T40" s="156"/>
      <c r="U40" s="6"/>
    </row>
    <row r="41" spans="1:21" customFormat="1">
      <c r="A41" s="201" t="s">
        <v>948</v>
      </c>
      <c r="B41" s="100">
        <v>13.21</v>
      </c>
      <c r="C41" s="100">
        <v>10.79</v>
      </c>
      <c r="D41" s="100">
        <v>16.23</v>
      </c>
      <c r="E41" s="100">
        <v>5.74</v>
      </c>
      <c r="F41" s="100">
        <v>2</v>
      </c>
      <c r="G41" s="100">
        <v>72.3</v>
      </c>
      <c r="H41" s="100">
        <v>32.81</v>
      </c>
      <c r="I41" s="100">
        <v>8.15</v>
      </c>
      <c r="J41" s="100">
        <v>0.49</v>
      </c>
      <c r="K41" s="100">
        <v>36.42</v>
      </c>
      <c r="L41" s="100">
        <v>11.52</v>
      </c>
      <c r="M41" s="100">
        <v>4.97</v>
      </c>
      <c r="N41" s="100">
        <v>245.5</v>
      </c>
      <c r="O41" s="100">
        <v>0</v>
      </c>
      <c r="P41" s="100">
        <v>0.6</v>
      </c>
      <c r="Q41" s="100">
        <v>9.32</v>
      </c>
      <c r="R41" s="6"/>
      <c r="S41" s="6"/>
      <c r="T41" s="156"/>
      <c r="U41" s="6"/>
    </row>
    <row r="42" spans="1:21" customFormat="1">
      <c r="A42" s="201" t="s">
        <v>949</v>
      </c>
      <c r="B42" s="100">
        <v>12.79</v>
      </c>
      <c r="C42" s="100">
        <v>11.01</v>
      </c>
      <c r="D42" s="100">
        <v>16.010000000000002</v>
      </c>
      <c r="E42" s="100">
        <v>5.7</v>
      </c>
      <c r="F42" s="100">
        <v>2</v>
      </c>
      <c r="G42" s="100">
        <v>76.959999999999994</v>
      </c>
      <c r="H42" s="100">
        <v>34.97</v>
      </c>
      <c r="I42" s="100">
        <v>8.2799999999999994</v>
      </c>
      <c r="J42" s="100">
        <v>0.63</v>
      </c>
      <c r="K42" s="100">
        <v>37.49</v>
      </c>
      <c r="L42" s="100">
        <v>12.01</v>
      </c>
      <c r="M42" s="100">
        <v>5.1100000000000003</v>
      </c>
      <c r="N42" s="100">
        <v>292.89999999999998</v>
      </c>
      <c r="O42" s="100">
        <v>0</v>
      </c>
      <c r="P42" s="100">
        <v>0.61</v>
      </c>
      <c r="Q42" s="100">
        <v>9.32</v>
      </c>
      <c r="R42" s="6"/>
      <c r="S42" s="6"/>
      <c r="T42" s="156"/>
      <c r="U42" s="6"/>
    </row>
    <row r="43" spans="1:21" customFormat="1">
      <c r="A43" s="201" t="s">
        <v>950</v>
      </c>
      <c r="B43" s="100">
        <v>12.18</v>
      </c>
      <c r="C43" s="100">
        <v>11.13</v>
      </c>
      <c r="D43" s="100">
        <v>15.58</v>
      </c>
      <c r="E43" s="100">
        <v>5.77</v>
      </c>
      <c r="F43" s="100">
        <v>2</v>
      </c>
      <c r="G43" s="100">
        <v>82.77</v>
      </c>
      <c r="H43" s="100">
        <v>36.42</v>
      </c>
      <c r="I43" s="100">
        <v>8.36</v>
      </c>
      <c r="J43" s="100">
        <v>0.68</v>
      </c>
      <c r="K43" s="100">
        <v>39.89</v>
      </c>
      <c r="L43" s="100">
        <v>9.9600000000000009</v>
      </c>
      <c r="M43" s="100">
        <v>-1.23</v>
      </c>
      <c r="N43" s="100">
        <v>344.8</v>
      </c>
      <c r="O43" s="100">
        <v>0</v>
      </c>
      <c r="P43" s="100">
        <v>0.6</v>
      </c>
      <c r="Q43" s="100">
        <v>9.32</v>
      </c>
      <c r="R43" s="6"/>
      <c r="S43" s="6"/>
      <c r="T43" s="156"/>
      <c r="U43" s="6"/>
    </row>
    <row r="44" spans="1:21" customFormat="1">
      <c r="A44" s="201" t="s">
        <v>951</v>
      </c>
      <c r="B44" s="100">
        <v>11.36</v>
      </c>
      <c r="C44" s="100">
        <v>11.35</v>
      </c>
      <c r="D44" s="100">
        <v>15.04</v>
      </c>
      <c r="E44" s="100">
        <v>6.11</v>
      </c>
      <c r="F44" s="100">
        <v>2</v>
      </c>
      <c r="G44" s="100">
        <v>82.77</v>
      </c>
      <c r="H44" s="100">
        <v>36.42</v>
      </c>
      <c r="I44" s="100">
        <v>8.4</v>
      </c>
      <c r="J44" s="100">
        <v>0.49</v>
      </c>
      <c r="K44" s="100">
        <v>29.68</v>
      </c>
      <c r="L44" s="100">
        <v>10.48</v>
      </c>
      <c r="M44" s="100">
        <v>-1.07</v>
      </c>
      <c r="N44" s="100">
        <v>389.2</v>
      </c>
      <c r="O44" s="100">
        <v>0</v>
      </c>
      <c r="P44" s="100">
        <v>0.6</v>
      </c>
      <c r="Q44" s="100">
        <v>9.32</v>
      </c>
      <c r="R44" s="6"/>
      <c r="S44" s="6"/>
      <c r="T44" s="156"/>
      <c r="U44" s="6"/>
    </row>
    <row r="45" spans="1:21" customFormat="1">
      <c r="A45" s="201" t="s">
        <v>952</v>
      </c>
      <c r="B45" s="100">
        <v>10.75</v>
      </c>
      <c r="C45" s="100">
        <v>11.67</v>
      </c>
      <c r="D45" s="100">
        <v>14.72</v>
      </c>
      <c r="E45" s="100">
        <v>5.85</v>
      </c>
      <c r="F45" s="100">
        <v>2</v>
      </c>
      <c r="G45" s="100">
        <v>82.77</v>
      </c>
      <c r="H45" s="100">
        <v>36.42</v>
      </c>
      <c r="I45" s="100">
        <v>8.3699999999999992</v>
      </c>
      <c r="J45" s="100">
        <v>0.65</v>
      </c>
      <c r="K45" s="100">
        <v>23.07</v>
      </c>
      <c r="L45" s="100">
        <v>17.13</v>
      </c>
      <c r="M45" s="100">
        <v>14.72</v>
      </c>
      <c r="N45" s="100">
        <v>428.8</v>
      </c>
      <c r="O45" s="100">
        <v>0</v>
      </c>
      <c r="P45" s="100">
        <v>0.6</v>
      </c>
      <c r="Q45" s="100">
        <v>9.32</v>
      </c>
      <c r="R45" s="6"/>
      <c r="S45" s="6"/>
      <c r="T45" s="156"/>
      <c r="U45" s="6"/>
    </row>
    <row r="46" spans="1:21" customFormat="1">
      <c r="A46" s="201" t="s">
        <v>953</v>
      </c>
      <c r="B46" s="100">
        <v>10.35</v>
      </c>
      <c r="C46" s="100">
        <v>11.92</v>
      </c>
      <c r="D46" s="100">
        <v>14.53</v>
      </c>
      <c r="E46" s="100">
        <v>5.98</v>
      </c>
      <c r="F46" s="100">
        <v>2</v>
      </c>
      <c r="G46" s="100">
        <v>81.25</v>
      </c>
      <c r="H46" s="100">
        <v>33.06</v>
      </c>
      <c r="I46" s="100">
        <v>8.3000000000000007</v>
      </c>
      <c r="J46" s="100">
        <v>0.81</v>
      </c>
      <c r="K46" s="100">
        <v>40.590000000000003</v>
      </c>
      <c r="L46" s="100">
        <v>11.3</v>
      </c>
      <c r="M46" s="100">
        <v>-0.77</v>
      </c>
      <c r="N46" s="100">
        <v>466.7</v>
      </c>
      <c r="O46" s="100">
        <v>0</v>
      </c>
      <c r="P46" s="100">
        <v>0.6</v>
      </c>
      <c r="Q46" s="100">
        <v>9.32</v>
      </c>
      <c r="R46" s="6"/>
      <c r="S46" s="6"/>
      <c r="T46" s="156"/>
      <c r="U46" s="6"/>
    </row>
    <row r="47" spans="1:21" customFormat="1">
      <c r="A47" s="201" t="s">
        <v>954</v>
      </c>
      <c r="B47" s="100">
        <v>9.76</v>
      </c>
      <c r="C47" s="100">
        <v>12.16</v>
      </c>
      <c r="D47" s="100">
        <v>14.18</v>
      </c>
      <c r="E47" s="100">
        <v>6.14</v>
      </c>
      <c r="F47" s="100">
        <v>2</v>
      </c>
      <c r="G47" s="100">
        <v>79.34</v>
      </c>
      <c r="H47" s="100">
        <v>30.79</v>
      </c>
      <c r="I47" s="100">
        <v>8.31</v>
      </c>
      <c r="J47" s="100">
        <v>0.61</v>
      </c>
      <c r="K47" s="100">
        <v>10.82</v>
      </c>
      <c r="L47" s="100">
        <v>17.690000000000001</v>
      </c>
      <c r="M47" s="100">
        <v>18.91</v>
      </c>
      <c r="N47" s="100">
        <v>307.2</v>
      </c>
      <c r="O47" s="100">
        <v>0</v>
      </c>
      <c r="P47" s="100">
        <v>0.6</v>
      </c>
      <c r="Q47" s="100">
        <v>9.32</v>
      </c>
      <c r="R47" s="6"/>
      <c r="S47" s="6"/>
      <c r="T47" s="156"/>
      <c r="U47" s="6"/>
    </row>
    <row r="48" spans="1:21" customFormat="1">
      <c r="A48" s="201" t="s">
        <v>955</v>
      </c>
      <c r="B48" s="100">
        <v>8.9700000000000006</v>
      </c>
      <c r="C48" s="100">
        <v>11.98</v>
      </c>
      <c r="D48" s="100">
        <v>13.45</v>
      </c>
      <c r="E48" s="100">
        <v>6.2</v>
      </c>
      <c r="F48" s="100">
        <v>2</v>
      </c>
      <c r="G48" s="100">
        <v>79.34</v>
      </c>
      <c r="H48" s="100">
        <v>30.79</v>
      </c>
      <c r="I48" s="100">
        <v>8.34</v>
      </c>
      <c r="J48" s="100">
        <v>0.71</v>
      </c>
      <c r="K48" s="100">
        <v>33.49</v>
      </c>
      <c r="L48" s="100">
        <v>15.35</v>
      </c>
      <c r="M48" s="100">
        <v>10.63</v>
      </c>
      <c r="N48" s="100">
        <v>413.4</v>
      </c>
      <c r="O48" s="100">
        <v>0</v>
      </c>
      <c r="P48" s="100">
        <v>0.6</v>
      </c>
      <c r="Q48" s="100">
        <v>9.32</v>
      </c>
      <c r="R48" s="6"/>
      <c r="S48" s="6"/>
      <c r="T48" s="156"/>
      <c r="U48" s="6"/>
    </row>
    <row r="49" spans="1:21" customFormat="1">
      <c r="A49" s="201" t="s">
        <v>956</v>
      </c>
      <c r="B49" s="100">
        <v>6.98</v>
      </c>
      <c r="C49" s="100">
        <v>12.97</v>
      </c>
      <c r="D49" s="100">
        <v>12.38</v>
      </c>
      <c r="E49" s="100">
        <v>6.34</v>
      </c>
      <c r="F49" s="100">
        <v>18.05</v>
      </c>
      <c r="G49" s="100">
        <v>79.34</v>
      </c>
      <c r="H49" s="100">
        <v>30.79</v>
      </c>
      <c r="I49" s="100">
        <v>8.2799999999999994</v>
      </c>
      <c r="J49" s="100">
        <v>0.56999999999999995</v>
      </c>
      <c r="K49" s="100">
        <v>15.32</v>
      </c>
      <c r="L49" s="100">
        <v>19.72</v>
      </c>
      <c r="M49" s="100">
        <v>17.68</v>
      </c>
      <c r="N49" s="100">
        <v>579.6</v>
      </c>
      <c r="O49" s="100">
        <v>0</v>
      </c>
      <c r="P49" s="100">
        <v>0.56999999999999995</v>
      </c>
      <c r="Q49" s="100">
        <v>9.32</v>
      </c>
      <c r="R49" s="6"/>
      <c r="S49" s="6"/>
      <c r="T49" s="156"/>
      <c r="U49" s="6"/>
    </row>
    <row r="50" spans="1:21" customFormat="1">
      <c r="A50" s="201" t="s">
        <v>957</v>
      </c>
      <c r="B50" s="100">
        <v>2.91</v>
      </c>
      <c r="C50" s="100">
        <v>15.41</v>
      </c>
      <c r="D50" s="100">
        <v>10.39</v>
      </c>
      <c r="E50" s="100">
        <v>8.2100000000000009</v>
      </c>
      <c r="F50" s="100">
        <v>19.13</v>
      </c>
      <c r="G50" s="100">
        <v>78.95</v>
      </c>
      <c r="H50" s="100">
        <v>31.07</v>
      </c>
      <c r="I50" s="100">
        <v>8.17</v>
      </c>
      <c r="J50" s="100">
        <v>0.73</v>
      </c>
      <c r="K50" s="100">
        <v>20.07</v>
      </c>
      <c r="L50" s="100">
        <v>18.45</v>
      </c>
      <c r="M50" s="100">
        <v>15.19</v>
      </c>
      <c r="N50" s="100">
        <v>610.9</v>
      </c>
      <c r="O50" s="100">
        <v>0</v>
      </c>
      <c r="P50" s="100">
        <v>0.52</v>
      </c>
      <c r="Q50" s="100">
        <v>9.32</v>
      </c>
      <c r="R50" s="6"/>
      <c r="S50" s="6"/>
      <c r="T50" s="156"/>
      <c r="U50" s="6"/>
    </row>
    <row r="51" spans="1:21" customFormat="1">
      <c r="A51" s="201" t="s">
        <v>958</v>
      </c>
      <c r="B51" s="100">
        <v>1.92</v>
      </c>
      <c r="C51" s="100">
        <v>15.2</v>
      </c>
      <c r="D51" s="100">
        <v>9.48</v>
      </c>
      <c r="E51" s="100">
        <v>6.07</v>
      </c>
      <c r="F51" s="100">
        <v>13.33</v>
      </c>
      <c r="G51" s="100">
        <v>78.459999999999994</v>
      </c>
      <c r="H51" s="100">
        <v>31.26</v>
      </c>
      <c r="I51" s="100">
        <v>7.66</v>
      </c>
      <c r="J51" s="100">
        <v>0.7</v>
      </c>
      <c r="K51" s="100">
        <v>17.62</v>
      </c>
      <c r="L51" s="100">
        <v>18.02</v>
      </c>
      <c r="M51" s="100">
        <v>13.16</v>
      </c>
      <c r="N51" s="100">
        <v>620</v>
      </c>
      <c r="O51" s="100">
        <v>0</v>
      </c>
      <c r="P51" s="100">
        <v>0.53</v>
      </c>
      <c r="Q51" s="100">
        <v>9.32</v>
      </c>
      <c r="R51" s="6"/>
      <c r="S51" s="6"/>
      <c r="T51" s="156"/>
      <c r="U51" s="6"/>
    </row>
    <row r="52" spans="1:21" customFormat="1">
      <c r="A52" s="201" t="s">
        <v>959</v>
      </c>
      <c r="B52" s="100">
        <v>1.97</v>
      </c>
      <c r="C52" s="100">
        <v>16.93</v>
      </c>
      <c r="D52" s="100">
        <v>10.42</v>
      </c>
      <c r="E52" s="100">
        <v>11.86</v>
      </c>
      <c r="F52" s="100">
        <v>14.51</v>
      </c>
      <c r="G52" s="100">
        <v>78.459999999999994</v>
      </c>
      <c r="H52" s="100">
        <v>31.26</v>
      </c>
      <c r="I52" s="100">
        <v>6.92</v>
      </c>
      <c r="J52" s="100">
        <v>0.81</v>
      </c>
      <c r="K52" s="100">
        <v>29.68</v>
      </c>
      <c r="L52" s="100">
        <v>17.809999999999999</v>
      </c>
      <c r="M52" s="100">
        <v>12.3</v>
      </c>
      <c r="N52" s="100">
        <v>573.4</v>
      </c>
      <c r="O52" s="100">
        <v>0</v>
      </c>
      <c r="P52" s="100">
        <v>0.52</v>
      </c>
      <c r="Q52" s="100">
        <v>9.32</v>
      </c>
      <c r="R52" s="6"/>
      <c r="S52" s="6"/>
      <c r="T52" s="156"/>
      <c r="U52" s="6"/>
    </row>
    <row r="53" spans="1:21" customFormat="1">
      <c r="A53" s="201" t="s">
        <v>960</v>
      </c>
      <c r="B53" s="100">
        <v>1.83</v>
      </c>
      <c r="C53" s="100">
        <v>18.07</v>
      </c>
      <c r="D53" s="100">
        <v>10.91</v>
      </c>
      <c r="E53" s="100">
        <v>11.37</v>
      </c>
      <c r="F53" s="100">
        <v>8.17</v>
      </c>
      <c r="G53" s="100">
        <v>78.459999999999994</v>
      </c>
      <c r="H53" s="100">
        <v>31.26</v>
      </c>
      <c r="I53" s="100">
        <v>6.4</v>
      </c>
      <c r="J53" s="100">
        <v>0.81</v>
      </c>
      <c r="K53" s="100">
        <v>22.92</v>
      </c>
      <c r="L53" s="100">
        <v>18.350000000000001</v>
      </c>
      <c r="M53" s="100">
        <v>12.98</v>
      </c>
      <c r="N53" s="100">
        <v>631.79999999999995</v>
      </c>
      <c r="O53" s="100">
        <v>0</v>
      </c>
      <c r="P53" s="100">
        <v>0.52</v>
      </c>
      <c r="Q53" s="100">
        <v>9.32</v>
      </c>
      <c r="R53" s="6"/>
      <c r="S53" s="6"/>
      <c r="T53" s="156"/>
      <c r="U53" s="6"/>
    </row>
    <row r="54" spans="1:21" customFormat="1">
      <c r="A54" s="201" t="s">
        <v>961</v>
      </c>
      <c r="B54" s="100">
        <v>1.84</v>
      </c>
      <c r="C54" s="100">
        <v>17.59</v>
      </c>
      <c r="D54" s="100">
        <v>10.67</v>
      </c>
      <c r="E54" s="100">
        <v>12.39</v>
      </c>
      <c r="F54" s="100">
        <v>6.55</v>
      </c>
      <c r="G54" s="100">
        <v>79.31</v>
      </c>
      <c r="H54" s="100">
        <v>30.72</v>
      </c>
      <c r="I54" s="100">
        <v>5.94</v>
      </c>
      <c r="J54" s="100">
        <v>0.54</v>
      </c>
      <c r="K54" s="100">
        <v>3.8</v>
      </c>
      <c r="L54" s="100">
        <v>22.52</v>
      </c>
      <c r="M54" s="100">
        <v>23.34</v>
      </c>
      <c r="N54" s="100">
        <v>637.4</v>
      </c>
      <c r="O54" s="100">
        <v>0</v>
      </c>
      <c r="P54" s="100">
        <v>0.53</v>
      </c>
      <c r="Q54" s="100">
        <v>9.32</v>
      </c>
      <c r="R54" s="6"/>
      <c r="S54" s="6"/>
      <c r="T54" s="156"/>
      <c r="U54" s="6"/>
    </row>
    <row r="55" spans="1:21" customFormat="1">
      <c r="A55" s="201" t="s">
        <v>962</v>
      </c>
      <c r="B55" s="100">
        <v>1.9</v>
      </c>
      <c r="C55" s="100">
        <v>16.829999999999998</v>
      </c>
      <c r="D55" s="100">
        <v>10.31</v>
      </c>
      <c r="E55" s="100">
        <v>13.04</v>
      </c>
      <c r="F55" s="100">
        <v>23.27</v>
      </c>
      <c r="G55" s="100">
        <v>80.33</v>
      </c>
      <c r="H55" s="100">
        <v>30.35</v>
      </c>
      <c r="I55" s="100">
        <v>5.79</v>
      </c>
      <c r="J55" s="100">
        <v>0.63</v>
      </c>
      <c r="K55" s="100">
        <v>22.79</v>
      </c>
      <c r="L55" s="100">
        <v>18.52</v>
      </c>
      <c r="M55" s="100">
        <v>13.3</v>
      </c>
      <c r="N55" s="100">
        <v>635</v>
      </c>
      <c r="O55" s="100">
        <v>0</v>
      </c>
      <c r="P55" s="100">
        <v>0.53</v>
      </c>
      <c r="Q55" s="100">
        <v>9.32</v>
      </c>
      <c r="R55" s="6"/>
      <c r="S55" s="6"/>
      <c r="T55" s="156"/>
      <c r="U55" s="6"/>
    </row>
    <row r="56" spans="1:21" customFormat="1">
      <c r="A56" s="201" t="s">
        <v>963</v>
      </c>
      <c r="B56" s="100">
        <v>1.7</v>
      </c>
      <c r="C56" s="100">
        <v>17.170000000000002</v>
      </c>
      <c r="D56" s="100">
        <v>10.33</v>
      </c>
      <c r="E56" s="100">
        <v>13.32</v>
      </c>
      <c r="F56" s="100">
        <v>17.010000000000002</v>
      </c>
      <c r="G56" s="100">
        <v>80.33</v>
      </c>
      <c r="H56" s="100">
        <v>30.35</v>
      </c>
      <c r="I56" s="100">
        <v>5.89</v>
      </c>
      <c r="J56" s="100">
        <v>0.5</v>
      </c>
      <c r="K56" s="100">
        <v>337.6</v>
      </c>
      <c r="L56" s="100">
        <v>25.32</v>
      </c>
      <c r="M56" s="100">
        <v>30.72</v>
      </c>
      <c r="N56" s="100">
        <v>625.79999999999995</v>
      </c>
      <c r="O56" s="100">
        <v>0</v>
      </c>
      <c r="P56" s="100">
        <v>0.56000000000000005</v>
      </c>
      <c r="Q56" s="100">
        <v>9.32</v>
      </c>
      <c r="R56" s="6"/>
      <c r="S56" s="6"/>
      <c r="T56" s="156"/>
      <c r="U56" s="6"/>
    </row>
    <row r="57" spans="1:21" customFormat="1">
      <c r="A57" s="201" t="s">
        <v>964</v>
      </c>
      <c r="B57" s="100">
        <v>1.76</v>
      </c>
      <c r="C57" s="100">
        <v>16.55</v>
      </c>
      <c r="D57" s="100">
        <v>10.050000000000001</v>
      </c>
      <c r="E57" s="100">
        <v>11.3</v>
      </c>
      <c r="F57" s="100">
        <v>7.57</v>
      </c>
      <c r="G57" s="100">
        <v>80.33</v>
      </c>
      <c r="H57" s="100">
        <v>30.35</v>
      </c>
      <c r="I57" s="100">
        <v>6.07</v>
      </c>
      <c r="J57" s="100">
        <v>0.69</v>
      </c>
      <c r="K57" s="100">
        <v>322.60000000000002</v>
      </c>
      <c r="L57" s="100">
        <v>27.74</v>
      </c>
      <c r="M57" s="100">
        <v>35.979999999999997</v>
      </c>
      <c r="N57" s="100">
        <v>656.3</v>
      </c>
      <c r="O57" s="100">
        <v>0</v>
      </c>
      <c r="P57" s="100">
        <v>0.54</v>
      </c>
      <c r="Q57" s="100">
        <v>9.32</v>
      </c>
      <c r="R57" s="6"/>
      <c r="S57" s="6"/>
      <c r="T57" s="156"/>
      <c r="U57" s="6"/>
    </row>
    <row r="58" spans="1:21" customFormat="1">
      <c r="A58" s="201" t="s">
        <v>965</v>
      </c>
      <c r="B58" s="100">
        <v>1.91</v>
      </c>
      <c r="C58" s="100">
        <v>16.309999999999999</v>
      </c>
      <c r="D58" s="100">
        <v>10.050000000000001</v>
      </c>
      <c r="E58" s="100">
        <v>9.41</v>
      </c>
      <c r="F58" s="100">
        <v>8.64</v>
      </c>
      <c r="G58" s="100">
        <v>79.31</v>
      </c>
      <c r="H58" s="100">
        <v>33.58</v>
      </c>
      <c r="I58" s="100">
        <v>6.2</v>
      </c>
      <c r="J58" s="100">
        <v>0.56000000000000005</v>
      </c>
      <c r="K58" s="100">
        <v>313.25</v>
      </c>
      <c r="L58" s="100">
        <v>27.67</v>
      </c>
      <c r="M58" s="100">
        <v>35.99</v>
      </c>
      <c r="N58" s="100">
        <v>651.20000000000005</v>
      </c>
      <c r="O58" s="100">
        <v>0</v>
      </c>
      <c r="P58" s="100">
        <v>0.54</v>
      </c>
      <c r="Q58" s="100">
        <v>9.32</v>
      </c>
      <c r="R58" s="6"/>
      <c r="S58" s="6"/>
      <c r="T58" s="156"/>
      <c r="U58" s="6"/>
    </row>
    <row r="59" spans="1:21" customFormat="1">
      <c r="A59" s="201" t="s">
        <v>966</v>
      </c>
      <c r="B59" s="100">
        <v>1.94</v>
      </c>
      <c r="C59" s="100">
        <v>15.82</v>
      </c>
      <c r="D59" s="100">
        <v>9.82</v>
      </c>
      <c r="E59" s="100">
        <v>9.08</v>
      </c>
      <c r="F59" s="100">
        <v>11.22</v>
      </c>
      <c r="G59" s="100">
        <v>78.040000000000006</v>
      </c>
      <c r="H59" s="100">
        <v>35.76</v>
      </c>
      <c r="I59" s="100">
        <v>6.26</v>
      </c>
      <c r="J59" s="100">
        <v>0.85</v>
      </c>
      <c r="K59" s="100">
        <v>301.86</v>
      </c>
      <c r="L59" s="100">
        <v>30.8</v>
      </c>
      <c r="M59" s="100">
        <v>44.28</v>
      </c>
      <c r="N59" s="100">
        <v>635.1</v>
      </c>
      <c r="O59" s="100">
        <v>0</v>
      </c>
      <c r="P59" s="100">
        <v>0.52</v>
      </c>
      <c r="Q59" s="100">
        <v>9.32</v>
      </c>
      <c r="R59" s="6"/>
      <c r="S59" s="6"/>
      <c r="T59" s="156"/>
      <c r="U59" s="6"/>
    </row>
    <row r="60" spans="1:21" customFormat="1">
      <c r="A60" s="201" t="s">
        <v>967</v>
      </c>
      <c r="B60" s="100">
        <v>1.8</v>
      </c>
      <c r="C60" s="100">
        <v>14.51</v>
      </c>
      <c r="D60" s="100">
        <v>9.02</v>
      </c>
      <c r="E60" s="100">
        <v>8.33</v>
      </c>
      <c r="F60" s="100">
        <v>11.15</v>
      </c>
      <c r="G60" s="100">
        <v>78.040000000000006</v>
      </c>
      <c r="H60" s="100">
        <v>35.76</v>
      </c>
      <c r="I60" s="100">
        <v>6.17</v>
      </c>
      <c r="J60" s="100">
        <v>0.43</v>
      </c>
      <c r="K60" s="100">
        <v>331.73</v>
      </c>
      <c r="L60" s="100">
        <v>23.84</v>
      </c>
      <c r="M60" s="100">
        <v>28.27</v>
      </c>
      <c r="N60" s="100">
        <v>574.70000000000005</v>
      </c>
      <c r="O60" s="100">
        <v>0</v>
      </c>
      <c r="P60" s="100">
        <v>0.49</v>
      </c>
      <c r="Q60" s="100">
        <v>9.32</v>
      </c>
      <c r="R60" s="6"/>
      <c r="S60" s="6"/>
      <c r="T60" s="156"/>
      <c r="U60" s="6"/>
    </row>
    <row r="61" spans="1:21" customFormat="1">
      <c r="A61" s="201" t="s">
        <v>968</v>
      </c>
      <c r="B61" s="100">
        <v>1.99</v>
      </c>
      <c r="C61" s="100">
        <v>18.18</v>
      </c>
      <c r="D61" s="100">
        <v>11.09</v>
      </c>
      <c r="E61" s="100">
        <v>8.7799999999999994</v>
      </c>
      <c r="F61" s="100">
        <v>32.86</v>
      </c>
      <c r="G61" s="100">
        <v>78.040000000000006</v>
      </c>
      <c r="H61" s="100">
        <v>35.76</v>
      </c>
      <c r="I61" s="100">
        <v>6</v>
      </c>
      <c r="J61" s="100">
        <v>0.56000000000000005</v>
      </c>
      <c r="K61" s="100">
        <v>350.06</v>
      </c>
      <c r="L61" s="100">
        <v>23.68</v>
      </c>
      <c r="M61" s="100">
        <v>30.26</v>
      </c>
      <c r="N61" s="100">
        <v>468.3</v>
      </c>
      <c r="O61" s="100">
        <v>0</v>
      </c>
      <c r="P61" s="100">
        <v>0.46</v>
      </c>
      <c r="Q61" s="100">
        <v>9.32</v>
      </c>
      <c r="R61" s="6"/>
      <c r="S61" s="6"/>
      <c r="T61" s="156"/>
      <c r="U61" s="6"/>
    </row>
    <row r="62" spans="1:21" customFormat="1">
      <c r="A62" s="201" t="s">
        <v>969</v>
      </c>
      <c r="B62" s="100">
        <v>1.69</v>
      </c>
      <c r="C62" s="100">
        <v>20.76</v>
      </c>
      <c r="D62" s="100">
        <v>12.2</v>
      </c>
      <c r="E62" s="100">
        <v>9.07</v>
      </c>
      <c r="F62" s="100">
        <v>44.07</v>
      </c>
      <c r="G62" s="100">
        <v>73.290000000000006</v>
      </c>
      <c r="H62" s="100">
        <v>34.18</v>
      </c>
      <c r="I62" s="100">
        <v>5.77</v>
      </c>
      <c r="J62" s="100">
        <v>0.74</v>
      </c>
      <c r="K62" s="100">
        <v>27.79</v>
      </c>
      <c r="L62" s="100">
        <v>15.76</v>
      </c>
      <c r="M62" s="100">
        <v>12.88</v>
      </c>
      <c r="N62" s="100">
        <v>362.5</v>
      </c>
      <c r="O62" s="100">
        <v>0</v>
      </c>
      <c r="P62" s="100">
        <v>0.45</v>
      </c>
      <c r="Q62" s="100">
        <v>9.32</v>
      </c>
      <c r="R62" s="6"/>
      <c r="S62" s="6"/>
      <c r="T62" s="156"/>
      <c r="U62" s="6"/>
    </row>
    <row r="63" spans="1:21" customFormat="1">
      <c r="A63" s="201" t="s">
        <v>970</v>
      </c>
      <c r="B63" s="100">
        <v>1.73</v>
      </c>
      <c r="C63" s="100">
        <v>18.32</v>
      </c>
      <c r="D63" s="100">
        <v>10.96</v>
      </c>
      <c r="E63" s="100">
        <v>8.4</v>
      </c>
      <c r="F63" s="100">
        <v>28.96</v>
      </c>
      <c r="G63" s="100">
        <v>67.349999999999994</v>
      </c>
      <c r="H63" s="100">
        <v>31.52</v>
      </c>
      <c r="I63" s="100">
        <v>4.9400000000000004</v>
      </c>
      <c r="J63" s="100">
        <v>0.38</v>
      </c>
      <c r="K63" s="100">
        <v>343.84</v>
      </c>
      <c r="L63" s="100">
        <v>24.45</v>
      </c>
      <c r="M63" s="100">
        <v>32.979999999999997</v>
      </c>
      <c r="N63" s="100">
        <v>433</v>
      </c>
      <c r="O63" s="100">
        <v>0</v>
      </c>
      <c r="P63" s="100">
        <v>0.43</v>
      </c>
      <c r="Q63" s="100">
        <v>9.32</v>
      </c>
      <c r="R63" s="6"/>
      <c r="S63" s="6"/>
      <c r="T63" s="156"/>
      <c r="U63" s="6"/>
    </row>
    <row r="64" spans="1:21" customFormat="1">
      <c r="A64" s="201" t="s">
        <v>971</v>
      </c>
      <c r="B64" s="100">
        <v>1.87</v>
      </c>
      <c r="C64" s="100">
        <v>15.94</v>
      </c>
      <c r="D64" s="100">
        <v>9.83</v>
      </c>
      <c r="E64" s="100">
        <v>8.5399999999999991</v>
      </c>
      <c r="F64" s="100">
        <v>22.51</v>
      </c>
      <c r="G64" s="100">
        <v>67.349999999999994</v>
      </c>
      <c r="H64" s="100">
        <v>31.52</v>
      </c>
      <c r="I64" s="100">
        <v>4.17</v>
      </c>
      <c r="J64" s="100">
        <v>0.32</v>
      </c>
      <c r="K64" s="100">
        <v>359.99</v>
      </c>
      <c r="L64" s="100">
        <v>18.16</v>
      </c>
      <c r="M64" s="100">
        <v>21.89</v>
      </c>
      <c r="N64" s="100">
        <v>233.6</v>
      </c>
      <c r="O64" s="100">
        <v>0</v>
      </c>
      <c r="P64" s="100">
        <v>0.43</v>
      </c>
      <c r="Q64" s="100">
        <v>9.32</v>
      </c>
      <c r="R64" s="6"/>
      <c r="S64" s="6"/>
      <c r="T64" s="156"/>
      <c r="U64" s="6"/>
    </row>
    <row r="65" spans="1:21" customFormat="1">
      <c r="A65" s="201" t="s">
        <v>972</v>
      </c>
      <c r="B65" s="100">
        <v>1.74</v>
      </c>
      <c r="C65" s="100">
        <v>14.59</v>
      </c>
      <c r="D65" s="100">
        <v>9.02</v>
      </c>
      <c r="E65" s="100">
        <v>8.42</v>
      </c>
      <c r="F65" s="100">
        <v>28.1</v>
      </c>
      <c r="G65" s="100">
        <v>67.349999999999994</v>
      </c>
      <c r="H65" s="100">
        <v>31.52</v>
      </c>
      <c r="I65" s="100">
        <v>4.13</v>
      </c>
      <c r="J65" s="100">
        <v>0.24</v>
      </c>
      <c r="K65" s="100">
        <v>300.63</v>
      </c>
      <c r="L65" s="100">
        <v>20.41</v>
      </c>
      <c r="M65" s="100">
        <v>30.5</v>
      </c>
      <c r="N65" s="100">
        <v>112.3</v>
      </c>
      <c r="O65" s="100">
        <v>0</v>
      </c>
      <c r="P65" s="100">
        <v>0.39</v>
      </c>
      <c r="Q65" s="100">
        <v>9.32</v>
      </c>
      <c r="R65" s="6"/>
      <c r="S65" s="6"/>
      <c r="T65" s="156"/>
      <c r="U65" s="6"/>
    </row>
    <row r="66" spans="1:21" customFormat="1">
      <c r="A66" s="201" t="s">
        <v>973</v>
      </c>
      <c r="B66" s="100">
        <v>1.75</v>
      </c>
      <c r="C66" s="100">
        <v>14.3</v>
      </c>
      <c r="D66" s="100">
        <v>8.8699999999999992</v>
      </c>
      <c r="E66" s="100">
        <v>8.44</v>
      </c>
      <c r="F66" s="100">
        <v>24.65</v>
      </c>
      <c r="G66" s="100">
        <v>65.63</v>
      </c>
      <c r="H66" s="100">
        <v>31.76</v>
      </c>
      <c r="I66" s="100">
        <v>4.1900000000000004</v>
      </c>
      <c r="J66" s="100">
        <v>0.23</v>
      </c>
      <c r="K66" s="100">
        <v>335.49</v>
      </c>
      <c r="L66" s="100">
        <v>18.489999999999998</v>
      </c>
      <c r="M66" s="100">
        <v>26.54</v>
      </c>
      <c r="N66" s="100">
        <v>70.900000000000006</v>
      </c>
      <c r="O66" s="100">
        <v>0</v>
      </c>
      <c r="P66" s="100">
        <v>0.42</v>
      </c>
      <c r="Q66" s="100">
        <v>9.32</v>
      </c>
      <c r="R66" s="6"/>
      <c r="S66" s="6"/>
      <c r="T66" s="156"/>
      <c r="U66" s="6"/>
    </row>
    <row r="67" spans="1:21" customFormat="1">
      <c r="A67" s="201" t="s">
        <v>974</v>
      </c>
      <c r="B67" s="100">
        <v>1.99</v>
      </c>
      <c r="C67" s="100">
        <v>16.309999999999999</v>
      </c>
      <c r="D67" s="100">
        <v>10.119999999999999</v>
      </c>
      <c r="E67" s="100">
        <v>8.49</v>
      </c>
      <c r="F67" s="100">
        <v>17.29</v>
      </c>
      <c r="G67" s="100">
        <v>63.49</v>
      </c>
      <c r="H67" s="100">
        <v>31.92</v>
      </c>
      <c r="I67" s="100">
        <v>4.17</v>
      </c>
      <c r="J67" s="100">
        <v>0.5</v>
      </c>
      <c r="K67" s="100">
        <v>27.55</v>
      </c>
      <c r="L67" s="100">
        <v>12.14</v>
      </c>
      <c r="M67" s="100">
        <v>11</v>
      </c>
      <c r="N67" s="100">
        <v>50.6</v>
      </c>
      <c r="O67" s="100">
        <v>0</v>
      </c>
      <c r="P67" s="100">
        <v>0.43</v>
      </c>
      <c r="Q67" s="100">
        <v>9.32</v>
      </c>
      <c r="R67" s="6"/>
      <c r="S67" s="6"/>
      <c r="T67" s="156"/>
      <c r="U67" s="6"/>
    </row>
    <row r="68" spans="1:21" customFormat="1">
      <c r="A68" s="201" t="s">
        <v>975</v>
      </c>
      <c r="B68" s="100">
        <v>1.83</v>
      </c>
      <c r="C68" s="100">
        <v>16.329999999999998</v>
      </c>
      <c r="D68" s="100">
        <v>10</v>
      </c>
      <c r="E68" s="100">
        <v>7.73</v>
      </c>
      <c r="F68" s="100">
        <v>16.32</v>
      </c>
      <c r="G68" s="100">
        <v>63.49</v>
      </c>
      <c r="H68" s="100">
        <v>31.92</v>
      </c>
      <c r="I68" s="100">
        <v>4.2300000000000004</v>
      </c>
      <c r="J68" s="100">
        <v>0.49</v>
      </c>
      <c r="K68" s="100">
        <v>33.53</v>
      </c>
      <c r="L68" s="100">
        <v>11.18</v>
      </c>
      <c r="M68" s="100">
        <v>8.75</v>
      </c>
      <c r="N68" s="100">
        <v>44.1</v>
      </c>
      <c r="O68" s="100">
        <v>0</v>
      </c>
      <c r="P68" s="100">
        <v>0.44</v>
      </c>
      <c r="Q68" s="100">
        <v>9.32</v>
      </c>
      <c r="R68" s="6"/>
      <c r="S68" s="6"/>
      <c r="T68" s="156"/>
      <c r="U68" s="6"/>
    </row>
    <row r="69" spans="1:21" customFormat="1">
      <c r="A69" s="201" t="s">
        <v>976</v>
      </c>
      <c r="B69" s="100">
        <v>2.04</v>
      </c>
      <c r="C69" s="100">
        <v>18.420000000000002</v>
      </c>
      <c r="D69" s="100">
        <v>11.26</v>
      </c>
      <c r="E69" s="100">
        <v>9.24</v>
      </c>
      <c r="F69" s="100">
        <v>32.619999999999997</v>
      </c>
      <c r="G69" s="100">
        <v>63.49</v>
      </c>
      <c r="H69" s="100">
        <v>31.92</v>
      </c>
      <c r="I69" s="100">
        <v>4.42</v>
      </c>
      <c r="J69" s="100">
        <v>0.28999999999999998</v>
      </c>
      <c r="K69" s="100">
        <v>342.94</v>
      </c>
      <c r="L69" s="100">
        <v>18.350000000000001</v>
      </c>
      <c r="M69" s="100">
        <v>26.83</v>
      </c>
      <c r="N69" s="100">
        <v>41.9</v>
      </c>
      <c r="O69" s="100">
        <v>0</v>
      </c>
      <c r="P69" s="100">
        <v>0.46</v>
      </c>
      <c r="Q69" s="100">
        <v>9.32</v>
      </c>
      <c r="R69" s="6"/>
      <c r="S69" s="6"/>
      <c r="T69" s="156"/>
      <c r="U69" s="6"/>
    </row>
    <row r="70" spans="1:21" customFormat="1">
      <c r="A70" s="201" t="s">
        <v>977</v>
      </c>
      <c r="B70" s="100">
        <v>1.74</v>
      </c>
      <c r="C70" s="100">
        <v>18.899999999999999</v>
      </c>
      <c r="D70" s="100">
        <v>11.27</v>
      </c>
      <c r="E70" s="100">
        <v>8.0299999999999994</v>
      </c>
      <c r="F70" s="100">
        <v>10.75</v>
      </c>
      <c r="G70" s="100">
        <v>61.21</v>
      </c>
      <c r="H70" s="100">
        <v>29.84</v>
      </c>
      <c r="I70" s="100">
        <v>4.6399999999999997</v>
      </c>
      <c r="J70" s="100">
        <v>0.17</v>
      </c>
      <c r="K70" s="100">
        <v>350.83</v>
      </c>
      <c r="L70" s="100">
        <v>18.510000000000002</v>
      </c>
      <c r="M70" s="100">
        <v>27.47</v>
      </c>
      <c r="N70" s="100">
        <v>34.6</v>
      </c>
      <c r="O70" s="100">
        <v>0</v>
      </c>
      <c r="P70" s="100">
        <v>0.49</v>
      </c>
      <c r="Q70" s="100">
        <v>9.32</v>
      </c>
      <c r="R70" s="6"/>
      <c r="S70" s="6"/>
      <c r="T70" s="156"/>
      <c r="U70" s="6"/>
    </row>
    <row r="71" spans="1:21" customFormat="1">
      <c r="A71" s="201" t="s">
        <v>978</v>
      </c>
      <c r="B71" s="100">
        <v>1.65</v>
      </c>
      <c r="C71" s="100">
        <v>17.309999999999999</v>
      </c>
      <c r="D71" s="100">
        <v>10.37</v>
      </c>
      <c r="E71" s="100">
        <v>7.03</v>
      </c>
      <c r="F71" s="100">
        <v>3.08</v>
      </c>
      <c r="G71" s="100">
        <v>58.35</v>
      </c>
      <c r="H71" s="100">
        <v>28.43</v>
      </c>
      <c r="I71" s="100">
        <v>4.78</v>
      </c>
      <c r="J71" s="100">
        <v>0.32</v>
      </c>
      <c r="K71" s="100">
        <v>10.28</v>
      </c>
      <c r="L71" s="100">
        <v>16.55</v>
      </c>
      <c r="M71" s="100">
        <v>23.32</v>
      </c>
      <c r="N71" s="100">
        <v>30.4</v>
      </c>
      <c r="O71" s="100">
        <v>0</v>
      </c>
      <c r="P71" s="100">
        <v>0.49</v>
      </c>
      <c r="Q71" s="100">
        <v>9.32</v>
      </c>
      <c r="R71" s="6"/>
      <c r="S71" s="6"/>
      <c r="T71" s="156"/>
      <c r="U71" s="6"/>
    </row>
    <row r="72" spans="1:21" customFormat="1">
      <c r="A72" s="201" t="s">
        <v>979</v>
      </c>
      <c r="B72" s="100">
        <v>2.02</v>
      </c>
      <c r="C72" s="100">
        <v>16.510000000000002</v>
      </c>
      <c r="D72" s="100">
        <v>10.25</v>
      </c>
      <c r="E72" s="100">
        <v>7</v>
      </c>
      <c r="F72" s="100">
        <v>3.67</v>
      </c>
      <c r="G72" s="100">
        <v>58.35</v>
      </c>
      <c r="H72" s="100">
        <v>28.43</v>
      </c>
      <c r="I72" s="100">
        <v>4.8499999999999996</v>
      </c>
      <c r="J72" s="100">
        <v>0.59</v>
      </c>
      <c r="K72" s="100">
        <v>34.35</v>
      </c>
      <c r="L72" s="100">
        <v>10.65</v>
      </c>
      <c r="M72" s="100">
        <v>7.88</v>
      </c>
      <c r="N72" s="100">
        <v>27</v>
      </c>
      <c r="O72" s="100">
        <v>0</v>
      </c>
      <c r="P72" s="100">
        <v>0.49</v>
      </c>
      <c r="Q72" s="100">
        <v>9.32</v>
      </c>
      <c r="R72" s="6"/>
      <c r="S72" s="6"/>
      <c r="T72" s="156"/>
      <c r="U72" s="6"/>
    </row>
    <row r="73" spans="1:21" customFormat="1">
      <c r="A73" s="201" t="s">
        <v>980</v>
      </c>
      <c r="B73" s="100">
        <v>2.11</v>
      </c>
      <c r="C73" s="100">
        <v>14.58</v>
      </c>
      <c r="D73" s="100">
        <v>9.31</v>
      </c>
      <c r="E73" s="100">
        <v>6.91</v>
      </c>
      <c r="F73" s="100">
        <v>2.2799999999999998</v>
      </c>
      <c r="G73" s="100">
        <v>58.35</v>
      </c>
      <c r="H73" s="100">
        <v>28.43</v>
      </c>
      <c r="I73" s="100">
        <v>5.03</v>
      </c>
      <c r="J73" s="100">
        <v>0.72</v>
      </c>
      <c r="K73" s="100">
        <v>39.479999999999997</v>
      </c>
      <c r="L73" s="100">
        <v>9.33</v>
      </c>
      <c r="M73" s="100">
        <v>5.45</v>
      </c>
      <c r="N73" s="100">
        <v>23.3</v>
      </c>
      <c r="O73" s="100">
        <v>0</v>
      </c>
      <c r="P73" s="100">
        <v>0.49</v>
      </c>
      <c r="Q73" s="100">
        <v>9.32</v>
      </c>
      <c r="R73" s="6"/>
      <c r="S73" s="6"/>
      <c r="T73" s="156"/>
      <c r="U73" s="6"/>
    </row>
    <row r="74" spans="1:21" customFormat="1">
      <c r="A74" s="201" t="s">
        <v>981</v>
      </c>
      <c r="B74" s="100">
        <v>2.44</v>
      </c>
      <c r="C74" s="100">
        <v>13.98</v>
      </c>
      <c r="D74" s="100">
        <v>9.26</v>
      </c>
      <c r="E74" s="100">
        <v>6.6</v>
      </c>
      <c r="F74" s="100">
        <v>2.59</v>
      </c>
      <c r="G74" s="100">
        <v>59.11</v>
      </c>
      <c r="H74" s="100">
        <v>28.17</v>
      </c>
      <c r="I74" s="100">
        <v>4.45</v>
      </c>
      <c r="J74" s="100">
        <v>0.61</v>
      </c>
      <c r="K74" s="100">
        <v>38.020000000000003</v>
      </c>
      <c r="L74" s="100">
        <v>8.4499999999999993</v>
      </c>
      <c r="M74" s="100">
        <v>2.58</v>
      </c>
      <c r="N74" s="100">
        <v>18.7</v>
      </c>
      <c r="O74" s="100">
        <v>0</v>
      </c>
      <c r="P74" s="100">
        <v>0.49</v>
      </c>
      <c r="Q74" s="100">
        <v>9.32</v>
      </c>
      <c r="R74" s="6"/>
      <c r="S74" s="6"/>
      <c r="T74" s="156"/>
      <c r="U74" s="6"/>
    </row>
    <row r="75" spans="1:21" customFormat="1">
      <c r="A75" s="201" t="s">
        <v>982</v>
      </c>
      <c r="B75" s="100">
        <v>2.44</v>
      </c>
      <c r="C75" s="100">
        <v>12.85</v>
      </c>
      <c r="D75" s="100">
        <v>8.67</v>
      </c>
      <c r="E75" s="100">
        <v>6.46</v>
      </c>
      <c r="F75" s="100">
        <v>2</v>
      </c>
      <c r="G75" s="100">
        <v>60.05</v>
      </c>
      <c r="H75" s="100">
        <v>28</v>
      </c>
      <c r="I75" s="100">
        <v>3.74</v>
      </c>
      <c r="J75" s="100">
        <v>0.68</v>
      </c>
      <c r="K75" s="100">
        <v>38.299999999999997</v>
      </c>
      <c r="L75" s="100">
        <v>8.36</v>
      </c>
      <c r="M75" s="100">
        <v>2.46</v>
      </c>
      <c r="N75" s="100">
        <v>14.7</v>
      </c>
      <c r="O75" s="100">
        <v>0</v>
      </c>
      <c r="P75" s="100">
        <v>0.5</v>
      </c>
      <c r="Q75" s="100">
        <v>9.32</v>
      </c>
      <c r="R75" s="6"/>
      <c r="S75" s="6"/>
      <c r="T75" s="156"/>
      <c r="U75" s="6"/>
    </row>
    <row r="76" spans="1:21" customFormat="1">
      <c r="A76" s="201" t="s">
        <v>983</v>
      </c>
      <c r="B76" s="100">
        <v>2.58</v>
      </c>
      <c r="C76" s="100">
        <v>12.42</v>
      </c>
      <c r="D76" s="100">
        <v>8.56</v>
      </c>
      <c r="E76" s="100">
        <v>6.68</v>
      </c>
      <c r="F76" s="100">
        <v>2</v>
      </c>
      <c r="G76" s="100">
        <v>60.05</v>
      </c>
      <c r="H76" s="100">
        <v>28</v>
      </c>
      <c r="I76" s="100">
        <v>4.26</v>
      </c>
      <c r="J76" s="100">
        <v>0.54</v>
      </c>
      <c r="K76" s="100">
        <v>44.23</v>
      </c>
      <c r="L76" s="100">
        <v>6.74</v>
      </c>
      <c r="M76" s="100">
        <v>-1.4</v>
      </c>
      <c r="N76" s="100">
        <v>10.3</v>
      </c>
      <c r="O76" s="100">
        <v>0</v>
      </c>
      <c r="P76" s="100">
        <v>0.52</v>
      </c>
      <c r="Q76" s="100">
        <v>9.32</v>
      </c>
      <c r="R76" s="6"/>
      <c r="S76" s="6"/>
      <c r="T76" s="156"/>
      <c r="U76" s="6"/>
    </row>
    <row r="77" spans="1:21" customFormat="1">
      <c r="A77" s="201" t="s">
        <v>984</v>
      </c>
      <c r="B77" s="100">
        <v>2.82</v>
      </c>
      <c r="C77" s="100">
        <v>12.05</v>
      </c>
      <c r="D77" s="100">
        <v>8.56</v>
      </c>
      <c r="E77" s="100">
        <v>6.36</v>
      </c>
      <c r="F77" s="100">
        <v>2</v>
      </c>
      <c r="G77" s="100">
        <v>60.05</v>
      </c>
      <c r="H77" s="100">
        <v>28</v>
      </c>
      <c r="I77" s="100">
        <v>4.99</v>
      </c>
      <c r="J77" s="100">
        <v>0.45</v>
      </c>
      <c r="K77" s="100">
        <v>42.99</v>
      </c>
      <c r="L77" s="100">
        <v>6.36</v>
      </c>
      <c r="M77" s="100">
        <v>-2.2599999999999998</v>
      </c>
      <c r="N77" s="100">
        <v>6.2</v>
      </c>
      <c r="O77" s="100">
        <v>0</v>
      </c>
      <c r="P77" s="100">
        <v>0.51</v>
      </c>
      <c r="Q77" s="100">
        <v>9.32</v>
      </c>
      <c r="R77" s="6"/>
      <c r="S77" s="6"/>
      <c r="T77" s="156"/>
      <c r="U77" s="6"/>
    </row>
    <row r="78" spans="1:21" customFormat="1">
      <c r="A78" s="201" t="s">
        <v>985</v>
      </c>
      <c r="B78" s="100">
        <v>3.33</v>
      </c>
      <c r="C78" s="100">
        <v>13.07</v>
      </c>
      <c r="D78" s="100">
        <v>9.5</v>
      </c>
      <c r="E78" s="100">
        <v>6.61</v>
      </c>
      <c r="F78" s="100">
        <v>2</v>
      </c>
      <c r="G78" s="100">
        <v>65.55</v>
      </c>
      <c r="H78" s="100">
        <v>29.49</v>
      </c>
      <c r="I78" s="100">
        <v>5.26</v>
      </c>
      <c r="J78" s="100">
        <v>0.25</v>
      </c>
      <c r="K78" s="100">
        <v>49.1</v>
      </c>
      <c r="L78" s="100">
        <v>7.64</v>
      </c>
      <c r="M78" s="100">
        <v>1.03</v>
      </c>
      <c r="N78" s="100">
        <v>3.5</v>
      </c>
      <c r="O78" s="100">
        <v>0</v>
      </c>
      <c r="P78" s="100">
        <v>0.55000000000000004</v>
      </c>
      <c r="Q78" s="100">
        <v>9.32</v>
      </c>
      <c r="R78" s="6"/>
      <c r="S78" s="6"/>
      <c r="T78" s="156"/>
      <c r="U78" s="6"/>
    </row>
    <row r="79" spans="1:21" customFormat="1">
      <c r="A79" s="201" t="s">
        <v>986</v>
      </c>
      <c r="B79" s="100">
        <v>3.65</v>
      </c>
      <c r="C79" s="100">
        <v>12.67</v>
      </c>
      <c r="D79" s="100">
        <v>9.5500000000000007</v>
      </c>
      <c r="E79" s="100">
        <v>6.69</v>
      </c>
      <c r="F79" s="100">
        <v>2</v>
      </c>
      <c r="G79" s="100">
        <v>72.430000000000007</v>
      </c>
      <c r="H79" s="100">
        <v>30.5</v>
      </c>
      <c r="I79" s="100">
        <v>5.65</v>
      </c>
      <c r="J79" s="100">
        <v>0.21</v>
      </c>
      <c r="K79" s="100">
        <v>69.8</v>
      </c>
      <c r="L79" s="100">
        <v>8.99</v>
      </c>
      <c r="M79" s="100">
        <v>4.5</v>
      </c>
      <c r="N79" s="100">
        <v>2.7</v>
      </c>
      <c r="O79" s="100">
        <v>0</v>
      </c>
      <c r="P79" s="100">
        <v>0.55000000000000004</v>
      </c>
      <c r="Q79" s="100">
        <v>9.32</v>
      </c>
      <c r="R79" s="6"/>
      <c r="S79" s="6"/>
      <c r="T79" s="156"/>
      <c r="U79" s="6"/>
    </row>
    <row r="80" spans="1:21" customFormat="1">
      <c r="A80" s="201" t="s">
        <v>987</v>
      </c>
      <c r="B80" s="100">
        <v>3.95</v>
      </c>
      <c r="C80" s="100">
        <v>12.51</v>
      </c>
      <c r="D80" s="100">
        <v>9.6999999999999993</v>
      </c>
      <c r="E80" s="100">
        <v>6.35</v>
      </c>
      <c r="F80" s="100">
        <v>2</v>
      </c>
      <c r="G80" s="100">
        <v>72.430000000000007</v>
      </c>
      <c r="H80" s="100">
        <v>30.5</v>
      </c>
      <c r="I80" s="100">
        <v>5.95</v>
      </c>
      <c r="J80" s="100">
        <v>0.21</v>
      </c>
      <c r="K80" s="100">
        <v>151.63999999999999</v>
      </c>
      <c r="L80" s="100">
        <v>14.42</v>
      </c>
      <c r="M80" s="100">
        <v>18.260000000000002</v>
      </c>
      <c r="N80" s="100">
        <v>2.8</v>
      </c>
      <c r="O80" s="100">
        <v>0</v>
      </c>
      <c r="P80" s="100">
        <v>0.56000000000000005</v>
      </c>
      <c r="Q80" s="100">
        <v>9.32</v>
      </c>
      <c r="R80" s="6"/>
      <c r="S80" s="6"/>
      <c r="T80" s="156"/>
      <c r="U80" s="6"/>
    </row>
    <row r="81" spans="1:21" customFormat="1">
      <c r="A81" s="201" t="s">
        <v>988</v>
      </c>
      <c r="B81" s="100">
        <v>4.24</v>
      </c>
      <c r="C81" s="100">
        <v>12.52</v>
      </c>
      <c r="D81" s="100">
        <v>9.94</v>
      </c>
      <c r="E81" s="100">
        <v>3.5</v>
      </c>
      <c r="F81" s="100">
        <v>2</v>
      </c>
      <c r="G81" s="100">
        <v>72.430000000000007</v>
      </c>
      <c r="H81" s="100">
        <v>30.5</v>
      </c>
      <c r="I81" s="100">
        <v>6.05</v>
      </c>
      <c r="J81" s="100">
        <v>0.14000000000000001</v>
      </c>
      <c r="K81" s="100">
        <v>94.43</v>
      </c>
      <c r="L81" s="100">
        <v>12.14</v>
      </c>
      <c r="M81" s="100">
        <v>12.42</v>
      </c>
      <c r="N81" s="100">
        <v>2.2999999999999998</v>
      </c>
      <c r="O81" s="100">
        <v>0</v>
      </c>
      <c r="P81" s="100">
        <v>0.56000000000000005</v>
      </c>
      <c r="Q81" s="100">
        <v>9.32</v>
      </c>
      <c r="R81" s="6"/>
      <c r="S81" s="6"/>
      <c r="T81" s="156"/>
      <c r="U81" s="6"/>
    </row>
    <row r="82" spans="1:21" customFormat="1">
      <c r="A82" s="201" t="s">
        <v>989</v>
      </c>
      <c r="B82" s="100">
        <v>4.58</v>
      </c>
      <c r="C82" s="100">
        <v>12.33</v>
      </c>
      <c r="D82" s="100">
        <v>10.119999999999999</v>
      </c>
      <c r="E82" s="100">
        <v>4.1500000000000004</v>
      </c>
      <c r="F82" s="100">
        <v>2</v>
      </c>
      <c r="G82" s="100">
        <v>78.11</v>
      </c>
      <c r="H82" s="100">
        <v>32.590000000000003</v>
      </c>
      <c r="I82" s="100">
        <v>6.16</v>
      </c>
      <c r="J82" s="100">
        <v>0.24</v>
      </c>
      <c r="K82" s="100">
        <v>58.53</v>
      </c>
      <c r="L82" s="100">
        <v>8.91</v>
      </c>
      <c r="M82" s="100">
        <v>4.2699999999999996</v>
      </c>
      <c r="N82" s="100">
        <v>2.1</v>
      </c>
      <c r="O82" s="100">
        <v>0</v>
      </c>
      <c r="P82" s="100">
        <v>0.57999999999999996</v>
      </c>
      <c r="Q82" s="100">
        <v>9.32</v>
      </c>
      <c r="R82" s="6"/>
      <c r="S82" s="6"/>
      <c r="T82" s="156"/>
      <c r="U82" s="6"/>
    </row>
    <row r="83" spans="1:21" customFormat="1">
      <c r="A83" s="201" t="s">
        <v>990</v>
      </c>
      <c r="B83" s="100">
        <v>4.97</v>
      </c>
      <c r="C83" s="100">
        <v>12.2</v>
      </c>
      <c r="D83" s="100">
        <v>10.36</v>
      </c>
      <c r="E83" s="100">
        <v>3.87</v>
      </c>
      <c r="F83" s="100">
        <v>2</v>
      </c>
      <c r="G83" s="100">
        <v>85.21</v>
      </c>
      <c r="H83" s="100">
        <v>34</v>
      </c>
      <c r="I83" s="100">
        <v>6.24</v>
      </c>
      <c r="J83" s="100">
        <v>0.13</v>
      </c>
      <c r="K83" s="100">
        <v>113.43</v>
      </c>
      <c r="L83" s="100">
        <v>12.73</v>
      </c>
      <c r="M83" s="100">
        <v>13.79</v>
      </c>
      <c r="N83" s="100">
        <v>2.2999999999999998</v>
      </c>
      <c r="O83" s="100">
        <v>0</v>
      </c>
      <c r="P83" s="100">
        <v>0.57999999999999996</v>
      </c>
      <c r="Q83" s="100">
        <v>9.32</v>
      </c>
      <c r="R83" s="6"/>
      <c r="S83" s="6"/>
      <c r="T83" s="156"/>
      <c r="U83" s="6"/>
    </row>
    <row r="84" spans="1:21" customFormat="1">
      <c r="A84" s="201" t="s">
        <v>991</v>
      </c>
      <c r="B84" s="100">
        <v>5.27</v>
      </c>
      <c r="C84" s="100">
        <v>12.07</v>
      </c>
      <c r="D84" s="100">
        <v>10.53</v>
      </c>
      <c r="E84" s="100">
        <v>4.17</v>
      </c>
      <c r="F84" s="100">
        <v>2</v>
      </c>
      <c r="G84" s="100">
        <v>85.21</v>
      </c>
      <c r="H84" s="100">
        <v>34</v>
      </c>
      <c r="I84" s="100">
        <v>6.36</v>
      </c>
      <c r="J84" s="100">
        <v>0.31</v>
      </c>
      <c r="K84" s="100">
        <v>160.32</v>
      </c>
      <c r="L84" s="100">
        <v>15.81</v>
      </c>
      <c r="M84" s="100">
        <v>21.67</v>
      </c>
      <c r="N84" s="100">
        <v>2.4</v>
      </c>
      <c r="O84" s="100">
        <v>0</v>
      </c>
      <c r="P84" s="100">
        <v>0.59</v>
      </c>
      <c r="Q84" s="100">
        <v>9.32</v>
      </c>
      <c r="R84" s="6"/>
      <c r="S84" s="6"/>
      <c r="T84" s="156"/>
      <c r="U84" s="6"/>
    </row>
    <row r="85" spans="1:21" customFormat="1">
      <c r="A85" s="201" t="s">
        <v>992</v>
      </c>
      <c r="B85" s="100">
        <v>5.47</v>
      </c>
      <c r="C85" s="100">
        <v>12.01</v>
      </c>
      <c r="D85" s="100">
        <v>10.66</v>
      </c>
      <c r="E85" s="100">
        <v>4.55</v>
      </c>
      <c r="F85" s="100">
        <v>2</v>
      </c>
      <c r="G85" s="100">
        <v>85.21</v>
      </c>
      <c r="H85" s="100">
        <v>34</v>
      </c>
      <c r="I85" s="100">
        <v>6.53</v>
      </c>
      <c r="J85" s="100">
        <v>0.25</v>
      </c>
      <c r="K85" s="100">
        <v>40.68</v>
      </c>
      <c r="L85" s="100">
        <v>10.119999999999999</v>
      </c>
      <c r="M85" s="100">
        <v>7.22</v>
      </c>
      <c r="N85" s="100">
        <v>1.6</v>
      </c>
      <c r="O85" s="100">
        <v>0</v>
      </c>
      <c r="P85" s="100">
        <v>0.6</v>
      </c>
      <c r="Q85" s="100">
        <v>9.32</v>
      </c>
      <c r="R85" s="6"/>
      <c r="S85" s="6"/>
      <c r="T85" s="156"/>
      <c r="U85" s="6"/>
    </row>
    <row r="86" spans="1:21" customFormat="1">
      <c r="A86" s="201" t="s">
        <v>993</v>
      </c>
      <c r="B86" s="100">
        <v>6.15</v>
      </c>
      <c r="C86" s="100">
        <v>12.37</v>
      </c>
      <c r="D86" s="100">
        <v>11.39</v>
      </c>
      <c r="E86" s="100">
        <v>4.4400000000000004</v>
      </c>
      <c r="F86" s="100">
        <v>2</v>
      </c>
      <c r="G86" s="100">
        <v>87.63</v>
      </c>
      <c r="H86" s="100">
        <v>33.840000000000003</v>
      </c>
      <c r="I86" s="100">
        <v>6.79</v>
      </c>
      <c r="J86" s="100">
        <v>0.19</v>
      </c>
      <c r="K86" s="100">
        <v>53.19</v>
      </c>
      <c r="L86" s="100">
        <v>13.03</v>
      </c>
      <c r="M86" s="100">
        <v>14.45</v>
      </c>
      <c r="N86" s="100">
        <v>1.9</v>
      </c>
      <c r="O86" s="100">
        <v>0</v>
      </c>
      <c r="P86" s="100">
        <v>0.62</v>
      </c>
      <c r="Q86" s="100">
        <v>9.32</v>
      </c>
      <c r="R86" s="6"/>
      <c r="S86" s="6"/>
      <c r="T86" s="156"/>
      <c r="U86" s="6"/>
    </row>
    <row r="87" spans="1:21" customFormat="1">
      <c r="A87" s="201" t="s">
        <v>994</v>
      </c>
      <c r="B87" s="100">
        <v>6.3</v>
      </c>
      <c r="C87" s="100">
        <v>12.21</v>
      </c>
      <c r="D87" s="100">
        <v>11.43</v>
      </c>
      <c r="E87" s="100">
        <v>4.6399999999999997</v>
      </c>
      <c r="F87" s="100">
        <v>2</v>
      </c>
      <c r="G87" s="100">
        <v>90.66</v>
      </c>
      <c r="H87" s="100">
        <v>33.58</v>
      </c>
      <c r="I87" s="100">
        <v>7.1</v>
      </c>
      <c r="J87" s="100">
        <v>0.18</v>
      </c>
      <c r="K87" s="100">
        <v>69.97</v>
      </c>
      <c r="L87" s="100">
        <v>11.28</v>
      </c>
      <c r="M87" s="100">
        <v>10.01</v>
      </c>
      <c r="N87" s="100">
        <v>2.1</v>
      </c>
      <c r="O87" s="100">
        <v>0</v>
      </c>
      <c r="P87" s="100">
        <v>0.62</v>
      </c>
      <c r="Q87" s="100">
        <v>9.32</v>
      </c>
      <c r="R87" s="6"/>
      <c r="S87" s="6"/>
      <c r="T87" s="156"/>
      <c r="U87" s="6"/>
    </row>
    <row r="88" spans="1:21" customFormat="1">
      <c r="A88" s="201" t="s">
        <v>995</v>
      </c>
      <c r="B88" s="100">
        <v>6.44</v>
      </c>
      <c r="C88" s="100">
        <v>11.96</v>
      </c>
      <c r="D88" s="100">
        <v>11.41</v>
      </c>
      <c r="E88" s="100">
        <v>4.33</v>
      </c>
      <c r="F88" s="100">
        <v>2</v>
      </c>
      <c r="G88" s="100">
        <v>90.66</v>
      </c>
      <c r="H88" s="100">
        <v>33.58</v>
      </c>
      <c r="I88" s="100">
        <v>7.3</v>
      </c>
      <c r="J88" s="100">
        <v>0.16</v>
      </c>
      <c r="K88" s="100">
        <v>149.26</v>
      </c>
      <c r="L88" s="100">
        <v>14.95</v>
      </c>
      <c r="M88" s="100">
        <v>19.420000000000002</v>
      </c>
      <c r="N88" s="100">
        <v>2.4</v>
      </c>
      <c r="O88" s="100">
        <v>0</v>
      </c>
      <c r="P88" s="100">
        <v>0.64</v>
      </c>
      <c r="Q88" s="100">
        <v>9.32</v>
      </c>
      <c r="R88" s="6"/>
      <c r="S88" s="6"/>
      <c r="T88" s="156"/>
      <c r="U88" s="6"/>
    </row>
    <row r="89" spans="1:21" customFormat="1">
      <c r="A89" s="201" t="s">
        <v>996</v>
      </c>
      <c r="B89" s="100">
        <v>6.48</v>
      </c>
      <c r="C89" s="100">
        <v>11.73</v>
      </c>
      <c r="D89" s="100">
        <v>11.33</v>
      </c>
      <c r="E89" s="100">
        <v>4.43</v>
      </c>
      <c r="F89" s="100">
        <v>2</v>
      </c>
      <c r="G89" s="100">
        <v>90.66</v>
      </c>
      <c r="H89" s="100">
        <v>33.58</v>
      </c>
      <c r="I89" s="100">
        <v>7.46</v>
      </c>
      <c r="J89" s="100">
        <v>0.21</v>
      </c>
      <c r="K89" s="100">
        <v>148.82</v>
      </c>
      <c r="L89" s="100">
        <v>14.36</v>
      </c>
      <c r="M89" s="100">
        <v>17.899999999999999</v>
      </c>
      <c r="N89" s="100">
        <v>2.2999999999999998</v>
      </c>
      <c r="O89" s="100">
        <v>0</v>
      </c>
      <c r="P89" s="100">
        <v>0.65</v>
      </c>
      <c r="Q89" s="100">
        <v>9.32</v>
      </c>
      <c r="R89" s="6"/>
      <c r="S89" s="6"/>
      <c r="T89" s="156"/>
      <c r="U89" s="6"/>
    </row>
    <row r="90" spans="1:21" customFormat="1">
      <c r="A90" s="201" t="s">
        <v>997</v>
      </c>
      <c r="B90" s="100">
        <v>6.47</v>
      </c>
      <c r="C90" s="100">
        <v>11.81</v>
      </c>
      <c r="D90" s="100">
        <v>11.35</v>
      </c>
      <c r="E90" s="100">
        <v>4.63</v>
      </c>
      <c r="F90" s="100">
        <v>2</v>
      </c>
      <c r="G90" s="100">
        <v>89.42</v>
      </c>
      <c r="H90" s="100">
        <v>35.340000000000003</v>
      </c>
      <c r="I90" s="100">
        <v>7.59</v>
      </c>
      <c r="J90" s="100">
        <v>0.13</v>
      </c>
      <c r="K90" s="100">
        <v>142.72</v>
      </c>
      <c r="L90" s="100">
        <v>14.42</v>
      </c>
      <c r="M90" s="100">
        <v>18.190000000000001</v>
      </c>
      <c r="N90" s="100">
        <v>2.1</v>
      </c>
      <c r="O90" s="100">
        <v>0</v>
      </c>
      <c r="P90" s="100">
        <v>0.66</v>
      </c>
      <c r="Q90" s="100">
        <v>9.32</v>
      </c>
      <c r="R90" s="6"/>
      <c r="S90" s="6"/>
      <c r="T90" s="156"/>
      <c r="U90" s="6"/>
    </row>
    <row r="91" spans="1:21" customFormat="1">
      <c r="A91" s="201" t="s">
        <v>998</v>
      </c>
      <c r="B91" s="100">
        <v>6.45</v>
      </c>
      <c r="C91" s="100">
        <v>11.6</v>
      </c>
      <c r="D91" s="100">
        <v>11.23</v>
      </c>
      <c r="E91" s="100">
        <v>4.78</v>
      </c>
      <c r="F91" s="100">
        <v>2</v>
      </c>
      <c r="G91" s="100">
        <v>87.93</v>
      </c>
      <c r="H91" s="100">
        <v>36.53</v>
      </c>
      <c r="I91" s="100">
        <v>7.74</v>
      </c>
      <c r="J91" s="100">
        <v>0.15</v>
      </c>
      <c r="K91" s="100">
        <v>175.35</v>
      </c>
      <c r="L91" s="100">
        <v>16.690000000000001</v>
      </c>
      <c r="M91" s="100">
        <v>23.77</v>
      </c>
      <c r="N91" s="100">
        <v>2.2999999999999998</v>
      </c>
      <c r="O91" s="100">
        <v>0</v>
      </c>
      <c r="P91" s="100">
        <v>0.67</v>
      </c>
      <c r="Q91" s="100">
        <v>9.32</v>
      </c>
      <c r="R91" s="6"/>
      <c r="S91" s="6"/>
      <c r="T91" s="156"/>
      <c r="U91" s="6"/>
    </row>
    <row r="92" spans="1:21" customFormat="1">
      <c r="A92" s="201" t="s">
        <v>999</v>
      </c>
      <c r="B92" s="100">
        <v>6.42</v>
      </c>
      <c r="C92" s="100">
        <v>11.24</v>
      </c>
      <c r="D92" s="100">
        <v>11.02</v>
      </c>
      <c r="E92" s="100">
        <v>4.76</v>
      </c>
      <c r="F92" s="100">
        <v>2</v>
      </c>
      <c r="G92" s="100">
        <v>87.93</v>
      </c>
      <c r="H92" s="100">
        <v>36.53</v>
      </c>
      <c r="I92" s="100">
        <v>7.88</v>
      </c>
      <c r="J92" s="100">
        <v>0.19</v>
      </c>
      <c r="K92" s="100">
        <v>193.53</v>
      </c>
      <c r="L92" s="100">
        <v>18.27</v>
      </c>
      <c r="M92" s="100">
        <v>27.79</v>
      </c>
      <c r="N92" s="100">
        <v>2.2999999999999998</v>
      </c>
      <c r="O92" s="100">
        <v>0</v>
      </c>
      <c r="P92" s="100">
        <v>0.67</v>
      </c>
      <c r="Q92" s="100">
        <v>9.32</v>
      </c>
      <c r="R92" s="6"/>
      <c r="S92" s="6"/>
      <c r="T92" s="156"/>
      <c r="U92" s="6"/>
    </row>
    <row r="93" spans="1:21" customFormat="1">
      <c r="A93" s="201" t="s">
        <v>1000</v>
      </c>
      <c r="B93" s="100">
        <v>6.3</v>
      </c>
      <c r="C93" s="100">
        <v>10.86</v>
      </c>
      <c r="D93" s="100">
        <v>10.73</v>
      </c>
      <c r="E93" s="100">
        <v>4.9000000000000004</v>
      </c>
      <c r="F93" s="100">
        <v>2</v>
      </c>
      <c r="G93" s="100">
        <v>87.93</v>
      </c>
      <c r="H93" s="100">
        <v>36.53</v>
      </c>
      <c r="I93" s="100">
        <v>7.99</v>
      </c>
      <c r="J93" s="100">
        <v>0.19</v>
      </c>
      <c r="K93" s="100">
        <v>215.04</v>
      </c>
      <c r="L93" s="100">
        <v>20.43</v>
      </c>
      <c r="M93" s="100">
        <v>33.21</v>
      </c>
      <c r="N93" s="100">
        <v>2.2999999999999998</v>
      </c>
      <c r="O93" s="100">
        <v>0</v>
      </c>
      <c r="P93" s="100">
        <v>0.67</v>
      </c>
      <c r="Q93" s="100">
        <v>9.32</v>
      </c>
      <c r="R93" s="6"/>
      <c r="S93" s="6"/>
      <c r="T93" s="156"/>
      <c r="U93" s="6"/>
    </row>
    <row r="94" spans="1:21" customFormat="1">
      <c r="A94" s="201" t="s">
        <v>1001</v>
      </c>
      <c r="B94" s="100">
        <v>6.22</v>
      </c>
      <c r="C94" s="100">
        <v>10.56</v>
      </c>
      <c r="D94" s="100">
        <v>10.5</v>
      </c>
      <c r="E94" s="100">
        <v>4.72</v>
      </c>
      <c r="F94" s="100">
        <v>2</v>
      </c>
      <c r="G94" s="100">
        <v>88.89</v>
      </c>
      <c r="H94" s="100">
        <v>36.700000000000003</v>
      </c>
      <c r="I94" s="100">
        <v>8.1</v>
      </c>
      <c r="J94" s="100">
        <v>0.21</v>
      </c>
      <c r="K94" s="100">
        <v>191.82</v>
      </c>
      <c r="L94" s="100">
        <v>17.87</v>
      </c>
      <c r="M94" s="100">
        <v>26.8</v>
      </c>
      <c r="N94" s="100">
        <v>1.9</v>
      </c>
      <c r="O94" s="100">
        <v>0</v>
      </c>
      <c r="P94" s="100">
        <v>0.68</v>
      </c>
      <c r="Q94" s="100">
        <v>9.32</v>
      </c>
      <c r="R94" s="6"/>
      <c r="S94" s="6"/>
      <c r="T94" s="156"/>
      <c r="U94" s="6"/>
    </row>
    <row r="95" spans="1:21" customFormat="1">
      <c r="A95" s="201" t="s">
        <v>1002</v>
      </c>
      <c r="B95" s="100">
        <v>6.3</v>
      </c>
      <c r="C95" s="100">
        <v>10.36</v>
      </c>
      <c r="D95" s="100">
        <v>10.46</v>
      </c>
      <c r="E95" s="100">
        <v>4.8499999999999996</v>
      </c>
      <c r="F95" s="100">
        <v>2</v>
      </c>
      <c r="G95" s="100">
        <v>90.03</v>
      </c>
      <c r="H95" s="100">
        <v>36.82</v>
      </c>
      <c r="I95" s="100">
        <v>8.17</v>
      </c>
      <c r="J95" s="100">
        <v>0.14000000000000001</v>
      </c>
      <c r="K95" s="100">
        <v>274.82</v>
      </c>
      <c r="L95" s="100">
        <v>22.77</v>
      </c>
      <c r="M95" s="100">
        <v>38.82</v>
      </c>
      <c r="N95" s="100">
        <v>1.7</v>
      </c>
      <c r="O95" s="100">
        <v>0</v>
      </c>
      <c r="P95" s="100">
        <v>0.69</v>
      </c>
      <c r="Q95" s="100">
        <v>9.32</v>
      </c>
      <c r="R95" s="6"/>
      <c r="S95" s="6"/>
      <c r="T95" s="156"/>
      <c r="U95" s="6"/>
    </row>
    <row r="96" spans="1:21" customFormat="1">
      <c r="A96" s="201" t="s">
        <v>1003</v>
      </c>
      <c r="B96" s="100">
        <v>6.84</v>
      </c>
      <c r="C96" s="100">
        <v>10.6</v>
      </c>
      <c r="D96" s="100">
        <v>11.02</v>
      </c>
      <c r="E96" s="100">
        <v>5.14</v>
      </c>
      <c r="F96" s="100">
        <v>2</v>
      </c>
      <c r="G96" s="100">
        <v>90.03</v>
      </c>
      <c r="H96" s="100">
        <v>36.82</v>
      </c>
      <c r="I96" s="100">
        <v>8.24</v>
      </c>
      <c r="J96" s="100">
        <v>0.09</v>
      </c>
      <c r="K96" s="100">
        <v>194.9</v>
      </c>
      <c r="L96" s="100">
        <v>18.350000000000001</v>
      </c>
      <c r="M96" s="100">
        <v>27.92</v>
      </c>
      <c r="N96" s="100">
        <v>1.5</v>
      </c>
      <c r="O96" s="100">
        <v>0</v>
      </c>
      <c r="P96" s="100">
        <v>0.7</v>
      </c>
      <c r="Q96" s="100">
        <v>9.32</v>
      </c>
      <c r="R96" s="6"/>
      <c r="S96" s="6"/>
      <c r="T96" s="156"/>
      <c r="U96" s="6"/>
    </row>
    <row r="97" spans="1:28" customFormat="1">
      <c r="A97" s="201" t="s">
        <v>1004</v>
      </c>
      <c r="B97" s="100">
        <v>7.43</v>
      </c>
      <c r="C97" s="100">
        <v>10.99</v>
      </c>
      <c r="D97" s="100">
        <v>11.7</v>
      </c>
      <c r="E97" s="100">
        <v>5.38</v>
      </c>
      <c r="F97" s="100">
        <v>2</v>
      </c>
      <c r="G97" s="100">
        <v>90.03</v>
      </c>
      <c r="H97" s="100">
        <v>36.82</v>
      </c>
      <c r="I97" s="100">
        <v>8.6199999999999992</v>
      </c>
      <c r="J97" s="100">
        <v>0.1</v>
      </c>
      <c r="K97" s="100">
        <v>171.65</v>
      </c>
      <c r="L97" s="100">
        <v>15.7</v>
      </c>
      <c r="M97" s="100">
        <v>21.37</v>
      </c>
      <c r="N97" s="100">
        <v>1.9</v>
      </c>
      <c r="O97" s="100">
        <v>0</v>
      </c>
      <c r="P97" s="100">
        <v>0.72</v>
      </c>
      <c r="Q97" s="100">
        <v>9.32</v>
      </c>
      <c r="R97" s="6"/>
      <c r="S97" s="6"/>
      <c r="T97" s="156"/>
      <c r="U97" s="6"/>
    </row>
    <row r="98" spans="1:28" customFormat="1">
      <c r="A98" s="201" t="s">
        <v>1005</v>
      </c>
      <c r="B98" s="100">
        <v>8.2100000000000009</v>
      </c>
      <c r="C98" s="100">
        <v>11.22</v>
      </c>
      <c r="D98" s="100">
        <v>12.45</v>
      </c>
      <c r="E98" s="100">
        <v>5.31</v>
      </c>
      <c r="F98" s="100">
        <v>2</v>
      </c>
      <c r="G98" s="100">
        <v>94.94</v>
      </c>
      <c r="H98" s="100">
        <v>37.18</v>
      </c>
      <c r="I98" s="100">
        <v>9.33</v>
      </c>
      <c r="J98" s="100">
        <v>0.32</v>
      </c>
      <c r="K98" s="100">
        <v>36.880000000000003</v>
      </c>
      <c r="L98" s="100">
        <v>8.98</v>
      </c>
      <c r="M98" s="100">
        <v>4.28</v>
      </c>
      <c r="N98" s="100">
        <v>1.4</v>
      </c>
      <c r="O98" s="100">
        <v>0</v>
      </c>
      <c r="P98" s="100">
        <v>0.74</v>
      </c>
      <c r="Q98" s="100">
        <v>9.32</v>
      </c>
      <c r="R98" s="6"/>
      <c r="S98" s="6"/>
      <c r="T98" s="156"/>
      <c r="U98" s="6"/>
    </row>
    <row r="99" spans="1:28" customFormat="1">
      <c r="A99" s="201" t="s">
        <v>1006</v>
      </c>
      <c r="B99" s="100">
        <v>9.17</v>
      </c>
      <c r="C99" s="100">
        <v>11.29</v>
      </c>
      <c r="D99" s="100">
        <v>13.26</v>
      </c>
      <c r="E99" s="100">
        <v>5.25</v>
      </c>
      <c r="F99" s="100">
        <v>2</v>
      </c>
      <c r="G99" s="100">
        <v>100.79</v>
      </c>
      <c r="H99" s="100">
        <v>37.42</v>
      </c>
      <c r="I99" s="100">
        <v>9.94</v>
      </c>
      <c r="J99" s="100">
        <v>0.22</v>
      </c>
      <c r="K99" s="100">
        <v>48.45</v>
      </c>
      <c r="L99" s="100">
        <v>7.32</v>
      </c>
      <c r="M99" s="100">
        <v>0.2</v>
      </c>
      <c r="N99" s="100">
        <v>1.9</v>
      </c>
      <c r="O99" s="100">
        <v>0</v>
      </c>
      <c r="P99" s="100">
        <v>0.76</v>
      </c>
      <c r="Q99" s="100">
        <v>9.32</v>
      </c>
      <c r="R99" s="6"/>
      <c r="S99" s="6"/>
      <c r="T99" s="156"/>
      <c r="U99" s="6"/>
    </row>
    <row r="100" spans="1:28" customFormat="1">
      <c r="A100" s="201" t="s">
        <v>1007</v>
      </c>
      <c r="B100" s="100">
        <v>10.19</v>
      </c>
      <c r="C100" s="100">
        <v>11.43</v>
      </c>
      <c r="D100" s="100">
        <v>14.14</v>
      </c>
      <c r="E100" s="100">
        <v>5.47</v>
      </c>
      <c r="F100" s="100">
        <v>2</v>
      </c>
      <c r="G100" s="100">
        <v>100.79</v>
      </c>
      <c r="H100" s="100">
        <v>37.42</v>
      </c>
      <c r="I100" s="100">
        <v>10.3</v>
      </c>
      <c r="J100" s="100">
        <v>0.28000000000000003</v>
      </c>
      <c r="K100" s="100">
        <v>54</v>
      </c>
      <c r="L100" s="100">
        <v>8.43</v>
      </c>
      <c r="M100" s="100">
        <v>3.06</v>
      </c>
      <c r="N100" s="100">
        <v>2</v>
      </c>
      <c r="O100" s="100">
        <v>0</v>
      </c>
      <c r="P100" s="100">
        <v>0.77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1008</v>
      </c>
      <c r="B101" s="100">
        <v>11.18</v>
      </c>
      <c r="C101" s="100">
        <v>11.54</v>
      </c>
      <c r="D101" s="100">
        <v>15</v>
      </c>
      <c r="E101" s="100">
        <v>5.14</v>
      </c>
      <c r="F101" s="100">
        <v>2</v>
      </c>
      <c r="G101" s="100">
        <v>100.79</v>
      </c>
      <c r="H101" s="100">
        <v>37.42</v>
      </c>
      <c r="I101" s="100">
        <v>10.54</v>
      </c>
      <c r="J101" s="100">
        <v>0.21</v>
      </c>
      <c r="K101" s="100">
        <v>43.95</v>
      </c>
      <c r="L101" s="100">
        <v>10.56</v>
      </c>
      <c r="M101" s="100">
        <v>8.43</v>
      </c>
      <c r="N101" s="100">
        <v>2</v>
      </c>
      <c r="O101" s="100">
        <v>0</v>
      </c>
      <c r="P101" s="100">
        <v>0.78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1009</v>
      </c>
      <c r="B102" s="100">
        <v>11.93</v>
      </c>
      <c r="C102" s="100">
        <v>11.73</v>
      </c>
      <c r="D102" s="100">
        <v>15.7</v>
      </c>
      <c r="E102" s="100">
        <v>5.0599999999999996</v>
      </c>
      <c r="F102" s="100">
        <v>2</v>
      </c>
      <c r="G102" s="100">
        <v>113.89</v>
      </c>
      <c r="H102" s="100">
        <v>44.94</v>
      </c>
      <c r="I102" s="100">
        <v>10.75</v>
      </c>
      <c r="J102" s="100">
        <v>0.16</v>
      </c>
      <c r="K102" s="100">
        <v>39.229999999999997</v>
      </c>
      <c r="L102" s="100">
        <v>11.82</v>
      </c>
      <c r="M102" s="100">
        <v>11.5</v>
      </c>
      <c r="N102" s="100">
        <v>2.1</v>
      </c>
      <c r="O102" s="100">
        <v>0</v>
      </c>
      <c r="P102" s="100">
        <v>0.79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1010</v>
      </c>
      <c r="B103" s="100">
        <v>12.68</v>
      </c>
      <c r="C103" s="100">
        <v>11.8</v>
      </c>
      <c r="D103" s="100">
        <v>16.329999999999998</v>
      </c>
      <c r="E103" s="100">
        <v>5.24</v>
      </c>
      <c r="F103" s="100">
        <v>2</v>
      </c>
      <c r="G103" s="100">
        <v>129.54</v>
      </c>
      <c r="H103" s="100">
        <v>49.83</v>
      </c>
      <c r="I103" s="100">
        <v>10.9</v>
      </c>
      <c r="J103" s="100">
        <v>0.24</v>
      </c>
      <c r="K103" s="100">
        <v>36.43</v>
      </c>
      <c r="L103" s="100">
        <v>7.45</v>
      </c>
      <c r="M103" s="100">
        <v>0.47</v>
      </c>
      <c r="N103" s="100">
        <v>2</v>
      </c>
      <c r="O103" s="100">
        <v>0</v>
      </c>
      <c r="P103" s="100">
        <v>0.8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1011</v>
      </c>
      <c r="B104" s="100">
        <v>13.2</v>
      </c>
      <c r="C104" s="100">
        <v>11.87</v>
      </c>
      <c r="D104" s="100">
        <v>16.78</v>
      </c>
      <c r="E104" s="100">
        <v>5.36</v>
      </c>
      <c r="F104" s="100">
        <v>2</v>
      </c>
      <c r="G104" s="100">
        <v>129.54</v>
      </c>
      <c r="H104" s="100">
        <v>49.83</v>
      </c>
      <c r="I104" s="100">
        <v>11.03</v>
      </c>
      <c r="J104" s="100">
        <v>0.26</v>
      </c>
      <c r="K104" s="100">
        <v>32.479999999999997</v>
      </c>
      <c r="L104" s="100">
        <v>8.8000000000000007</v>
      </c>
      <c r="M104" s="100">
        <v>3.9</v>
      </c>
      <c r="N104" s="100">
        <v>2.1</v>
      </c>
      <c r="O104" s="100">
        <v>0</v>
      </c>
      <c r="P104" s="100">
        <v>0.81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1.65</v>
      </c>
      <c r="C106" s="158">
        <f>MIN(C9:C104)</f>
        <v>9.77</v>
      </c>
      <c r="D106" s="158">
        <f t="shared" ref="D106:Q106" si="0">MIN(D9:D104)</f>
        <v>8.56</v>
      </c>
      <c r="E106" s="158">
        <f t="shared" si="0"/>
        <v>3.5</v>
      </c>
      <c r="F106" s="158">
        <f t="shared" si="0"/>
        <v>2</v>
      </c>
      <c r="G106" s="158">
        <f t="shared" si="0"/>
        <v>58.35</v>
      </c>
      <c r="H106" s="158">
        <f t="shared" si="0"/>
        <v>25.46</v>
      </c>
      <c r="I106" s="158">
        <f t="shared" si="0"/>
        <v>3.74</v>
      </c>
      <c r="J106" s="158">
        <f t="shared" si="0"/>
        <v>0.09</v>
      </c>
      <c r="K106" s="158">
        <f t="shared" si="0"/>
        <v>3.8</v>
      </c>
      <c r="L106" s="158">
        <f t="shared" si="0"/>
        <v>6.22</v>
      </c>
      <c r="M106" s="158">
        <f t="shared" si="0"/>
        <v>-2.5</v>
      </c>
      <c r="N106" s="158">
        <f t="shared" si="0"/>
        <v>1.4</v>
      </c>
      <c r="O106" s="158">
        <f t="shared" si="0"/>
        <v>0</v>
      </c>
      <c r="P106" s="158">
        <f t="shared" si="0"/>
        <v>0.39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16.649999999999999</v>
      </c>
      <c r="C107" s="157">
        <f t="shared" ref="C107:Q107" si="1">MAX(C9:C104)</f>
        <v>20.76</v>
      </c>
      <c r="D107" s="157">
        <f t="shared" si="1"/>
        <v>18.559999999999999</v>
      </c>
      <c r="E107" s="157">
        <f t="shared" si="1"/>
        <v>13.32</v>
      </c>
      <c r="F107" s="157">
        <f t="shared" si="1"/>
        <v>44.07</v>
      </c>
      <c r="G107" s="157">
        <f t="shared" si="1"/>
        <v>129.54</v>
      </c>
      <c r="H107" s="157">
        <f t="shared" si="1"/>
        <v>49.83</v>
      </c>
      <c r="I107" s="157">
        <f t="shared" si="1"/>
        <v>11.03</v>
      </c>
      <c r="J107" s="157">
        <f t="shared" si="1"/>
        <v>0.85</v>
      </c>
      <c r="K107" s="157">
        <f t="shared" si="1"/>
        <v>359.99</v>
      </c>
      <c r="L107" s="157">
        <f t="shared" si="1"/>
        <v>30.8</v>
      </c>
      <c r="M107" s="157">
        <f t="shared" si="1"/>
        <v>44.28</v>
      </c>
      <c r="N107" s="157">
        <f t="shared" si="1"/>
        <v>656.3</v>
      </c>
      <c r="O107" s="157">
        <f t="shared" si="1"/>
        <v>0</v>
      </c>
      <c r="P107" s="157">
        <f t="shared" si="1"/>
        <v>0.81</v>
      </c>
      <c r="Q107" s="157">
        <f t="shared" si="1"/>
        <v>13.89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8.2648958333333358</v>
      </c>
      <c r="C108" s="158">
        <f t="shared" ref="C108:Q108" si="2">AVERAGE(C9:C104)</f>
        <v>12.508541666666661</v>
      </c>
      <c r="D108" s="158">
        <f t="shared" si="2"/>
        <v>13.162812500000001</v>
      </c>
      <c r="E108" s="158">
        <f t="shared" si="2"/>
        <v>6.4672916666666644</v>
      </c>
      <c r="F108" s="158">
        <f t="shared" si="2"/>
        <v>5.9203124999999988</v>
      </c>
      <c r="G108" s="158">
        <f t="shared" si="2"/>
        <v>82.515937500000035</v>
      </c>
      <c r="H108" s="158">
        <f t="shared" si="2"/>
        <v>32.784583333333337</v>
      </c>
      <c r="I108" s="158">
        <f t="shared" si="2"/>
        <v>7.5757291666666644</v>
      </c>
      <c r="J108" s="158">
        <f t="shared" si="2"/>
        <v>0.37874999999999992</v>
      </c>
      <c r="K108" s="158">
        <f t="shared" si="2"/>
        <v>106.04604166666668</v>
      </c>
      <c r="L108" s="158">
        <f t="shared" si="2"/>
        <v>13.642499999999993</v>
      </c>
      <c r="M108" s="158">
        <f t="shared" si="2"/>
        <v>13.029791666666668</v>
      </c>
      <c r="N108" s="158">
        <f t="shared" si="2"/>
        <v>133.93645833333329</v>
      </c>
      <c r="O108" s="158">
        <f t="shared" si="2"/>
        <v>0</v>
      </c>
      <c r="P108" s="158">
        <f t="shared" si="2"/>
        <v>0.61541666666666706</v>
      </c>
      <c r="Q108" s="158">
        <f t="shared" si="2"/>
        <v>9.4431250000000215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5.1968168384303235</v>
      </c>
      <c r="C109" s="158">
        <f t="shared" ref="C109:Q109" si="3">STDEV(C9:C104)</f>
        <v>2.697692963359887</v>
      </c>
      <c r="D109" s="158">
        <f t="shared" si="3"/>
        <v>3.1021156458557604</v>
      </c>
      <c r="E109" s="158">
        <f t="shared" si="3"/>
        <v>1.9569022131751639</v>
      </c>
      <c r="F109" s="158">
        <f t="shared" si="3"/>
        <v>8.4990169652142704</v>
      </c>
      <c r="G109" s="158">
        <f t="shared" si="3"/>
        <v>15.714994554522669</v>
      </c>
      <c r="H109" s="158">
        <f t="shared" si="3"/>
        <v>4.3426957227453684</v>
      </c>
      <c r="I109" s="158">
        <f t="shared" si="3"/>
        <v>1.8948804960467258</v>
      </c>
      <c r="J109" s="158">
        <f t="shared" si="3"/>
        <v>0.21629536335882571</v>
      </c>
      <c r="K109" s="158">
        <f t="shared" si="3"/>
        <v>106.25302827614314</v>
      </c>
      <c r="L109" s="158">
        <f t="shared" si="3"/>
        <v>5.7434720839355933</v>
      </c>
      <c r="M109" s="158">
        <f t="shared" si="3"/>
        <v>11.847313084601144</v>
      </c>
      <c r="N109" s="158">
        <f t="shared" si="3"/>
        <v>221.23014790260567</v>
      </c>
      <c r="O109" s="158">
        <f t="shared" si="3"/>
        <v>0</v>
      </c>
      <c r="P109" s="158">
        <f t="shared" si="3"/>
        <v>0.10505053086532749</v>
      </c>
      <c r="Q109" s="158">
        <f t="shared" si="3"/>
        <v>0.53529787575654808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1012</v>
      </c>
      <c r="B9" s="100">
        <v>13.55</v>
      </c>
      <c r="C9" s="100">
        <v>11.66</v>
      </c>
      <c r="D9" s="100">
        <v>16.95</v>
      </c>
      <c r="E9" s="100">
        <v>5.27</v>
      </c>
      <c r="F9" s="100">
        <v>2</v>
      </c>
      <c r="G9" s="100">
        <v>129.54</v>
      </c>
      <c r="H9" s="100">
        <v>49.83</v>
      </c>
      <c r="I9" s="100">
        <v>11.12</v>
      </c>
      <c r="J9" s="100">
        <v>0.16</v>
      </c>
      <c r="K9" s="100">
        <v>23.36</v>
      </c>
      <c r="L9" s="100">
        <v>11.85</v>
      </c>
      <c r="M9" s="100">
        <v>11.47</v>
      </c>
      <c r="N9" s="100">
        <v>2</v>
      </c>
      <c r="O9" s="100">
        <v>0</v>
      </c>
      <c r="P9" s="100">
        <v>0.81</v>
      </c>
      <c r="Q9" s="100">
        <v>9.32</v>
      </c>
      <c r="R9" s="6"/>
      <c r="S9" s="6"/>
      <c r="T9" s="156"/>
      <c r="U9" s="6"/>
    </row>
    <row r="10" spans="1:21" customFormat="1">
      <c r="A10" s="201" t="s">
        <v>1013</v>
      </c>
      <c r="B10" s="100">
        <v>13.7</v>
      </c>
      <c r="C10" s="100">
        <v>12.05</v>
      </c>
      <c r="D10" s="100">
        <v>17.29</v>
      </c>
      <c r="E10" s="100">
        <v>5.33</v>
      </c>
      <c r="F10" s="100">
        <v>2</v>
      </c>
      <c r="G10" s="100">
        <v>131.59</v>
      </c>
      <c r="H10" s="100">
        <v>49.41</v>
      </c>
      <c r="I10" s="100">
        <v>11.17</v>
      </c>
      <c r="J10" s="100">
        <v>0.08</v>
      </c>
      <c r="K10" s="100">
        <v>61.38</v>
      </c>
      <c r="L10" s="100">
        <v>7.83</v>
      </c>
      <c r="M10" s="100">
        <v>1.63</v>
      </c>
      <c r="N10" s="100">
        <v>2.1</v>
      </c>
      <c r="O10" s="100">
        <v>0</v>
      </c>
      <c r="P10" s="100">
        <v>0.82</v>
      </c>
      <c r="Q10" s="100">
        <v>9.32</v>
      </c>
      <c r="R10" s="6"/>
      <c r="S10" s="6"/>
      <c r="T10" s="156"/>
      <c r="U10" s="6"/>
    </row>
    <row r="11" spans="1:21" customFormat="1">
      <c r="A11" s="201" t="s">
        <v>1014</v>
      </c>
      <c r="B11" s="100">
        <v>14.14</v>
      </c>
      <c r="C11" s="100">
        <v>12.22</v>
      </c>
      <c r="D11" s="100">
        <v>17.73</v>
      </c>
      <c r="E11" s="100">
        <v>5.47</v>
      </c>
      <c r="F11" s="100">
        <v>2</v>
      </c>
      <c r="G11" s="100">
        <v>134.05000000000001</v>
      </c>
      <c r="H11" s="100">
        <v>49.14</v>
      </c>
      <c r="I11" s="100">
        <v>11.18</v>
      </c>
      <c r="J11" s="100">
        <v>0.12</v>
      </c>
      <c r="K11" s="100">
        <v>65.349999999999994</v>
      </c>
      <c r="L11" s="100">
        <v>10.73</v>
      </c>
      <c r="M11" s="100">
        <v>8.9499999999999993</v>
      </c>
      <c r="N11" s="100">
        <v>2</v>
      </c>
      <c r="O11" s="100">
        <v>0</v>
      </c>
      <c r="P11" s="100">
        <v>0.82</v>
      </c>
      <c r="Q11" s="100">
        <v>9.32</v>
      </c>
      <c r="R11" s="6"/>
      <c r="S11" s="6"/>
      <c r="T11" s="156"/>
      <c r="U11" s="6"/>
    </row>
    <row r="12" spans="1:21" customFormat="1">
      <c r="A12" s="201" t="s">
        <v>1015</v>
      </c>
      <c r="B12" s="100">
        <v>14.46</v>
      </c>
      <c r="C12" s="100">
        <v>12.28</v>
      </c>
      <c r="D12" s="100">
        <v>18.010000000000002</v>
      </c>
      <c r="E12" s="100">
        <v>5.54</v>
      </c>
      <c r="F12" s="100">
        <v>2</v>
      </c>
      <c r="G12" s="100">
        <v>134.05000000000001</v>
      </c>
      <c r="H12" s="100">
        <v>49.14</v>
      </c>
      <c r="I12" s="100">
        <v>11.13</v>
      </c>
      <c r="J12" s="100">
        <v>0.16</v>
      </c>
      <c r="K12" s="100">
        <v>45.54</v>
      </c>
      <c r="L12" s="100">
        <v>10.27</v>
      </c>
      <c r="M12" s="100">
        <v>7.65</v>
      </c>
      <c r="N12" s="100">
        <v>2</v>
      </c>
      <c r="O12" s="100">
        <v>0</v>
      </c>
      <c r="P12" s="100">
        <v>0.81</v>
      </c>
      <c r="Q12" s="100">
        <v>9.32</v>
      </c>
      <c r="R12" s="6"/>
      <c r="S12" s="6"/>
      <c r="T12" s="156"/>
      <c r="U12" s="6"/>
    </row>
    <row r="13" spans="1:21" customFormat="1">
      <c r="A13" s="201" t="s">
        <v>1016</v>
      </c>
      <c r="B13" s="100">
        <v>14.61</v>
      </c>
      <c r="C13" s="100">
        <v>12.31</v>
      </c>
      <c r="D13" s="100">
        <v>18.149999999999999</v>
      </c>
      <c r="E13" s="100">
        <v>5.26</v>
      </c>
      <c r="F13" s="100">
        <v>2</v>
      </c>
      <c r="G13" s="100">
        <v>134.05000000000001</v>
      </c>
      <c r="H13" s="100">
        <v>49.14</v>
      </c>
      <c r="I13" s="100">
        <v>11.06</v>
      </c>
      <c r="J13" s="100">
        <v>0.15</v>
      </c>
      <c r="K13" s="100">
        <v>31.69</v>
      </c>
      <c r="L13" s="100">
        <v>12.04</v>
      </c>
      <c r="M13" s="100">
        <v>11.96</v>
      </c>
      <c r="N13" s="100">
        <v>2.1</v>
      </c>
      <c r="O13" s="100">
        <v>0</v>
      </c>
      <c r="P13" s="100">
        <v>0.81</v>
      </c>
      <c r="Q13" s="100">
        <v>9.32</v>
      </c>
      <c r="R13" s="6"/>
      <c r="S13" s="6"/>
      <c r="T13" s="156"/>
      <c r="U13" s="6"/>
    </row>
    <row r="14" spans="1:21" customFormat="1">
      <c r="A14" s="201" t="s">
        <v>1017</v>
      </c>
      <c r="B14" s="100">
        <v>14.56</v>
      </c>
      <c r="C14" s="100">
        <v>12.09</v>
      </c>
      <c r="D14" s="100">
        <v>17.989999999999998</v>
      </c>
      <c r="E14" s="100">
        <v>5.3</v>
      </c>
      <c r="F14" s="100">
        <v>2</v>
      </c>
      <c r="G14" s="100">
        <v>129.29</v>
      </c>
      <c r="H14" s="100">
        <v>48.76</v>
      </c>
      <c r="I14" s="100">
        <v>11.05</v>
      </c>
      <c r="J14" s="100">
        <v>0.26</v>
      </c>
      <c r="K14" s="100">
        <v>44.93</v>
      </c>
      <c r="L14" s="100">
        <v>7.83</v>
      </c>
      <c r="M14" s="100">
        <v>0.82</v>
      </c>
      <c r="N14" s="100">
        <v>2.1</v>
      </c>
      <c r="O14" s="100">
        <v>0</v>
      </c>
      <c r="P14" s="100">
        <v>0.8</v>
      </c>
      <c r="Q14" s="100">
        <v>9.32</v>
      </c>
      <c r="R14" s="6"/>
      <c r="S14" s="6"/>
      <c r="T14" s="156"/>
      <c r="U14" s="6"/>
    </row>
    <row r="15" spans="1:21" customFormat="1">
      <c r="A15" s="201" t="s">
        <v>1018</v>
      </c>
      <c r="B15" s="100">
        <v>14.46</v>
      </c>
      <c r="C15" s="100">
        <v>12.11</v>
      </c>
      <c r="D15" s="100">
        <v>17.93</v>
      </c>
      <c r="E15" s="100">
        <v>5.44</v>
      </c>
      <c r="F15" s="100">
        <v>2</v>
      </c>
      <c r="G15" s="100">
        <v>123.33</v>
      </c>
      <c r="H15" s="100">
        <v>48.11</v>
      </c>
      <c r="I15" s="100">
        <v>10.95</v>
      </c>
      <c r="J15" s="100">
        <v>0.17</v>
      </c>
      <c r="K15" s="100">
        <v>44.5</v>
      </c>
      <c r="L15" s="100">
        <v>9.15</v>
      </c>
      <c r="M15" s="100">
        <v>4.8600000000000003</v>
      </c>
      <c r="N15" s="100">
        <v>2</v>
      </c>
      <c r="O15" s="100">
        <v>0</v>
      </c>
      <c r="P15" s="100">
        <v>0.79</v>
      </c>
      <c r="Q15" s="100">
        <v>9.32</v>
      </c>
      <c r="R15" s="6"/>
      <c r="S15" s="6"/>
      <c r="T15" s="156"/>
      <c r="U15" s="6"/>
    </row>
    <row r="16" spans="1:21" customFormat="1">
      <c r="A16" s="201" t="s">
        <v>1019</v>
      </c>
      <c r="B16" s="100">
        <v>14.31</v>
      </c>
      <c r="C16" s="100">
        <v>12.18</v>
      </c>
      <c r="D16" s="100">
        <v>17.84</v>
      </c>
      <c r="E16" s="100">
        <v>5.27</v>
      </c>
      <c r="F16" s="100">
        <v>2</v>
      </c>
      <c r="G16" s="100">
        <v>123.33</v>
      </c>
      <c r="H16" s="100">
        <v>48.11</v>
      </c>
      <c r="I16" s="100">
        <v>10.8</v>
      </c>
      <c r="J16" s="100">
        <v>0.12</v>
      </c>
      <c r="K16" s="100">
        <v>56.97</v>
      </c>
      <c r="L16" s="100">
        <v>7.67</v>
      </c>
      <c r="M16" s="100">
        <v>1.23</v>
      </c>
      <c r="N16" s="100">
        <v>2.1</v>
      </c>
      <c r="O16" s="100">
        <v>0</v>
      </c>
      <c r="P16" s="100">
        <v>0.79</v>
      </c>
      <c r="Q16" s="100">
        <v>9.32</v>
      </c>
      <c r="R16" s="6"/>
      <c r="S16" s="6"/>
      <c r="T16" s="156"/>
      <c r="U16" s="6"/>
    </row>
    <row r="17" spans="1:21" customFormat="1">
      <c r="A17" s="201" t="s">
        <v>1020</v>
      </c>
      <c r="B17" s="100">
        <v>14.17</v>
      </c>
      <c r="C17" s="100">
        <v>12.21</v>
      </c>
      <c r="D17" s="100">
        <v>17.739999999999998</v>
      </c>
      <c r="E17" s="100">
        <v>4.91</v>
      </c>
      <c r="F17" s="100">
        <v>2</v>
      </c>
      <c r="G17" s="100">
        <v>123.33</v>
      </c>
      <c r="H17" s="100">
        <v>48.11</v>
      </c>
      <c r="I17" s="100">
        <v>10.7</v>
      </c>
      <c r="J17" s="100">
        <v>0.22</v>
      </c>
      <c r="K17" s="100">
        <v>55</v>
      </c>
      <c r="L17" s="100">
        <v>8.34</v>
      </c>
      <c r="M17" s="100">
        <v>2.9</v>
      </c>
      <c r="N17" s="100">
        <v>2</v>
      </c>
      <c r="O17" s="100">
        <v>0</v>
      </c>
      <c r="P17" s="100">
        <v>0.78</v>
      </c>
      <c r="Q17" s="100">
        <v>9.32</v>
      </c>
      <c r="R17" s="6"/>
      <c r="S17" s="6"/>
      <c r="T17" s="156"/>
      <c r="U17" s="6"/>
    </row>
    <row r="18" spans="1:21" customFormat="1">
      <c r="A18" s="201" t="s">
        <v>1021</v>
      </c>
      <c r="B18" s="100">
        <v>14.04</v>
      </c>
      <c r="C18" s="100">
        <v>12.29</v>
      </c>
      <c r="D18" s="100">
        <v>17.68</v>
      </c>
      <c r="E18" s="100">
        <v>6.26</v>
      </c>
      <c r="F18" s="100">
        <v>2</v>
      </c>
      <c r="G18" s="100">
        <v>122.28</v>
      </c>
      <c r="H18" s="100">
        <v>47.96</v>
      </c>
      <c r="I18" s="100">
        <v>10.62</v>
      </c>
      <c r="J18" s="100">
        <v>0.19</v>
      </c>
      <c r="K18" s="100">
        <v>59.2</v>
      </c>
      <c r="L18" s="100">
        <v>9.27</v>
      </c>
      <c r="M18" s="100">
        <v>5.26</v>
      </c>
      <c r="N18" s="100">
        <v>2.1</v>
      </c>
      <c r="O18" s="100">
        <v>0</v>
      </c>
      <c r="P18" s="100">
        <v>0.78</v>
      </c>
      <c r="Q18" s="100">
        <v>9.32</v>
      </c>
      <c r="R18" s="6"/>
      <c r="S18" s="6"/>
      <c r="T18" s="156"/>
      <c r="U18" s="6"/>
    </row>
    <row r="19" spans="1:21" customFormat="1">
      <c r="A19" s="201" t="s">
        <v>1022</v>
      </c>
      <c r="B19" s="100">
        <v>14.11</v>
      </c>
      <c r="C19" s="100">
        <v>12.27</v>
      </c>
      <c r="D19" s="100">
        <v>17.73</v>
      </c>
      <c r="E19" s="100">
        <v>6.28</v>
      </c>
      <c r="F19" s="100">
        <v>2</v>
      </c>
      <c r="G19" s="100">
        <v>120.96</v>
      </c>
      <c r="H19" s="100">
        <v>47.87</v>
      </c>
      <c r="I19" s="100">
        <v>10.53</v>
      </c>
      <c r="J19" s="100">
        <v>0.18</v>
      </c>
      <c r="K19" s="100">
        <v>56.81</v>
      </c>
      <c r="L19" s="100">
        <v>9.59</v>
      </c>
      <c r="M19" s="100">
        <v>6.04</v>
      </c>
      <c r="N19" s="100">
        <v>2.1</v>
      </c>
      <c r="O19" s="100">
        <v>0</v>
      </c>
      <c r="P19" s="100">
        <v>0.8</v>
      </c>
      <c r="Q19" s="100">
        <v>9.32</v>
      </c>
      <c r="R19" s="6"/>
      <c r="S19" s="6"/>
      <c r="T19" s="156"/>
      <c r="U19" s="6"/>
    </row>
    <row r="20" spans="1:21" customFormat="1">
      <c r="A20" s="201" t="s">
        <v>1023</v>
      </c>
      <c r="B20" s="100">
        <v>14.37</v>
      </c>
      <c r="C20" s="100">
        <v>12.35</v>
      </c>
      <c r="D20" s="100">
        <v>17.98</v>
      </c>
      <c r="E20" s="100">
        <v>6.42</v>
      </c>
      <c r="F20" s="100">
        <v>2</v>
      </c>
      <c r="G20" s="100">
        <v>120.96</v>
      </c>
      <c r="H20" s="100">
        <v>47.87</v>
      </c>
      <c r="I20" s="100">
        <v>10.5</v>
      </c>
      <c r="J20" s="100">
        <v>0.28000000000000003</v>
      </c>
      <c r="K20" s="100">
        <v>45.84</v>
      </c>
      <c r="L20" s="100">
        <v>7.48</v>
      </c>
      <c r="M20" s="100">
        <v>0.65</v>
      </c>
      <c r="N20" s="100">
        <v>2.1</v>
      </c>
      <c r="O20" s="100">
        <v>0</v>
      </c>
      <c r="P20" s="100">
        <v>0.84</v>
      </c>
      <c r="Q20" s="100">
        <v>9.32</v>
      </c>
      <c r="R20" s="6"/>
      <c r="S20" s="6"/>
      <c r="T20" s="156"/>
      <c r="U20" s="6"/>
    </row>
    <row r="21" spans="1:21" customFormat="1">
      <c r="A21" s="201" t="s">
        <v>1024</v>
      </c>
      <c r="B21" s="100">
        <v>14.53</v>
      </c>
      <c r="C21" s="100">
        <v>12.34</v>
      </c>
      <c r="D21" s="100">
        <v>18.100000000000001</v>
      </c>
      <c r="E21" s="100">
        <v>5.84</v>
      </c>
      <c r="F21" s="100">
        <v>2</v>
      </c>
      <c r="G21" s="100">
        <v>120.96</v>
      </c>
      <c r="H21" s="100">
        <v>47.87</v>
      </c>
      <c r="I21" s="100">
        <v>10.57</v>
      </c>
      <c r="J21" s="100">
        <v>0.08</v>
      </c>
      <c r="K21" s="100">
        <v>2.97</v>
      </c>
      <c r="L21" s="100">
        <v>18.47</v>
      </c>
      <c r="M21" s="100">
        <v>28.18</v>
      </c>
      <c r="N21" s="100">
        <v>2.1</v>
      </c>
      <c r="O21" s="100">
        <v>0</v>
      </c>
      <c r="P21" s="100">
        <v>0.87</v>
      </c>
      <c r="Q21" s="100">
        <v>9.32</v>
      </c>
      <c r="R21" s="6"/>
      <c r="S21" s="6"/>
      <c r="T21" s="156"/>
      <c r="U21" s="6"/>
    </row>
    <row r="22" spans="1:21" customFormat="1">
      <c r="A22" s="201" t="s">
        <v>1025</v>
      </c>
      <c r="B22" s="100">
        <v>14.65</v>
      </c>
      <c r="C22" s="100">
        <v>12.35</v>
      </c>
      <c r="D22" s="100">
        <v>18.21</v>
      </c>
      <c r="E22" s="100">
        <v>6.03</v>
      </c>
      <c r="F22" s="100">
        <v>2</v>
      </c>
      <c r="G22" s="100">
        <v>131.85</v>
      </c>
      <c r="H22" s="100">
        <v>54.91</v>
      </c>
      <c r="I22" s="100">
        <v>10.77</v>
      </c>
      <c r="J22" s="100">
        <v>0.09</v>
      </c>
      <c r="K22" s="100">
        <v>48.72</v>
      </c>
      <c r="L22" s="100">
        <v>13.61</v>
      </c>
      <c r="M22" s="100">
        <v>16</v>
      </c>
      <c r="N22" s="100">
        <v>2.1</v>
      </c>
      <c r="O22" s="100">
        <v>0</v>
      </c>
      <c r="P22" s="100">
        <v>0.89</v>
      </c>
      <c r="Q22" s="100">
        <v>9.32</v>
      </c>
      <c r="R22" s="6"/>
      <c r="S22" s="6"/>
      <c r="T22" s="156"/>
      <c r="U22" s="6"/>
    </row>
    <row r="23" spans="1:21" customFormat="1">
      <c r="A23" s="201" t="s">
        <v>1026</v>
      </c>
      <c r="B23" s="100">
        <v>14.57</v>
      </c>
      <c r="C23" s="100">
        <v>12.23</v>
      </c>
      <c r="D23" s="100">
        <v>18.079999999999998</v>
      </c>
      <c r="E23" s="100">
        <v>6.18</v>
      </c>
      <c r="F23" s="100">
        <v>2</v>
      </c>
      <c r="G23" s="100">
        <v>145.46</v>
      </c>
      <c r="H23" s="100">
        <v>59.67</v>
      </c>
      <c r="I23" s="100">
        <v>11.02</v>
      </c>
      <c r="J23" s="100">
        <v>0.09</v>
      </c>
      <c r="K23" s="100">
        <v>54.16</v>
      </c>
      <c r="L23" s="100">
        <v>13.02</v>
      </c>
      <c r="M23" s="100">
        <v>14.48</v>
      </c>
      <c r="N23" s="100">
        <v>2</v>
      </c>
      <c r="O23" s="100">
        <v>0</v>
      </c>
      <c r="P23" s="100">
        <v>0.89</v>
      </c>
      <c r="Q23" s="100">
        <v>9.32</v>
      </c>
      <c r="R23" s="6"/>
      <c r="S23" s="6"/>
      <c r="T23" s="156"/>
      <c r="U23" s="6"/>
    </row>
    <row r="24" spans="1:21" customFormat="1">
      <c r="A24" s="201" t="s">
        <v>1027</v>
      </c>
      <c r="B24" s="100">
        <v>14.5</v>
      </c>
      <c r="C24" s="100">
        <v>12.19</v>
      </c>
      <c r="D24" s="100">
        <v>18</v>
      </c>
      <c r="E24" s="100">
        <v>6.11</v>
      </c>
      <c r="F24" s="100">
        <v>2</v>
      </c>
      <c r="G24" s="100">
        <v>145.46</v>
      </c>
      <c r="H24" s="100">
        <v>59.67</v>
      </c>
      <c r="I24" s="100">
        <v>11.2</v>
      </c>
      <c r="J24" s="100">
        <v>0.25</v>
      </c>
      <c r="K24" s="100">
        <v>47.91</v>
      </c>
      <c r="L24" s="100">
        <v>10.24</v>
      </c>
      <c r="M24" s="100">
        <v>7.44</v>
      </c>
      <c r="N24" s="100">
        <v>1.8</v>
      </c>
      <c r="O24" s="100">
        <v>0</v>
      </c>
      <c r="P24" s="100">
        <v>0.89</v>
      </c>
      <c r="Q24" s="100">
        <v>9.32</v>
      </c>
      <c r="R24" s="6"/>
      <c r="S24" s="6"/>
      <c r="T24" s="156"/>
      <c r="U24" s="6"/>
    </row>
    <row r="25" spans="1:21" customFormat="1">
      <c r="A25" s="201" t="s">
        <v>1028</v>
      </c>
      <c r="B25" s="100">
        <v>14.63</v>
      </c>
      <c r="C25" s="100">
        <v>12.19</v>
      </c>
      <c r="D25" s="100">
        <v>18.100000000000001</v>
      </c>
      <c r="E25" s="100">
        <v>6.02</v>
      </c>
      <c r="F25" s="100">
        <v>2</v>
      </c>
      <c r="G25" s="100">
        <v>145.46</v>
      </c>
      <c r="H25" s="100">
        <v>59.67</v>
      </c>
      <c r="I25" s="100">
        <v>11.31</v>
      </c>
      <c r="J25" s="100">
        <v>0.37</v>
      </c>
      <c r="K25" s="100">
        <v>55.87</v>
      </c>
      <c r="L25" s="100">
        <v>7.46</v>
      </c>
      <c r="M25" s="100">
        <v>0.56999999999999995</v>
      </c>
      <c r="N25" s="100">
        <v>2</v>
      </c>
      <c r="O25" s="100">
        <v>0</v>
      </c>
      <c r="P25" s="100">
        <v>0.9</v>
      </c>
      <c r="Q25" s="100">
        <v>9.32</v>
      </c>
      <c r="R25" s="6"/>
      <c r="S25" s="6"/>
      <c r="T25" s="156"/>
      <c r="U25" s="6"/>
    </row>
    <row r="26" spans="1:21" customFormat="1">
      <c r="A26" s="201" t="s">
        <v>1029</v>
      </c>
      <c r="B26" s="100">
        <v>14.65</v>
      </c>
      <c r="C26" s="100">
        <v>12.06</v>
      </c>
      <c r="D26" s="100">
        <v>18.05</v>
      </c>
      <c r="E26" s="100">
        <v>6.21</v>
      </c>
      <c r="F26" s="100">
        <v>2</v>
      </c>
      <c r="G26" s="100">
        <v>160.03</v>
      </c>
      <c r="H26" s="100">
        <v>61.66</v>
      </c>
      <c r="I26" s="100">
        <v>11.35</v>
      </c>
      <c r="J26" s="100">
        <v>0.28999999999999998</v>
      </c>
      <c r="K26" s="100">
        <v>49.44</v>
      </c>
      <c r="L26" s="100">
        <v>9.08</v>
      </c>
      <c r="M26" s="100">
        <v>4.54</v>
      </c>
      <c r="N26" s="100">
        <v>2</v>
      </c>
      <c r="O26" s="100">
        <v>0</v>
      </c>
      <c r="P26" s="100">
        <v>0.91</v>
      </c>
      <c r="Q26" s="100">
        <v>9.32</v>
      </c>
      <c r="R26" s="6"/>
      <c r="S26" s="6"/>
      <c r="T26" s="156"/>
      <c r="U26" s="6"/>
    </row>
    <row r="27" spans="1:21" customFormat="1">
      <c r="A27" s="201" t="s">
        <v>1030</v>
      </c>
      <c r="B27" s="100">
        <v>14.75</v>
      </c>
      <c r="C27" s="100">
        <v>12</v>
      </c>
      <c r="D27" s="100">
        <v>18.100000000000001</v>
      </c>
      <c r="E27" s="100">
        <v>6.41</v>
      </c>
      <c r="F27" s="100">
        <v>2</v>
      </c>
      <c r="G27" s="100">
        <v>178.25</v>
      </c>
      <c r="H27" s="100">
        <v>63</v>
      </c>
      <c r="I27" s="100">
        <v>11.36</v>
      </c>
      <c r="J27" s="100">
        <v>0.04</v>
      </c>
      <c r="K27" s="100">
        <v>56.6</v>
      </c>
      <c r="L27" s="100">
        <v>13.4</v>
      </c>
      <c r="M27" s="100">
        <v>15.39</v>
      </c>
      <c r="N27" s="100">
        <v>2</v>
      </c>
      <c r="O27" s="100">
        <v>0</v>
      </c>
      <c r="P27" s="100">
        <v>0.95</v>
      </c>
      <c r="Q27" s="100">
        <v>9.32</v>
      </c>
      <c r="R27" s="6"/>
      <c r="S27" s="6"/>
      <c r="T27" s="156"/>
      <c r="U27" s="6"/>
    </row>
    <row r="28" spans="1:21" customFormat="1">
      <c r="A28" s="201" t="s">
        <v>1031</v>
      </c>
      <c r="B28" s="100">
        <v>15.09</v>
      </c>
      <c r="C28" s="100">
        <v>12.09</v>
      </c>
      <c r="D28" s="100">
        <v>18.41</v>
      </c>
      <c r="E28" s="100">
        <v>6.28</v>
      </c>
      <c r="F28" s="100">
        <v>2</v>
      </c>
      <c r="G28" s="100">
        <v>178.25</v>
      </c>
      <c r="H28" s="100">
        <v>63</v>
      </c>
      <c r="I28" s="100">
        <v>11.41</v>
      </c>
      <c r="J28" s="100">
        <v>0.14000000000000001</v>
      </c>
      <c r="K28" s="100">
        <v>50.92</v>
      </c>
      <c r="L28" s="100">
        <v>9.42</v>
      </c>
      <c r="M28" s="100">
        <v>5.44</v>
      </c>
      <c r="N28" s="100">
        <v>2</v>
      </c>
      <c r="O28" s="100">
        <v>0</v>
      </c>
      <c r="P28" s="100">
        <v>0.97</v>
      </c>
      <c r="Q28" s="100">
        <v>9.32</v>
      </c>
      <c r="R28" s="6"/>
      <c r="S28" s="6"/>
      <c r="T28" s="156"/>
      <c r="U28" s="6"/>
    </row>
    <row r="29" spans="1:21" customFormat="1">
      <c r="A29" s="201" t="s">
        <v>1032</v>
      </c>
      <c r="B29" s="100">
        <v>15.23</v>
      </c>
      <c r="C29" s="100">
        <v>12.09</v>
      </c>
      <c r="D29" s="100">
        <v>18.53</v>
      </c>
      <c r="E29" s="100">
        <v>6.16</v>
      </c>
      <c r="F29" s="100">
        <v>2</v>
      </c>
      <c r="G29" s="100">
        <v>178.25</v>
      </c>
      <c r="H29" s="100">
        <v>63</v>
      </c>
      <c r="I29" s="100">
        <v>11.55</v>
      </c>
      <c r="J29" s="100">
        <v>0.15</v>
      </c>
      <c r="K29" s="100">
        <v>51.85</v>
      </c>
      <c r="L29" s="100">
        <v>12.48</v>
      </c>
      <c r="M29" s="100">
        <v>13.14</v>
      </c>
      <c r="N29" s="100">
        <v>2</v>
      </c>
      <c r="O29" s="100">
        <v>0</v>
      </c>
      <c r="P29" s="100">
        <v>0.98</v>
      </c>
      <c r="Q29" s="100">
        <v>9.32</v>
      </c>
      <c r="R29" s="6"/>
      <c r="S29" s="6"/>
      <c r="T29" s="156"/>
      <c r="U29" s="6"/>
    </row>
    <row r="30" spans="1:21" customFormat="1">
      <c r="A30" s="201" t="s">
        <v>1033</v>
      </c>
      <c r="B30" s="100">
        <v>15.22</v>
      </c>
      <c r="C30" s="100">
        <v>12.16</v>
      </c>
      <c r="D30" s="100">
        <v>18.55</v>
      </c>
      <c r="E30" s="100">
        <v>6.67</v>
      </c>
      <c r="F30" s="100">
        <v>2</v>
      </c>
      <c r="G30" s="100">
        <v>184.49</v>
      </c>
      <c r="H30" s="100">
        <v>67.5</v>
      </c>
      <c r="I30" s="100">
        <v>11.66</v>
      </c>
      <c r="J30" s="100">
        <v>7.0000000000000007E-2</v>
      </c>
      <c r="K30" s="100">
        <v>127.12</v>
      </c>
      <c r="L30" s="100">
        <v>15.44</v>
      </c>
      <c r="M30" s="100">
        <v>20.66</v>
      </c>
      <c r="N30" s="100">
        <v>1.9</v>
      </c>
      <c r="O30" s="100">
        <v>0</v>
      </c>
      <c r="P30" s="100">
        <v>0.99</v>
      </c>
      <c r="Q30" s="100">
        <v>9.32</v>
      </c>
      <c r="R30" s="6"/>
      <c r="S30" s="6"/>
      <c r="T30" s="156"/>
      <c r="U30" s="6"/>
    </row>
    <row r="31" spans="1:21" customFormat="1">
      <c r="A31" s="201" t="s">
        <v>1034</v>
      </c>
      <c r="B31" s="100">
        <v>15.31</v>
      </c>
      <c r="C31" s="100">
        <v>12.09</v>
      </c>
      <c r="D31" s="100">
        <v>18.600000000000001</v>
      </c>
      <c r="E31" s="100">
        <v>4.6500000000000004</v>
      </c>
      <c r="F31" s="100">
        <v>2</v>
      </c>
      <c r="G31" s="100">
        <v>192.3</v>
      </c>
      <c r="H31" s="100">
        <v>70.540000000000006</v>
      </c>
      <c r="I31" s="100">
        <v>11.77</v>
      </c>
      <c r="J31" s="100">
        <v>0.08</v>
      </c>
      <c r="K31" s="100">
        <v>143.38</v>
      </c>
      <c r="L31" s="100">
        <v>14.61</v>
      </c>
      <c r="M31" s="100">
        <v>18.579999999999998</v>
      </c>
      <c r="N31" s="100">
        <v>2</v>
      </c>
      <c r="O31" s="100">
        <v>0</v>
      </c>
      <c r="P31" s="100">
        <v>1</v>
      </c>
      <c r="Q31" s="100">
        <v>9.32</v>
      </c>
      <c r="R31" s="6"/>
      <c r="S31" s="6"/>
      <c r="T31" s="156"/>
      <c r="U31" s="6"/>
    </row>
    <row r="32" spans="1:21" customFormat="1">
      <c r="A32" s="201" t="s">
        <v>1035</v>
      </c>
      <c r="B32" s="100">
        <v>15.92</v>
      </c>
      <c r="C32" s="100">
        <v>12.21</v>
      </c>
      <c r="D32" s="100">
        <v>19.149999999999999</v>
      </c>
      <c r="E32" s="100">
        <v>6.21</v>
      </c>
      <c r="F32" s="100">
        <v>2</v>
      </c>
      <c r="G32" s="100">
        <v>192.3</v>
      </c>
      <c r="H32" s="100">
        <v>70.540000000000006</v>
      </c>
      <c r="I32" s="100">
        <v>11.85</v>
      </c>
      <c r="J32" s="100">
        <v>0.1</v>
      </c>
      <c r="K32" s="100">
        <v>61.9</v>
      </c>
      <c r="L32" s="100">
        <v>11.69</v>
      </c>
      <c r="M32" s="100">
        <v>11.13</v>
      </c>
      <c r="N32" s="100">
        <v>2.1</v>
      </c>
      <c r="O32" s="100">
        <v>0</v>
      </c>
      <c r="P32" s="100">
        <v>1.01</v>
      </c>
      <c r="Q32" s="100">
        <v>9.32</v>
      </c>
      <c r="R32" s="6"/>
      <c r="S32" s="6"/>
      <c r="T32" s="156"/>
      <c r="U32" s="6"/>
    </row>
    <row r="33" spans="1:21" customFormat="1">
      <c r="A33" s="201" t="s">
        <v>1036</v>
      </c>
      <c r="B33" s="100">
        <v>16.57</v>
      </c>
      <c r="C33" s="100">
        <v>12.51</v>
      </c>
      <c r="D33" s="100">
        <v>19.829999999999998</v>
      </c>
      <c r="E33" s="100">
        <v>6.51</v>
      </c>
      <c r="F33" s="100">
        <v>2</v>
      </c>
      <c r="G33" s="100">
        <v>192.3</v>
      </c>
      <c r="H33" s="100">
        <v>70.540000000000006</v>
      </c>
      <c r="I33" s="100">
        <v>11.97</v>
      </c>
      <c r="J33" s="100">
        <v>0.12</v>
      </c>
      <c r="K33" s="100">
        <v>159.1</v>
      </c>
      <c r="L33" s="100">
        <v>15.53</v>
      </c>
      <c r="M33" s="100">
        <v>20.94</v>
      </c>
      <c r="N33" s="100">
        <v>3.4</v>
      </c>
      <c r="O33" s="100">
        <v>0</v>
      </c>
      <c r="P33" s="100">
        <v>1.02</v>
      </c>
      <c r="Q33" s="100">
        <v>9.32</v>
      </c>
      <c r="R33" s="6"/>
      <c r="S33" s="6"/>
      <c r="T33" s="156"/>
      <c r="U33" s="6"/>
    </row>
    <row r="34" spans="1:21" customFormat="1">
      <c r="A34" s="201" t="s">
        <v>1037</v>
      </c>
      <c r="B34" s="100">
        <v>16.829999999999998</v>
      </c>
      <c r="C34" s="100">
        <v>12.68</v>
      </c>
      <c r="D34" s="100">
        <v>20.12</v>
      </c>
      <c r="E34" s="100">
        <v>6.56</v>
      </c>
      <c r="F34" s="100">
        <v>2</v>
      </c>
      <c r="G34" s="100">
        <v>190.5</v>
      </c>
      <c r="H34" s="100">
        <v>71.5</v>
      </c>
      <c r="I34" s="100">
        <v>12.18</v>
      </c>
      <c r="J34" s="100">
        <v>0.12</v>
      </c>
      <c r="K34" s="100">
        <v>83.05</v>
      </c>
      <c r="L34" s="100">
        <v>11.47</v>
      </c>
      <c r="M34" s="100">
        <v>10.56</v>
      </c>
      <c r="N34" s="100">
        <v>7.5</v>
      </c>
      <c r="O34" s="100">
        <v>0</v>
      </c>
      <c r="P34" s="100">
        <v>1.03</v>
      </c>
      <c r="Q34" s="100">
        <v>9.32</v>
      </c>
      <c r="R34" s="6"/>
      <c r="S34" s="6"/>
      <c r="T34" s="156"/>
      <c r="U34" s="6"/>
    </row>
    <row r="35" spans="1:21" customFormat="1">
      <c r="A35" s="201" t="s">
        <v>1038</v>
      </c>
      <c r="B35" s="100">
        <v>17.23</v>
      </c>
      <c r="C35" s="100">
        <v>12.66</v>
      </c>
      <c r="D35" s="100">
        <v>20.43</v>
      </c>
      <c r="E35" s="100">
        <v>6.71</v>
      </c>
      <c r="F35" s="100">
        <v>2</v>
      </c>
      <c r="G35" s="100">
        <v>188.24</v>
      </c>
      <c r="H35" s="100">
        <v>72.150000000000006</v>
      </c>
      <c r="I35" s="100">
        <v>12.36</v>
      </c>
      <c r="J35" s="100">
        <v>7.0000000000000007E-2</v>
      </c>
      <c r="K35" s="100">
        <v>53.03</v>
      </c>
      <c r="L35" s="100">
        <v>15.63</v>
      </c>
      <c r="M35" s="100">
        <v>20.71</v>
      </c>
      <c r="N35" s="100">
        <v>14.5</v>
      </c>
      <c r="O35" s="100">
        <v>0</v>
      </c>
      <c r="P35" s="100">
        <v>1.03</v>
      </c>
      <c r="Q35" s="100">
        <v>9.32</v>
      </c>
      <c r="R35" s="6"/>
      <c r="S35" s="6"/>
      <c r="T35" s="156"/>
      <c r="U35" s="6"/>
    </row>
    <row r="36" spans="1:21" customFormat="1">
      <c r="A36" s="201" t="s">
        <v>1039</v>
      </c>
      <c r="B36" s="100">
        <v>17.77</v>
      </c>
      <c r="C36" s="100">
        <v>12.8</v>
      </c>
      <c r="D36" s="100">
        <v>20.93</v>
      </c>
      <c r="E36" s="100">
        <v>7.02</v>
      </c>
      <c r="F36" s="100">
        <v>2</v>
      </c>
      <c r="G36" s="100">
        <v>188.24</v>
      </c>
      <c r="H36" s="100">
        <v>72.150000000000006</v>
      </c>
      <c r="I36" s="100">
        <v>12.52</v>
      </c>
      <c r="J36" s="100">
        <v>0.32</v>
      </c>
      <c r="K36" s="100">
        <v>47.94</v>
      </c>
      <c r="L36" s="100">
        <v>7.54</v>
      </c>
      <c r="M36" s="100">
        <v>0.23</v>
      </c>
      <c r="N36" s="100">
        <v>24.7</v>
      </c>
      <c r="O36" s="100">
        <v>0</v>
      </c>
      <c r="P36" s="100">
        <v>1.04</v>
      </c>
      <c r="Q36" s="100">
        <v>9.32</v>
      </c>
      <c r="R36" s="6"/>
      <c r="S36" s="6"/>
      <c r="T36" s="156"/>
      <c r="U36" s="6"/>
    </row>
    <row r="37" spans="1:21" customFormat="1">
      <c r="A37" s="201" t="s">
        <v>1040</v>
      </c>
      <c r="B37" s="100">
        <v>17.95</v>
      </c>
      <c r="C37" s="100">
        <v>12.96</v>
      </c>
      <c r="D37" s="100">
        <v>21.16</v>
      </c>
      <c r="E37" s="100">
        <v>7.23</v>
      </c>
      <c r="F37" s="100">
        <v>2</v>
      </c>
      <c r="G37" s="100">
        <v>188.24</v>
      </c>
      <c r="H37" s="100">
        <v>72.150000000000006</v>
      </c>
      <c r="I37" s="100">
        <v>12.77</v>
      </c>
      <c r="J37" s="100">
        <v>0.32</v>
      </c>
      <c r="K37" s="100">
        <v>36.200000000000003</v>
      </c>
      <c r="L37" s="100">
        <v>6.93</v>
      </c>
      <c r="M37" s="100">
        <v>-1.7</v>
      </c>
      <c r="N37" s="100">
        <v>39.6</v>
      </c>
      <c r="O37" s="100">
        <v>0</v>
      </c>
      <c r="P37" s="100">
        <v>1.06</v>
      </c>
      <c r="Q37" s="100">
        <v>9.32</v>
      </c>
      <c r="R37" s="6"/>
      <c r="S37" s="6"/>
      <c r="T37" s="156"/>
      <c r="U37" s="6"/>
    </row>
    <row r="38" spans="1:21" customFormat="1">
      <c r="A38" s="201" t="s">
        <v>1041</v>
      </c>
      <c r="B38" s="100">
        <v>17.78</v>
      </c>
      <c r="C38" s="100">
        <v>13.06</v>
      </c>
      <c r="D38" s="100">
        <v>21.08</v>
      </c>
      <c r="E38" s="100">
        <v>7.27</v>
      </c>
      <c r="F38" s="100">
        <v>2</v>
      </c>
      <c r="G38" s="100">
        <v>193.32</v>
      </c>
      <c r="H38" s="100">
        <v>75.5</v>
      </c>
      <c r="I38" s="100">
        <v>13.08</v>
      </c>
      <c r="J38" s="100">
        <v>0.35</v>
      </c>
      <c r="K38" s="100">
        <v>43.2</v>
      </c>
      <c r="L38" s="100">
        <v>9.11</v>
      </c>
      <c r="M38" s="100">
        <v>3.35</v>
      </c>
      <c r="N38" s="100">
        <v>55.8</v>
      </c>
      <c r="O38" s="100">
        <v>0</v>
      </c>
      <c r="P38" s="100">
        <v>1.06</v>
      </c>
      <c r="Q38" s="100">
        <v>9.32</v>
      </c>
      <c r="R38" s="6"/>
      <c r="S38" s="6"/>
      <c r="T38" s="156"/>
      <c r="U38" s="6"/>
    </row>
    <row r="39" spans="1:21" customFormat="1">
      <c r="A39" s="201" t="s">
        <v>1042</v>
      </c>
      <c r="B39" s="100">
        <v>17.440000000000001</v>
      </c>
      <c r="C39" s="100">
        <v>13.2</v>
      </c>
      <c r="D39" s="100">
        <v>20.88</v>
      </c>
      <c r="E39" s="100">
        <v>7.31</v>
      </c>
      <c r="F39" s="100">
        <v>2</v>
      </c>
      <c r="G39" s="100">
        <v>199.67</v>
      </c>
      <c r="H39" s="100">
        <v>81.16</v>
      </c>
      <c r="I39" s="100">
        <v>13.34</v>
      </c>
      <c r="J39" s="100">
        <v>0.16</v>
      </c>
      <c r="K39" s="100">
        <v>45.87</v>
      </c>
      <c r="L39" s="100">
        <v>17.100000000000001</v>
      </c>
      <c r="M39" s="100">
        <v>22.58</v>
      </c>
      <c r="N39" s="100">
        <v>84.9</v>
      </c>
      <c r="O39" s="100">
        <v>0</v>
      </c>
      <c r="P39" s="100">
        <v>1.07</v>
      </c>
      <c r="Q39" s="100">
        <v>9.32</v>
      </c>
      <c r="R39" s="6"/>
      <c r="S39" s="6"/>
      <c r="T39" s="156"/>
      <c r="U39" s="6"/>
    </row>
    <row r="40" spans="1:21" customFormat="1">
      <c r="A40" s="201" t="s">
        <v>1043</v>
      </c>
      <c r="B40" s="100">
        <v>16.79</v>
      </c>
      <c r="C40" s="100">
        <v>13.3</v>
      </c>
      <c r="D40" s="100">
        <v>20.41</v>
      </c>
      <c r="E40" s="100">
        <v>7.03</v>
      </c>
      <c r="F40" s="100">
        <v>2</v>
      </c>
      <c r="G40" s="100">
        <v>199.67</v>
      </c>
      <c r="H40" s="100">
        <v>81.16</v>
      </c>
      <c r="I40" s="100">
        <v>13.49</v>
      </c>
      <c r="J40" s="100">
        <v>0.02</v>
      </c>
      <c r="K40" s="100">
        <v>156.83000000000001</v>
      </c>
      <c r="L40" s="100">
        <v>19.96</v>
      </c>
      <c r="M40" s="100">
        <v>27.76</v>
      </c>
      <c r="N40" s="100">
        <v>176.9</v>
      </c>
      <c r="O40" s="100">
        <v>0</v>
      </c>
      <c r="P40" s="100">
        <v>1.06</v>
      </c>
      <c r="Q40" s="100">
        <v>9.32</v>
      </c>
      <c r="R40" s="6"/>
      <c r="S40" s="6"/>
      <c r="T40" s="156"/>
      <c r="U40" s="6"/>
    </row>
    <row r="41" spans="1:21" customFormat="1">
      <c r="A41" s="201" t="s">
        <v>1044</v>
      </c>
      <c r="B41" s="100">
        <v>15.91</v>
      </c>
      <c r="C41" s="100">
        <v>13.4</v>
      </c>
      <c r="D41" s="100">
        <v>19.760000000000002</v>
      </c>
      <c r="E41" s="100">
        <v>6.92</v>
      </c>
      <c r="F41" s="100">
        <v>2</v>
      </c>
      <c r="G41" s="100">
        <v>199.67</v>
      </c>
      <c r="H41" s="100">
        <v>81.16</v>
      </c>
      <c r="I41" s="100">
        <v>13.56</v>
      </c>
      <c r="J41" s="100">
        <v>0.4</v>
      </c>
      <c r="K41" s="100">
        <v>49.39</v>
      </c>
      <c r="L41" s="100">
        <v>12.1</v>
      </c>
      <c r="M41" s="100">
        <v>7.17</v>
      </c>
      <c r="N41" s="100">
        <v>213.1</v>
      </c>
      <c r="O41" s="100">
        <v>0</v>
      </c>
      <c r="P41" s="100">
        <v>1.05</v>
      </c>
      <c r="Q41" s="100">
        <v>9.32</v>
      </c>
      <c r="R41" s="6"/>
      <c r="S41" s="6"/>
      <c r="T41" s="156"/>
      <c r="U41" s="6"/>
    </row>
    <row r="42" spans="1:21" customFormat="1">
      <c r="A42" s="201" t="s">
        <v>1045</v>
      </c>
      <c r="B42" s="100">
        <v>15.06</v>
      </c>
      <c r="C42" s="100">
        <v>13.54</v>
      </c>
      <c r="D42" s="100">
        <v>19.149999999999999</v>
      </c>
      <c r="E42" s="100">
        <v>6.76</v>
      </c>
      <c r="F42" s="100">
        <v>2</v>
      </c>
      <c r="G42" s="100">
        <v>185.2</v>
      </c>
      <c r="H42" s="100">
        <v>78.48</v>
      </c>
      <c r="I42" s="100">
        <v>13.52</v>
      </c>
      <c r="J42" s="100">
        <v>0.34</v>
      </c>
      <c r="K42" s="100">
        <v>23.62</v>
      </c>
      <c r="L42" s="100">
        <v>17.100000000000001</v>
      </c>
      <c r="M42" s="100">
        <v>18.77</v>
      </c>
      <c r="N42" s="100">
        <v>253.8</v>
      </c>
      <c r="O42" s="100">
        <v>0</v>
      </c>
      <c r="P42" s="100">
        <v>1.06</v>
      </c>
      <c r="Q42" s="100">
        <v>9.32</v>
      </c>
      <c r="R42" s="6"/>
      <c r="S42" s="6"/>
      <c r="T42" s="156"/>
      <c r="U42" s="6"/>
    </row>
    <row r="43" spans="1:21" customFormat="1">
      <c r="A43" s="201" t="s">
        <v>1046</v>
      </c>
      <c r="B43" s="100">
        <v>14.27</v>
      </c>
      <c r="C43" s="100">
        <v>13.57</v>
      </c>
      <c r="D43" s="100">
        <v>18.53</v>
      </c>
      <c r="E43" s="100">
        <v>6.84</v>
      </c>
      <c r="F43" s="100">
        <v>2</v>
      </c>
      <c r="G43" s="100">
        <v>167.11</v>
      </c>
      <c r="H43" s="100">
        <v>76.680000000000007</v>
      </c>
      <c r="I43" s="100">
        <v>13.36</v>
      </c>
      <c r="J43" s="100">
        <v>0.43</v>
      </c>
      <c r="K43" s="100">
        <v>14.32</v>
      </c>
      <c r="L43" s="100">
        <v>15.95</v>
      </c>
      <c r="M43" s="100">
        <v>14.95</v>
      </c>
      <c r="N43" s="100">
        <v>294.10000000000002</v>
      </c>
      <c r="O43" s="100">
        <v>0</v>
      </c>
      <c r="P43" s="100">
        <v>1.04</v>
      </c>
      <c r="Q43" s="100">
        <v>9.32</v>
      </c>
      <c r="R43" s="6"/>
      <c r="S43" s="6"/>
      <c r="T43" s="156"/>
      <c r="U43" s="6"/>
    </row>
    <row r="44" spans="1:21" customFormat="1">
      <c r="A44" s="201" t="s">
        <v>1047</v>
      </c>
      <c r="B44" s="100">
        <v>13.49</v>
      </c>
      <c r="C44" s="100">
        <v>13.42</v>
      </c>
      <c r="D44" s="100">
        <v>17.829999999999998</v>
      </c>
      <c r="E44" s="100">
        <v>6.82</v>
      </c>
      <c r="F44" s="100">
        <v>2</v>
      </c>
      <c r="G44" s="100">
        <v>167.11</v>
      </c>
      <c r="H44" s="100">
        <v>76.680000000000007</v>
      </c>
      <c r="I44" s="100">
        <v>13.16</v>
      </c>
      <c r="J44" s="100">
        <v>0.46</v>
      </c>
      <c r="K44" s="100">
        <v>45.37</v>
      </c>
      <c r="L44" s="100">
        <v>14.24</v>
      </c>
      <c r="M44" s="100">
        <v>9.8699999999999992</v>
      </c>
      <c r="N44" s="100">
        <v>333.2</v>
      </c>
      <c r="O44" s="100">
        <v>0</v>
      </c>
      <c r="P44" s="100">
        <v>1.03</v>
      </c>
      <c r="Q44" s="100">
        <v>9.32</v>
      </c>
      <c r="R44" s="6"/>
      <c r="S44" s="6"/>
      <c r="T44" s="156"/>
      <c r="U44" s="6"/>
    </row>
    <row r="45" spans="1:21" customFormat="1">
      <c r="A45" s="201" t="s">
        <v>1048</v>
      </c>
      <c r="B45" s="100">
        <v>12.73</v>
      </c>
      <c r="C45" s="100">
        <v>13.45</v>
      </c>
      <c r="D45" s="100">
        <v>17.23</v>
      </c>
      <c r="E45" s="100">
        <v>6.53</v>
      </c>
      <c r="F45" s="100">
        <v>2</v>
      </c>
      <c r="G45" s="100">
        <v>167.11</v>
      </c>
      <c r="H45" s="100">
        <v>76.680000000000007</v>
      </c>
      <c r="I45" s="100">
        <v>12.96</v>
      </c>
      <c r="J45" s="100">
        <v>0.62</v>
      </c>
      <c r="K45" s="100">
        <v>37.630000000000003</v>
      </c>
      <c r="L45" s="100">
        <v>12.64</v>
      </c>
      <c r="M45" s="100">
        <v>4.76</v>
      </c>
      <c r="N45" s="100">
        <v>374.8</v>
      </c>
      <c r="O45" s="100">
        <v>0</v>
      </c>
      <c r="P45" s="100">
        <v>1.03</v>
      </c>
      <c r="Q45" s="100">
        <v>9.32</v>
      </c>
      <c r="R45" s="6"/>
      <c r="S45" s="6"/>
      <c r="T45" s="156"/>
      <c r="U45" s="6"/>
    </row>
    <row r="46" spans="1:21" customFormat="1">
      <c r="A46" s="201" t="s">
        <v>1049</v>
      </c>
      <c r="B46" s="100">
        <v>11.97</v>
      </c>
      <c r="C46" s="100">
        <v>13.53</v>
      </c>
      <c r="D46" s="100">
        <v>16.670000000000002</v>
      </c>
      <c r="E46" s="100">
        <v>6.76</v>
      </c>
      <c r="F46" s="100">
        <v>2</v>
      </c>
      <c r="G46" s="100">
        <v>152.11000000000001</v>
      </c>
      <c r="H46" s="100">
        <v>73.099999999999994</v>
      </c>
      <c r="I46" s="100">
        <v>12.87</v>
      </c>
      <c r="J46" s="100">
        <v>0.47</v>
      </c>
      <c r="K46" s="100">
        <v>30.72</v>
      </c>
      <c r="L46" s="100">
        <v>17.350000000000001</v>
      </c>
      <c r="M46" s="100">
        <v>15.79</v>
      </c>
      <c r="N46" s="100">
        <v>410.6</v>
      </c>
      <c r="O46" s="100">
        <v>0</v>
      </c>
      <c r="P46" s="100">
        <v>1.01</v>
      </c>
      <c r="Q46" s="100">
        <v>9.32</v>
      </c>
      <c r="R46" s="6"/>
      <c r="S46" s="6"/>
      <c r="T46" s="156"/>
      <c r="U46" s="6"/>
    </row>
    <row r="47" spans="1:21" customFormat="1">
      <c r="A47" s="201" t="s">
        <v>1050</v>
      </c>
      <c r="B47" s="100">
        <v>11.16</v>
      </c>
      <c r="C47" s="100">
        <v>13.5</v>
      </c>
      <c r="D47" s="100">
        <v>16.010000000000002</v>
      </c>
      <c r="E47" s="100">
        <v>6.73</v>
      </c>
      <c r="F47" s="100">
        <v>2</v>
      </c>
      <c r="G47" s="100">
        <v>133.35</v>
      </c>
      <c r="H47" s="100">
        <v>70.63</v>
      </c>
      <c r="I47" s="100">
        <v>12.86</v>
      </c>
      <c r="J47" s="100">
        <v>0.5</v>
      </c>
      <c r="K47" s="100">
        <v>51</v>
      </c>
      <c r="L47" s="100">
        <v>11.64</v>
      </c>
      <c r="M47" s="100">
        <v>4.3499999999999996</v>
      </c>
      <c r="N47" s="100">
        <v>288.60000000000002</v>
      </c>
      <c r="O47" s="100">
        <v>0</v>
      </c>
      <c r="P47" s="100">
        <v>0.99</v>
      </c>
      <c r="Q47" s="100">
        <v>9.32</v>
      </c>
      <c r="R47" s="6"/>
      <c r="S47" s="6"/>
      <c r="T47" s="156"/>
      <c r="U47" s="6"/>
    </row>
    <row r="48" spans="1:21" customFormat="1">
      <c r="A48" s="201" t="s">
        <v>1051</v>
      </c>
      <c r="B48" s="100">
        <v>10.23</v>
      </c>
      <c r="C48" s="100">
        <v>13.46</v>
      </c>
      <c r="D48" s="100">
        <v>15.23</v>
      </c>
      <c r="E48" s="100">
        <v>6.79</v>
      </c>
      <c r="F48" s="100">
        <v>2</v>
      </c>
      <c r="G48" s="100">
        <v>133.35</v>
      </c>
      <c r="H48" s="100">
        <v>70.63</v>
      </c>
      <c r="I48" s="100">
        <v>12.82</v>
      </c>
      <c r="J48" s="100">
        <v>0.43</v>
      </c>
      <c r="K48" s="100">
        <v>17.61</v>
      </c>
      <c r="L48" s="100">
        <v>15.93</v>
      </c>
      <c r="M48" s="100">
        <v>12.97</v>
      </c>
      <c r="N48" s="100">
        <v>378.9</v>
      </c>
      <c r="O48" s="100">
        <v>0</v>
      </c>
      <c r="P48" s="100">
        <v>0.98</v>
      </c>
      <c r="Q48" s="100">
        <v>9.32</v>
      </c>
      <c r="R48" s="6"/>
      <c r="S48" s="6"/>
      <c r="T48" s="156"/>
      <c r="U48" s="6"/>
    </row>
    <row r="49" spans="1:21" customFormat="1">
      <c r="A49" s="201" t="s">
        <v>1052</v>
      </c>
      <c r="B49" s="100">
        <v>9.1999999999999993</v>
      </c>
      <c r="C49" s="100">
        <v>13.5</v>
      </c>
      <c r="D49" s="100">
        <v>14.43</v>
      </c>
      <c r="E49" s="100">
        <v>5.08</v>
      </c>
      <c r="F49" s="100">
        <v>2</v>
      </c>
      <c r="G49" s="100">
        <v>133.35</v>
      </c>
      <c r="H49" s="100">
        <v>70.63</v>
      </c>
      <c r="I49" s="100">
        <v>12.72</v>
      </c>
      <c r="J49" s="100">
        <v>0.59</v>
      </c>
      <c r="K49" s="100">
        <v>54.43</v>
      </c>
      <c r="L49" s="100">
        <v>13.42</v>
      </c>
      <c r="M49" s="100">
        <v>3.69</v>
      </c>
      <c r="N49" s="100">
        <v>507.5</v>
      </c>
      <c r="O49" s="100">
        <v>0</v>
      </c>
      <c r="P49" s="100">
        <v>0.96</v>
      </c>
      <c r="Q49" s="100">
        <v>9.32</v>
      </c>
      <c r="R49" s="6"/>
      <c r="S49" s="6"/>
      <c r="T49" s="156"/>
      <c r="U49" s="6"/>
    </row>
    <row r="50" spans="1:21" customFormat="1">
      <c r="A50" s="201" t="s">
        <v>1053</v>
      </c>
      <c r="B50" s="100">
        <v>8.09</v>
      </c>
      <c r="C50" s="100">
        <v>13.5</v>
      </c>
      <c r="D50" s="100">
        <v>13.54</v>
      </c>
      <c r="E50" s="100">
        <v>5.79</v>
      </c>
      <c r="F50" s="100">
        <v>2</v>
      </c>
      <c r="G50" s="100">
        <v>125.58</v>
      </c>
      <c r="H50" s="100">
        <v>69.34</v>
      </c>
      <c r="I50" s="100">
        <v>12.54</v>
      </c>
      <c r="J50" s="100">
        <v>0.48</v>
      </c>
      <c r="K50" s="100">
        <v>50.09</v>
      </c>
      <c r="L50" s="100">
        <v>16.010000000000002</v>
      </c>
      <c r="M50" s="100">
        <v>9.74</v>
      </c>
      <c r="N50" s="100">
        <v>526</v>
      </c>
      <c r="O50" s="100">
        <v>0</v>
      </c>
      <c r="P50" s="100">
        <v>0.96</v>
      </c>
      <c r="Q50" s="100">
        <v>9.32</v>
      </c>
      <c r="R50" s="6"/>
      <c r="S50" s="6"/>
      <c r="T50" s="156"/>
      <c r="U50" s="6"/>
    </row>
    <row r="51" spans="1:21" customFormat="1">
      <c r="A51" s="201" t="s">
        <v>1054</v>
      </c>
      <c r="B51" s="100">
        <v>7.14</v>
      </c>
      <c r="C51" s="100">
        <v>13.41</v>
      </c>
      <c r="D51" s="100">
        <v>12.74</v>
      </c>
      <c r="E51" s="100">
        <v>6.11</v>
      </c>
      <c r="F51" s="100">
        <v>2</v>
      </c>
      <c r="G51" s="100">
        <v>115.87</v>
      </c>
      <c r="H51" s="100">
        <v>68.45</v>
      </c>
      <c r="I51" s="100">
        <v>12.33</v>
      </c>
      <c r="J51" s="100">
        <v>0.5</v>
      </c>
      <c r="K51" s="100">
        <v>65.41</v>
      </c>
      <c r="L51" s="100">
        <v>15.25</v>
      </c>
      <c r="M51" s="100">
        <v>7.46</v>
      </c>
      <c r="N51" s="100">
        <v>544.79999999999995</v>
      </c>
      <c r="O51" s="100">
        <v>0</v>
      </c>
      <c r="P51" s="100">
        <v>0.95</v>
      </c>
      <c r="Q51" s="100">
        <v>9.32</v>
      </c>
      <c r="R51" s="6"/>
      <c r="S51" s="6"/>
      <c r="T51" s="156"/>
      <c r="U51" s="6"/>
    </row>
    <row r="52" spans="1:21" customFormat="1">
      <c r="A52" s="201" t="s">
        <v>1055</v>
      </c>
      <c r="B52" s="100">
        <v>6.16</v>
      </c>
      <c r="C52" s="100">
        <v>13.3</v>
      </c>
      <c r="D52" s="100">
        <v>11.88</v>
      </c>
      <c r="E52" s="100">
        <v>6.2</v>
      </c>
      <c r="F52" s="100">
        <v>2</v>
      </c>
      <c r="G52" s="100">
        <v>115.87</v>
      </c>
      <c r="H52" s="100">
        <v>68.45</v>
      </c>
      <c r="I52" s="100">
        <v>12.22</v>
      </c>
      <c r="J52" s="100">
        <v>0.44</v>
      </c>
      <c r="K52" s="100">
        <v>76.48</v>
      </c>
      <c r="L52" s="100">
        <v>15.68</v>
      </c>
      <c r="M52" s="100">
        <v>9.19</v>
      </c>
      <c r="N52" s="100">
        <v>517</v>
      </c>
      <c r="O52" s="100">
        <v>0</v>
      </c>
      <c r="P52" s="100">
        <v>0.94</v>
      </c>
      <c r="Q52" s="100">
        <v>9.32</v>
      </c>
      <c r="R52" s="6"/>
      <c r="S52" s="6"/>
      <c r="T52" s="156"/>
      <c r="U52" s="6"/>
    </row>
    <row r="53" spans="1:21" customFormat="1">
      <c r="A53" s="201" t="s">
        <v>1056</v>
      </c>
      <c r="B53" s="100">
        <v>5.23</v>
      </c>
      <c r="C53" s="100">
        <v>13.18</v>
      </c>
      <c r="D53" s="100">
        <v>11.09</v>
      </c>
      <c r="E53" s="100">
        <v>5.91</v>
      </c>
      <c r="F53" s="100">
        <v>2</v>
      </c>
      <c r="G53" s="100">
        <v>115.87</v>
      </c>
      <c r="H53" s="100">
        <v>68.45</v>
      </c>
      <c r="I53" s="100">
        <v>12.15</v>
      </c>
      <c r="J53" s="100">
        <v>0.36</v>
      </c>
      <c r="K53" s="100">
        <v>59.56</v>
      </c>
      <c r="L53" s="100">
        <v>17.64</v>
      </c>
      <c r="M53" s="100">
        <v>12.24</v>
      </c>
      <c r="N53" s="100">
        <v>597.5</v>
      </c>
      <c r="O53" s="100">
        <v>0</v>
      </c>
      <c r="P53" s="100">
        <v>0.92</v>
      </c>
      <c r="Q53" s="100">
        <v>9.32</v>
      </c>
      <c r="R53" s="6"/>
      <c r="S53" s="6"/>
      <c r="T53" s="156"/>
      <c r="U53" s="6"/>
    </row>
    <row r="54" spans="1:21" customFormat="1">
      <c r="A54" s="201" t="s">
        <v>1057</v>
      </c>
      <c r="B54" s="100">
        <v>4.49</v>
      </c>
      <c r="C54" s="100">
        <v>12.97</v>
      </c>
      <c r="D54" s="100">
        <v>10.38</v>
      </c>
      <c r="E54" s="100">
        <v>5.48</v>
      </c>
      <c r="F54" s="100">
        <v>2</v>
      </c>
      <c r="G54" s="100">
        <v>109.95</v>
      </c>
      <c r="H54" s="100">
        <v>65.62</v>
      </c>
      <c r="I54" s="100">
        <v>12.01</v>
      </c>
      <c r="J54" s="100">
        <v>0.48</v>
      </c>
      <c r="K54" s="100">
        <v>34.270000000000003</v>
      </c>
      <c r="L54" s="100">
        <v>16.88</v>
      </c>
      <c r="M54" s="100">
        <v>10.59</v>
      </c>
      <c r="N54" s="100">
        <v>583</v>
      </c>
      <c r="O54" s="100">
        <v>0</v>
      </c>
      <c r="P54" s="100">
        <v>0.91</v>
      </c>
      <c r="Q54" s="100">
        <v>9.32</v>
      </c>
      <c r="R54" s="6"/>
      <c r="S54" s="6"/>
      <c r="T54" s="156"/>
      <c r="U54" s="6"/>
    </row>
    <row r="55" spans="1:21" customFormat="1">
      <c r="A55" s="201" t="s">
        <v>1058</v>
      </c>
      <c r="B55" s="100">
        <v>3.84</v>
      </c>
      <c r="C55" s="100">
        <v>12.78</v>
      </c>
      <c r="D55" s="100">
        <v>9.76</v>
      </c>
      <c r="E55" s="100">
        <v>5.55</v>
      </c>
      <c r="F55" s="100">
        <v>2</v>
      </c>
      <c r="G55" s="100">
        <v>102.87</v>
      </c>
      <c r="H55" s="100">
        <v>63.71</v>
      </c>
      <c r="I55" s="100">
        <v>11.84</v>
      </c>
      <c r="J55" s="100">
        <v>0.34</v>
      </c>
      <c r="K55" s="100">
        <v>81.319999999999993</v>
      </c>
      <c r="L55" s="100">
        <v>16.7</v>
      </c>
      <c r="M55" s="100">
        <v>9.7899999999999991</v>
      </c>
      <c r="N55" s="100">
        <v>603.6</v>
      </c>
      <c r="O55" s="100">
        <v>0</v>
      </c>
      <c r="P55" s="100">
        <v>0.9</v>
      </c>
      <c r="Q55" s="100">
        <v>9.32</v>
      </c>
      <c r="R55" s="6"/>
      <c r="S55" s="6"/>
      <c r="T55" s="156"/>
      <c r="U55" s="6"/>
    </row>
    <row r="56" spans="1:21" customFormat="1">
      <c r="A56" s="201" t="s">
        <v>1059</v>
      </c>
      <c r="B56" s="100">
        <v>3.29</v>
      </c>
      <c r="C56" s="100">
        <v>12.49</v>
      </c>
      <c r="D56" s="100">
        <v>9.17</v>
      </c>
      <c r="E56" s="100">
        <v>5.69</v>
      </c>
      <c r="F56" s="100">
        <v>2</v>
      </c>
      <c r="G56" s="100">
        <v>102.87</v>
      </c>
      <c r="H56" s="100">
        <v>63.71</v>
      </c>
      <c r="I56" s="100">
        <v>11.68</v>
      </c>
      <c r="J56" s="100">
        <v>0.32</v>
      </c>
      <c r="K56" s="100">
        <v>13.72</v>
      </c>
      <c r="L56" s="100">
        <v>20.52</v>
      </c>
      <c r="M56" s="100">
        <v>19.12</v>
      </c>
      <c r="N56" s="100">
        <v>610.1</v>
      </c>
      <c r="O56" s="100">
        <v>0</v>
      </c>
      <c r="P56" s="100">
        <v>0.88</v>
      </c>
      <c r="Q56" s="100">
        <v>9.32</v>
      </c>
      <c r="R56" s="6"/>
      <c r="S56" s="6"/>
      <c r="T56" s="156"/>
      <c r="U56" s="6"/>
    </row>
    <row r="57" spans="1:21" customFormat="1">
      <c r="A57" s="201" t="s">
        <v>1060</v>
      </c>
      <c r="B57" s="100">
        <v>2.84</v>
      </c>
      <c r="C57" s="100">
        <v>12.17</v>
      </c>
      <c r="D57" s="100">
        <v>8.64</v>
      </c>
      <c r="E57" s="100">
        <v>5.4</v>
      </c>
      <c r="F57" s="100">
        <v>2</v>
      </c>
      <c r="G57" s="100">
        <v>102.87</v>
      </c>
      <c r="H57" s="100">
        <v>63.71</v>
      </c>
      <c r="I57" s="100">
        <v>11.51</v>
      </c>
      <c r="J57" s="100">
        <v>0.39</v>
      </c>
      <c r="K57" s="100">
        <v>292.64999999999998</v>
      </c>
      <c r="L57" s="100">
        <v>28.3</v>
      </c>
      <c r="M57" s="100">
        <v>38.83</v>
      </c>
      <c r="N57" s="100">
        <v>608.1</v>
      </c>
      <c r="O57" s="100">
        <v>0</v>
      </c>
      <c r="P57" s="100">
        <v>0.87</v>
      </c>
      <c r="Q57" s="100">
        <v>9.32</v>
      </c>
      <c r="R57" s="6"/>
      <c r="S57" s="6"/>
      <c r="T57" s="156"/>
      <c r="U57" s="6"/>
    </row>
    <row r="58" spans="1:21" customFormat="1">
      <c r="A58" s="201" t="s">
        <v>1061</v>
      </c>
      <c r="B58" s="100">
        <v>2.5499999999999998</v>
      </c>
      <c r="C58" s="100">
        <v>11.78</v>
      </c>
      <c r="D58" s="100">
        <v>8.1999999999999993</v>
      </c>
      <c r="E58" s="100">
        <v>5.37</v>
      </c>
      <c r="F58" s="100">
        <v>2</v>
      </c>
      <c r="G58" s="100">
        <v>95.07</v>
      </c>
      <c r="H58" s="100">
        <v>58.29</v>
      </c>
      <c r="I58" s="100">
        <v>11.29</v>
      </c>
      <c r="J58" s="100">
        <v>0.31</v>
      </c>
      <c r="K58" s="100">
        <v>218.81</v>
      </c>
      <c r="L58" s="100">
        <v>25.75</v>
      </c>
      <c r="M58" s="100">
        <v>32.47</v>
      </c>
      <c r="N58" s="100">
        <v>607.6</v>
      </c>
      <c r="O58" s="100">
        <v>0</v>
      </c>
      <c r="P58" s="100">
        <v>0.85</v>
      </c>
      <c r="Q58" s="100">
        <v>9.32</v>
      </c>
      <c r="R58" s="6"/>
      <c r="S58" s="6"/>
      <c r="T58" s="156"/>
      <c r="U58" s="6"/>
    </row>
    <row r="59" spans="1:21" customFormat="1">
      <c r="A59" s="201" t="s">
        <v>1062</v>
      </c>
      <c r="B59" s="100">
        <v>2.2999999999999998</v>
      </c>
      <c r="C59" s="100">
        <v>11.29</v>
      </c>
      <c r="D59" s="100">
        <v>7.74</v>
      </c>
      <c r="E59" s="100">
        <v>5.42</v>
      </c>
      <c r="F59" s="100">
        <v>2</v>
      </c>
      <c r="G59" s="100">
        <v>85.32</v>
      </c>
      <c r="H59" s="100">
        <v>54.63</v>
      </c>
      <c r="I59" s="100">
        <v>11.1</v>
      </c>
      <c r="J59" s="100">
        <v>0.14000000000000001</v>
      </c>
      <c r="K59" s="100">
        <v>11.43</v>
      </c>
      <c r="L59" s="100">
        <v>22.45</v>
      </c>
      <c r="M59" s="100">
        <v>24.54</v>
      </c>
      <c r="N59" s="100">
        <v>585.79999999999995</v>
      </c>
      <c r="O59" s="100">
        <v>0</v>
      </c>
      <c r="P59" s="100">
        <v>0.83</v>
      </c>
      <c r="Q59" s="100">
        <v>9.32</v>
      </c>
      <c r="R59" s="6"/>
      <c r="S59" s="6"/>
      <c r="T59" s="156"/>
      <c r="U59" s="6"/>
    </row>
    <row r="60" spans="1:21" customFormat="1">
      <c r="A60" s="201" t="s">
        <v>1063</v>
      </c>
      <c r="B60" s="100">
        <v>2.11</v>
      </c>
      <c r="C60" s="100">
        <v>10.92</v>
      </c>
      <c r="D60" s="100">
        <v>7.4</v>
      </c>
      <c r="E60" s="100">
        <v>5.35</v>
      </c>
      <c r="F60" s="100">
        <v>2</v>
      </c>
      <c r="G60" s="100">
        <v>85.32</v>
      </c>
      <c r="H60" s="100">
        <v>54.63</v>
      </c>
      <c r="I60" s="100">
        <v>10.97</v>
      </c>
      <c r="J60" s="100">
        <v>0.4</v>
      </c>
      <c r="K60" s="100">
        <v>306.04000000000002</v>
      </c>
      <c r="L60" s="100">
        <v>26.22</v>
      </c>
      <c r="M60" s="100">
        <v>35.17</v>
      </c>
      <c r="N60" s="100">
        <v>534.9</v>
      </c>
      <c r="O60" s="100">
        <v>0</v>
      </c>
      <c r="P60" s="100">
        <v>0.83</v>
      </c>
      <c r="Q60" s="100">
        <v>9.32</v>
      </c>
      <c r="R60" s="6"/>
      <c r="S60" s="6"/>
      <c r="T60" s="156"/>
      <c r="U60" s="6"/>
    </row>
    <row r="61" spans="1:21" customFormat="1">
      <c r="A61" s="201" t="s">
        <v>1064</v>
      </c>
      <c r="B61" s="100">
        <v>1.92</v>
      </c>
      <c r="C61" s="100">
        <v>10.67</v>
      </c>
      <c r="D61" s="100">
        <v>7.12</v>
      </c>
      <c r="E61" s="100">
        <v>5.44</v>
      </c>
      <c r="F61" s="100">
        <v>2</v>
      </c>
      <c r="G61" s="100">
        <v>85.32</v>
      </c>
      <c r="H61" s="100">
        <v>54.63</v>
      </c>
      <c r="I61" s="100">
        <v>10.84</v>
      </c>
      <c r="J61" s="100">
        <v>0.32</v>
      </c>
      <c r="K61" s="100">
        <v>30.54</v>
      </c>
      <c r="L61" s="100">
        <v>18.57</v>
      </c>
      <c r="M61" s="100">
        <v>17.95</v>
      </c>
      <c r="N61" s="100">
        <v>450.2</v>
      </c>
      <c r="O61" s="100">
        <v>0</v>
      </c>
      <c r="P61" s="100">
        <v>0.81</v>
      </c>
      <c r="Q61" s="100">
        <v>9.32</v>
      </c>
      <c r="R61" s="6"/>
      <c r="S61" s="6"/>
      <c r="T61" s="156"/>
      <c r="U61" s="6"/>
    </row>
    <row r="62" spans="1:21" customFormat="1">
      <c r="A62" s="201" t="s">
        <v>1065</v>
      </c>
      <c r="B62" s="100">
        <v>1.8</v>
      </c>
      <c r="C62" s="100">
        <v>10.66</v>
      </c>
      <c r="D62" s="100">
        <v>7.01</v>
      </c>
      <c r="E62" s="100">
        <v>5.86</v>
      </c>
      <c r="F62" s="100">
        <v>2.71</v>
      </c>
      <c r="G62" s="100">
        <v>82.85</v>
      </c>
      <c r="H62" s="100">
        <v>52.76</v>
      </c>
      <c r="I62" s="100">
        <v>10.65</v>
      </c>
      <c r="J62" s="100">
        <v>0.42</v>
      </c>
      <c r="K62" s="100">
        <v>324.67</v>
      </c>
      <c r="L62" s="100">
        <v>24.79</v>
      </c>
      <c r="M62" s="100">
        <v>32.58</v>
      </c>
      <c r="N62" s="100">
        <v>489.7</v>
      </c>
      <c r="O62" s="100">
        <v>0</v>
      </c>
      <c r="P62" s="100">
        <v>0.79</v>
      </c>
      <c r="Q62" s="100">
        <v>9.32</v>
      </c>
      <c r="R62" s="6"/>
      <c r="S62" s="6"/>
      <c r="T62" s="156"/>
      <c r="U62" s="6"/>
    </row>
    <row r="63" spans="1:21" customFormat="1">
      <c r="A63" s="201" t="s">
        <v>1066</v>
      </c>
      <c r="B63" s="100">
        <v>1.73</v>
      </c>
      <c r="C63" s="100">
        <v>10.56</v>
      </c>
      <c r="D63" s="100">
        <v>6.91</v>
      </c>
      <c r="E63" s="100">
        <v>5.88</v>
      </c>
      <c r="F63" s="100">
        <v>2</v>
      </c>
      <c r="G63" s="100">
        <v>79.75</v>
      </c>
      <c r="H63" s="100">
        <v>49.81</v>
      </c>
      <c r="I63" s="100">
        <v>10.34</v>
      </c>
      <c r="J63" s="100">
        <v>0.16</v>
      </c>
      <c r="K63" s="100">
        <v>4.16</v>
      </c>
      <c r="L63" s="100">
        <v>21.12</v>
      </c>
      <c r="M63" s="100">
        <v>24.16</v>
      </c>
      <c r="N63" s="100">
        <v>452</v>
      </c>
      <c r="O63" s="100">
        <v>0</v>
      </c>
      <c r="P63" s="100">
        <v>0.79</v>
      </c>
      <c r="Q63" s="100">
        <v>9.32</v>
      </c>
      <c r="R63" s="6"/>
      <c r="S63" s="6"/>
      <c r="T63" s="156"/>
      <c r="U63" s="6"/>
    </row>
    <row r="64" spans="1:21" customFormat="1">
      <c r="A64" s="201" t="s">
        <v>1067</v>
      </c>
      <c r="B64" s="100">
        <v>1.7</v>
      </c>
      <c r="C64" s="100">
        <v>10.38</v>
      </c>
      <c r="D64" s="100">
        <v>6.79</v>
      </c>
      <c r="E64" s="100">
        <v>6.46</v>
      </c>
      <c r="F64" s="100">
        <v>3.31</v>
      </c>
      <c r="G64" s="100">
        <v>79.75</v>
      </c>
      <c r="H64" s="100">
        <v>49.81</v>
      </c>
      <c r="I64" s="100">
        <v>10.08</v>
      </c>
      <c r="J64" s="100">
        <v>0.24</v>
      </c>
      <c r="K64" s="100">
        <v>340.31</v>
      </c>
      <c r="L64" s="100">
        <v>18.27</v>
      </c>
      <c r="M64" s="100">
        <v>22.83</v>
      </c>
      <c r="N64" s="100">
        <v>199.4</v>
      </c>
      <c r="O64" s="100">
        <v>0</v>
      </c>
      <c r="P64" s="100">
        <v>0.77</v>
      </c>
      <c r="Q64" s="100">
        <v>9.32</v>
      </c>
      <c r="R64" s="6"/>
      <c r="S64" s="6"/>
      <c r="T64" s="156"/>
      <c r="U64" s="6"/>
    </row>
    <row r="65" spans="1:21" customFormat="1">
      <c r="A65" s="201" t="s">
        <v>1068</v>
      </c>
      <c r="B65" s="100">
        <v>1.75</v>
      </c>
      <c r="C65" s="100">
        <v>10.7</v>
      </c>
      <c r="D65" s="100">
        <v>6.99</v>
      </c>
      <c r="E65" s="100">
        <v>7.66</v>
      </c>
      <c r="F65" s="100">
        <v>4.18</v>
      </c>
      <c r="G65" s="100">
        <v>79.75</v>
      </c>
      <c r="H65" s="100">
        <v>49.81</v>
      </c>
      <c r="I65" s="100">
        <v>9.93</v>
      </c>
      <c r="J65" s="100">
        <v>0.45</v>
      </c>
      <c r="K65" s="100">
        <v>37.92</v>
      </c>
      <c r="L65" s="100">
        <v>13.77</v>
      </c>
      <c r="M65" s="100">
        <v>14.23</v>
      </c>
      <c r="N65" s="100">
        <v>87</v>
      </c>
      <c r="O65" s="100">
        <v>0</v>
      </c>
      <c r="P65" s="100">
        <v>0.75</v>
      </c>
      <c r="Q65" s="100">
        <v>9.32</v>
      </c>
      <c r="R65" s="6"/>
      <c r="S65" s="6"/>
      <c r="T65" s="156"/>
      <c r="U65" s="6"/>
    </row>
    <row r="66" spans="1:21" customFormat="1">
      <c r="A66" s="201" t="s">
        <v>1069</v>
      </c>
      <c r="B66" s="100">
        <v>1.7</v>
      </c>
      <c r="C66" s="100">
        <v>11.34</v>
      </c>
      <c r="D66" s="100">
        <v>7.29</v>
      </c>
      <c r="E66" s="100">
        <v>10.1</v>
      </c>
      <c r="F66" s="100">
        <v>8.35</v>
      </c>
      <c r="G66" s="100">
        <v>81.760000000000005</v>
      </c>
      <c r="H66" s="100">
        <v>49.37</v>
      </c>
      <c r="I66" s="100">
        <v>9.75</v>
      </c>
      <c r="J66" s="100">
        <v>0.18</v>
      </c>
      <c r="K66" s="100">
        <v>351.43</v>
      </c>
      <c r="L66" s="100">
        <v>19.87</v>
      </c>
      <c r="M66" s="100">
        <v>29.88</v>
      </c>
      <c r="N66" s="100">
        <v>67.599999999999994</v>
      </c>
      <c r="O66" s="100">
        <v>0</v>
      </c>
      <c r="P66" s="100">
        <v>0.76</v>
      </c>
      <c r="Q66" s="100">
        <v>9.32</v>
      </c>
      <c r="R66" s="6"/>
      <c r="S66" s="6"/>
      <c r="T66" s="156"/>
      <c r="U66" s="6"/>
    </row>
    <row r="67" spans="1:21" customFormat="1">
      <c r="A67" s="201" t="s">
        <v>1070</v>
      </c>
      <c r="B67" s="100">
        <v>1.63</v>
      </c>
      <c r="C67" s="100">
        <v>10.96</v>
      </c>
      <c r="D67" s="100">
        <v>7.03</v>
      </c>
      <c r="E67" s="100">
        <v>9.77</v>
      </c>
      <c r="F67" s="100">
        <v>3.18</v>
      </c>
      <c r="G67" s="100">
        <v>84.15</v>
      </c>
      <c r="H67" s="100">
        <v>49.07</v>
      </c>
      <c r="I67" s="100">
        <v>9.5500000000000007</v>
      </c>
      <c r="J67" s="100">
        <v>0.35</v>
      </c>
      <c r="K67" s="100">
        <v>50.43</v>
      </c>
      <c r="L67" s="100">
        <v>9.82</v>
      </c>
      <c r="M67" s="100">
        <v>5.13</v>
      </c>
      <c r="N67" s="100">
        <v>54</v>
      </c>
      <c r="O67" s="100">
        <v>0</v>
      </c>
      <c r="P67" s="100">
        <v>0.75</v>
      </c>
      <c r="Q67" s="100">
        <v>9.32</v>
      </c>
      <c r="R67" s="6"/>
      <c r="S67" s="6"/>
      <c r="T67" s="156"/>
      <c r="U67" s="6"/>
    </row>
    <row r="68" spans="1:21" customFormat="1">
      <c r="A68" s="201" t="s">
        <v>1071</v>
      </c>
      <c r="B68" s="100">
        <v>1.65</v>
      </c>
      <c r="C68" s="100">
        <v>11.17</v>
      </c>
      <c r="D68" s="100">
        <v>7.16</v>
      </c>
      <c r="E68" s="100">
        <v>9.19</v>
      </c>
      <c r="F68" s="100">
        <v>3.36</v>
      </c>
      <c r="G68" s="100">
        <v>84.15</v>
      </c>
      <c r="H68" s="100">
        <v>49.07</v>
      </c>
      <c r="I68" s="100">
        <v>9.3800000000000008</v>
      </c>
      <c r="J68" s="100">
        <v>0.41</v>
      </c>
      <c r="K68" s="100">
        <v>37.19</v>
      </c>
      <c r="L68" s="100">
        <v>11.19</v>
      </c>
      <c r="M68" s="100">
        <v>9.3800000000000008</v>
      </c>
      <c r="N68" s="100">
        <v>46.9</v>
      </c>
      <c r="O68" s="100">
        <v>0</v>
      </c>
      <c r="P68" s="100">
        <v>0.76</v>
      </c>
      <c r="Q68" s="100">
        <v>9.32</v>
      </c>
      <c r="R68" s="6"/>
      <c r="S68" s="6"/>
      <c r="T68" s="156"/>
      <c r="U68" s="6"/>
    </row>
    <row r="69" spans="1:21" customFormat="1">
      <c r="A69" s="201" t="s">
        <v>1072</v>
      </c>
      <c r="B69" s="100">
        <v>1.67</v>
      </c>
      <c r="C69" s="100">
        <v>11.94</v>
      </c>
      <c r="D69" s="100">
        <v>7.58</v>
      </c>
      <c r="E69" s="100">
        <v>10.98</v>
      </c>
      <c r="F69" s="100">
        <v>5.77</v>
      </c>
      <c r="G69" s="100">
        <v>84.15</v>
      </c>
      <c r="H69" s="100">
        <v>49.07</v>
      </c>
      <c r="I69" s="100">
        <v>9.32</v>
      </c>
      <c r="J69" s="100">
        <v>0.37</v>
      </c>
      <c r="K69" s="100">
        <v>15.35</v>
      </c>
      <c r="L69" s="100">
        <v>16.13</v>
      </c>
      <c r="M69" s="100">
        <v>21.12</v>
      </c>
      <c r="N69" s="100">
        <v>42.2</v>
      </c>
      <c r="O69" s="100">
        <v>0</v>
      </c>
      <c r="P69" s="100">
        <v>0.75</v>
      </c>
      <c r="Q69" s="100">
        <v>9.32</v>
      </c>
      <c r="R69" s="6"/>
      <c r="S69" s="6"/>
      <c r="T69" s="156"/>
      <c r="U69" s="6"/>
    </row>
    <row r="70" spans="1:21" customFormat="1">
      <c r="A70" s="201" t="s">
        <v>1073</v>
      </c>
      <c r="B70" s="100">
        <v>1.74</v>
      </c>
      <c r="C70" s="100">
        <v>12.13</v>
      </c>
      <c r="D70" s="100">
        <v>7.73</v>
      </c>
      <c r="E70" s="100">
        <v>10.42</v>
      </c>
      <c r="F70" s="100">
        <v>4.26</v>
      </c>
      <c r="G70" s="100">
        <v>87.45</v>
      </c>
      <c r="H70" s="100">
        <v>48.51</v>
      </c>
      <c r="I70" s="100">
        <v>9.14</v>
      </c>
      <c r="J70" s="100">
        <v>0.49</v>
      </c>
      <c r="K70" s="100">
        <v>16.940000000000001</v>
      </c>
      <c r="L70" s="100">
        <v>13.31</v>
      </c>
      <c r="M70" s="100">
        <v>14.18</v>
      </c>
      <c r="N70" s="100">
        <v>37.299999999999997</v>
      </c>
      <c r="O70" s="100">
        <v>0</v>
      </c>
      <c r="P70" s="100">
        <v>0.75</v>
      </c>
      <c r="Q70" s="100">
        <v>9.32</v>
      </c>
      <c r="R70" s="6"/>
      <c r="S70" s="6"/>
      <c r="T70" s="156"/>
      <c r="U70" s="6"/>
    </row>
    <row r="71" spans="1:21" customFormat="1">
      <c r="A71" s="201" t="s">
        <v>1074</v>
      </c>
      <c r="B71" s="100">
        <v>1.86</v>
      </c>
      <c r="C71" s="100">
        <v>12.55</v>
      </c>
      <c r="D71" s="100">
        <v>8.0500000000000007</v>
      </c>
      <c r="E71" s="100">
        <v>10.76</v>
      </c>
      <c r="F71" s="100">
        <v>2.56</v>
      </c>
      <c r="G71" s="100">
        <v>91.57</v>
      </c>
      <c r="H71" s="100">
        <v>48.13</v>
      </c>
      <c r="I71" s="100">
        <v>8.92</v>
      </c>
      <c r="J71" s="100">
        <v>0.36</v>
      </c>
      <c r="K71" s="100">
        <v>6.96</v>
      </c>
      <c r="L71" s="100">
        <v>15.02</v>
      </c>
      <c r="M71" s="100">
        <v>18.489999999999998</v>
      </c>
      <c r="N71" s="100">
        <v>31</v>
      </c>
      <c r="O71" s="100">
        <v>0</v>
      </c>
      <c r="P71" s="100">
        <v>0.75</v>
      </c>
      <c r="Q71" s="100">
        <v>9.32</v>
      </c>
      <c r="R71" s="6"/>
      <c r="S71" s="6"/>
      <c r="T71" s="156"/>
      <c r="U71" s="6"/>
    </row>
    <row r="72" spans="1:21" customFormat="1">
      <c r="A72" s="201" t="s">
        <v>1075</v>
      </c>
      <c r="B72" s="100">
        <v>2.0499999999999998</v>
      </c>
      <c r="C72" s="100">
        <v>13.55</v>
      </c>
      <c r="D72" s="100">
        <v>8.7200000000000006</v>
      </c>
      <c r="E72" s="100">
        <v>10.44</v>
      </c>
      <c r="F72" s="100">
        <v>2.81</v>
      </c>
      <c r="G72" s="100">
        <v>91.57</v>
      </c>
      <c r="H72" s="100">
        <v>48.13</v>
      </c>
      <c r="I72" s="100">
        <v>9.07</v>
      </c>
      <c r="J72" s="100">
        <v>0.32</v>
      </c>
      <c r="K72" s="100">
        <v>9.59</v>
      </c>
      <c r="L72" s="100">
        <v>14.6</v>
      </c>
      <c r="M72" s="100">
        <v>17.66</v>
      </c>
      <c r="N72" s="100">
        <v>26.7</v>
      </c>
      <c r="O72" s="100">
        <v>0</v>
      </c>
      <c r="P72" s="100">
        <v>0.75</v>
      </c>
      <c r="Q72" s="100">
        <v>9.32</v>
      </c>
      <c r="R72" s="6"/>
      <c r="S72" s="6"/>
      <c r="T72" s="156"/>
      <c r="U72" s="6"/>
    </row>
    <row r="73" spans="1:21" customFormat="1">
      <c r="A73" s="201" t="s">
        <v>1076</v>
      </c>
      <c r="B73" s="100">
        <v>2.09</v>
      </c>
      <c r="C73" s="100">
        <v>13.33</v>
      </c>
      <c r="D73" s="100">
        <v>8.64</v>
      </c>
      <c r="E73" s="100">
        <v>10.119999999999999</v>
      </c>
      <c r="F73" s="100">
        <v>2.81</v>
      </c>
      <c r="G73" s="100">
        <v>91.57</v>
      </c>
      <c r="H73" s="100">
        <v>48.13</v>
      </c>
      <c r="I73" s="100">
        <v>9.33</v>
      </c>
      <c r="J73" s="100">
        <v>0.49</v>
      </c>
      <c r="K73" s="100">
        <v>38.659999999999997</v>
      </c>
      <c r="L73" s="100">
        <v>9.4700000000000006</v>
      </c>
      <c r="M73" s="100">
        <v>5.01</v>
      </c>
      <c r="N73" s="100">
        <v>22.5</v>
      </c>
      <c r="O73" s="100">
        <v>0</v>
      </c>
      <c r="P73" s="100">
        <v>0.75</v>
      </c>
      <c r="Q73" s="100">
        <v>9.32</v>
      </c>
      <c r="R73" s="6"/>
      <c r="S73" s="6"/>
      <c r="T73" s="156"/>
      <c r="U73" s="6"/>
    </row>
    <row r="74" spans="1:21" customFormat="1">
      <c r="A74" s="201" t="s">
        <v>1077</v>
      </c>
      <c r="B74" s="100">
        <v>2.2999999999999998</v>
      </c>
      <c r="C74" s="100">
        <v>14</v>
      </c>
      <c r="D74" s="100">
        <v>9.16</v>
      </c>
      <c r="E74" s="100">
        <v>9.5399999999999991</v>
      </c>
      <c r="F74" s="100">
        <v>2.2799999999999998</v>
      </c>
      <c r="G74" s="100">
        <v>97.12</v>
      </c>
      <c r="H74" s="100">
        <v>49.69</v>
      </c>
      <c r="I74" s="100">
        <v>9.3000000000000007</v>
      </c>
      <c r="J74" s="100">
        <v>0.38</v>
      </c>
      <c r="K74" s="100">
        <v>30.76</v>
      </c>
      <c r="L74" s="100">
        <v>12.38</v>
      </c>
      <c r="M74" s="100">
        <v>12.32</v>
      </c>
      <c r="N74" s="100">
        <v>18.3</v>
      </c>
      <c r="O74" s="100">
        <v>0</v>
      </c>
      <c r="P74" s="100">
        <v>0.74</v>
      </c>
      <c r="Q74" s="100">
        <v>9.32</v>
      </c>
      <c r="R74" s="6"/>
      <c r="S74" s="6"/>
      <c r="T74" s="156"/>
      <c r="U74" s="6"/>
    </row>
    <row r="75" spans="1:21" customFormat="1">
      <c r="A75" s="201" t="s">
        <v>1078</v>
      </c>
      <c r="B75" s="100">
        <v>2.38</v>
      </c>
      <c r="C75" s="100">
        <v>14.11</v>
      </c>
      <c r="D75" s="100">
        <v>9.2799999999999994</v>
      </c>
      <c r="E75" s="100">
        <v>8.23</v>
      </c>
      <c r="F75" s="100">
        <v>2</v>
      </c>
      <c r="G75" s="100">
        <v>104.05</v>
      </c>
      <c r="H75" s="100">
        <v>50.77</v>
      </c>
      <c r="I75" s="100">
        <v>9.1999999999999993</v>
      </c>
      <c r="J75" s="100">
        <v>0.34</v>
      </c>
      <c r="K75" s="100">
        <v>47.18</v>
      </c>
      <c r="L75" s="100">
        <v>8.17</v>
      </c>
      <c r="M75" s="100">
        <v>2.64</v>
      </c>
      <c r="N75" s="100">
        <v>14.2</v>
      </c>
      <c r="O75" s="100">
        <v>0</v>
      </c>
      <c r="P75" s="100">
        <v>0.74</v>
      </c>
      <c r="Q75" s="100">
        <v>9.32</v>
      </c>
      <c r="R75" s="6"/>
      <c r="S75" s="6"/>
      <c r="T75" s="156"/>
      <c r="U75" s="6"/>
    </row>
    <row r="76" spans="1:21" customFormat="1">
      <c r="A76" s="201" t="s">
        <v>1079</v>
      </c>
      <c r="B76" s="100">
        <v>2.1</v>
      </c>
      <c r="C76" s="100">
        <v>13</v>
      </c>
      <c r="D76" s="100">
        <v>8.48</v>
      </c>
      <c r="E76" s="100">
        <v>7.73</v>
      </c>
      <c r="F76" s="100">
        <v>2</v>
      </c>
      <c r="G76" s="100">
        <v>104.05</v>
      </c>
      <c r="H76" s="100">
        <v>50.77</v>
      </c>
      <c r="I76" s="100">
        <v>9.1999999999999993</v>
      </c>
      <c r="J76" s="100">
        <v>0.22</v>
      </c>
      <c r="K76" s="100">
        <v>29.73</v>
      </c>
      <c r="L76" s="100">
        <v>10.82</v>
      </c>
      <c r="M76" s="100">
        <v>8.58</v>
      </c>
      <c r="N76" s="100">
        <v>10</v>
      </c>
      <c r="O76" s="100">
        <v>0</v>
      </c>
      <c r="P76" s="100">
        <v>0.74</v>
      </c>
      <c r="Q76" s="100">
        <v>9.32</v>
      </c>
      <c r="R76" s="6"/>
      <c r="S76" s="6"/>
      <c r="T76" s="156"/>
      <c r="U76" s="6"/>
    </row>
    <row r="77" spans="1:21" customFormat="1">
      <c r="A77" s="201" t="s">
        <v>1080</v>
      </c>
      <c r="B77" s="100">
        <v>2.17</v>
      </c>
      <c r="C77" s="100">
        <v>12.65</v>
      </c>
      <c r="D77" s="100">
        <v>8.35</v>
      </c>
      <c r="E77" s="100">
        <v>6.98</v>
      </c>
      <c r="F77" s="100">
        <v>2</v>
      </c>
      <c r="G77" s="100">
        <v>104.05</v>
      </c>
      <c r="H77" s="100">
        <v>50.77</v>
      </c>
      <c r="I77" s="100">
        <v>9.16</v>
      </c>
      <c r="J77" s="100">
        <v>0.08</v>
      </c>
      <c r="K77" s="100">
        <v>84.44</v>
      </c>
      <c r="L77" s="100">
        <v>15.11</v>
      </c>
      <c r="M77" s="100">
        <v>19.55</v>
      </c>
      <c r="N77" s="100">
        <v>6.1</v>
      </c>
      <c r="O77" s="100">
        <v>0</v>
      </c>
      <c r="P77" s="100">
        <v>0.75</v>
      </c>
      <c r="Q77" s="100">
        <v>9.32</v>
      </c>
      <c r="R77" s="6"/>
      <c r="S77" s="6"/>
      <c r="T77" s="156"/>
      <c r="U77" s="6"/>
    </row>
    <row r="78" spans="1:21" customFormat="1">
      <c r="A78" s="201" t="s">
        <v>1081</v>
      </c>
      <c r="B78" s="100">
        <v>2.31</v>
      </c>
      <c r="C78" s="100">
        <v>13.06</v>
      </c>
      <c r="D78" s="100">
        <v>8.68</v>
      </c>
      <c r="E78" s="100">
        <v>6.79</v>
      </c>
      <c r="F78" s="100">
        <v>2</v>
      </c>
      <c r="G78" s="100">
        <v>100.85</v>
      </c>
      <c r="H78" s="100">
        <v>47.83</v>
      </c>
      <c r="I78" s="100">
        <v>9.1199999999999992</v>
      </c>
      <c r="J78" s="100">
        <v>0.13</v>
      </c>
      <c r="K78" s="100">
        <v>87.37</v>
      </c>
      <c r="L78" s="100">
        <v>11.44</v>
      </c>
      <c r="M78" s="100">
        <v>10.53</v>
      </c>
      <c r="N78" s="100">
        <v>3.4</v>
      </c>
      <c r="O78" s="100">
        <v>0</v>
      </c>
      <c r="P78" s="100">
        <v>0.76</v>
      </c>
      <c r="Q78" s="100">
        <v>9.32</v>
      </c>
      <c r="R78" s="6"/>
      <c r="S78" s="6"/>
      <c r="T78" s="156"/>
      <c r="U78" s="6"/>
    </row>
    <row r="79" spans="1:21" customFormat="1">
      <c r="A79" s="201" t="s">
        <v>1082</v>
      </c>
      <c r="B79" s="100">
        <v>2.52</v>
      </c>
      <c r="C79" s="100">
        <v>12.81</v>
      </c>
      <c r="D79" s="100">
        <v>8.7100000000000009</v>
      </c>
      <c r="E79" s="100">
        <v>6.5</v>
      </c>
      <c r="F79" s="100">
        <v>2</v>
      </c>
      <c r="G79" s="100">
        <v>96.85</v>
      </c>
      <c r="H79" s="100">
        <v>45.85</v>
      </c>
      <c r="I79" s="100">
        <v>9.16</v>
      </c>
      <c r="J79" s="100">
        <v>0.13</v>
      </c>
      <c r="K79" s="100">
        <v>158.63999999999999</v>
      </c>
      <c r="L79" s="100">
        <v>15.25</v>
      </c>
      <c r="M79" s="100">
        <v>20.18</v>
      </c>
      <c r="N79" s="100">
        <v>2.7</v>
      </c>
      <c r="O79" s="100">
        <v>0</v>
      </c>
      <c r="P79" s="100">
        <v>0.76</v>
      </c>
      <c r="Q79" s="100">
        <v>9.32</v>
      </c>
      <c r="R79" s="6"/>
      <c r="S79" s="6"/>
      <c r="T79" s="156"/>
      <c r="U79" s="6"/>
    </row>
    <row r="80" spans="1:21" customFormat="1">
      <c r="A80" s="201" t="s">
        <v>1083</v>
      </c>
      <c r="B80" s="100">
        <v>2.82</v>
      </c>
      <c r="C80" s="100">
        <v>12.68</v>
      </c>
      <c r="D80" s="100">
        <v>8.8800000000000008</v>
      </c>
      <c r="E80" s="100">
        <v>6.35</v>
      </c>
      <c r="F80" s="100">
        <v>2</v>
      </c>
      <c r="G80" s="100">
        <v>96.85</v>
      </c>
      <c r="H80" s="100">
        <v>45.85</v>
      </c>
      <c r="I80" s="100">
        <v>9.2200000000000006</v>
      </c>
      <c r="J80" s="100">
        <v>0.17</v>
      </c>
      <c r="K80" s="100">
        <v>156.31</v>
      </c>
      <c r="L80" s="100">
        <v>15.3</v>
      </c>
      <c r="M80" s="100">
        <v>20.38</v>
      </c>
      <c r="N80" s="100">
        <v>2.4</v>
      </c>
      <c r="O80" s="100">
        <v>0</v>
      </c>
      <c r="P80" s="100">
        <v>0.77</v>
      </c>
      <c r="Q80" s="100">
        <v>9.32</v>
      </c>
      <c r="R80" s="6"/>
      <c r="S80" s="6"/>
      <c r="T80" s="156"/>
      <c r="U80" s="6"/>
    </row>
    <row r="81" spans="1:21" customFormat="1">
      <c r="A81" s="201" t="s">
        <v>1084</v>
      </c>
      <c r="B81" s="100">
        <v>3.15</v>
      </c>
      <c r="C81" s="100">
        <v>12.67</v>
      </c>
      <c r="D81" s="100">
        <v>9.14</v>
      </c>
      <c r="E81" s="100">
        <v>5.37</v>
      </c>
      <c r="F81" s="100">
        <v>2</v>
      </c>
      <c r="G81" s="100">
        <v>96.85</v>
      </c>
      <c r="H81" s="100">
        <v>45.85</v>
      </c>
      <c r="I81" s="100">
        <v>9.2899999999999991</v>
      </c>
      <c r="J81" s="100">
        <v>0.19</v>
      </c>
      <c r="K81" s="100">
        <v>158.30000000000001</v>
      </c>
      <c r="L81" s="100">
        <v>15.37</v>
      </c>
      <c r="M81" s="100">
        <v>20.65</v>
      </c>
      <c r="N81" s="100">
        <v>2.4</v>
      </c>
      <c r="O81" s="100">
        <v>0</v>
      </c>
      <c r="P81" s="100">
        <v>0.79</v>
      </c>
      <c r="Q81" s="100">
        <v>9.32</v>
      </c>
      <c r="R81" s="6"/>
      <c r="S81" s="6"/>
      <c r="T81" s="156"/>
      <c r="U81" s="6"/>
    </row>
    <row r="82" spans="1:21" customFormat="1">
      <c r="A82" s="201" t="s">
        <v>1085</v>
      </c>
      <c r="B82" s="100">
        <v>3.58</v>
      </c>
      <c r="C82" s="100">
        <v>12.61</v>
      </c>
      <c r="D82" s="100">
        <v>9.4600000000000009</v>
      </c>
      <c r="E82" s="100">
        <v>6.63</v>
      </c>
      <c r="F82" s="100">
        <v>2</v>
      </c>
      <c r="G82" s="100">
        <v>99.15</v>
      </c>
      <c r="H82" s="100">
        <v>48.96</v>
      </c>
      <c r="I82" s="100">
        <v>9.41</v>
      </c>
      <c r="J82" s="100">
        <v>0.19</v>
      </c>
      <c r="K82" s="100">
        <v>163.12</v>
      </c>
      <c r="L82" s="100">
        <v>16.05</v>
      </c>
      <c r="M82" s="100">
        <v>22.4</v>
      </c>
      <c r="N82" s="100">
        <v>2.2999999999999998</v>
      </c>
      <c r="O82" s="100">
        <v>0</v>
      </c>
      <c r="P82" s="100">
        <v>0.81</v>
      </c>
      <c r="Q82" s="100">
        <v>9.32</v>
      </c>
      <c r="R82" s="6"/>
      <c r="S82" s="6"/>
      <c r="T82" s="156"/>
      <c r="U82" s="6"/>
    </row>
    <row r="83" spans="1:21" customFormat="1">
      <c r="A83" s="201" t="s">
        <v>1086</v>
      </c>
      <c r="B83" s="100">
        <v>4.04</v>
      </c>
      <c r="C83" s="100">
        <v>12.51</v>
      </c>
      <c r="D83" s="100">
        <v>9.7799999999999994</v>
      </c>
      <c r="E83" s="100">
        <v>6.63</v>
      </c>
      <c r="F83" s="100">
        <v>2</v>
      </c>
      <c r="G83" s="100">
        <v>102.02</v>
      </c>
      <c r="H83" s="100">
        <v>51.06</v>
      </c>
      <c r="I83" s="100">
        <v>9.52</v>
      </c>
      <c r="J83" s="100">
        <v>0.13</v>
      </c>
      <c r="K83" s="100">
        <v>161.32</v>
      </c>
      <c r="L83" s="100">
        <v>15.58</v>
      </c>
      <c r="M83" s="100">
        <v>21.25</v>
      </c>
      <c r="N83" s="100">
        <v>2.1</v>
      </c>
      <c r="O83" s="100">
        <v>0</v>
      </c>
      <c r="P83" s="100">
        <v>0.81</v>
      </c>
      <c r="Q83" s="100">
        <v>9.32</v>
      </c>
      <c r="R83" s="6"/>
      <c r="S83" s="6"/>
      <c r="T83" s="156"/>
      <c r="U83" s="6"/>
    </row>
    <row r="84" spans="1:21" customFormat="1">
      <c r="A84" s="201" t="s">
        <v>1087</v>
      </c>
      <c r="B84" s="100">
        <v>4.63</v>
      </c>
      <c r="C84" s="100">
        <v>12.6</v>
      </c>
      <c r="D84" s="100">
        <v>10.3</v>
      </c>
      <c r="E84" s="100">
        <v>6.55</v>
      </c>
      <c r="F84" s="100">
        <v>2</v>
      </c>
      <c r="G84" s="100">
        <v>102.02</v>
      </c>
      <c r="H84" s="100">
        <v>51.06</v>
      </c>
      <c r="I84" s="100">
        <v>9.6300000000000008</v>
      </c>
      <c r="J84" s="100">
        <v>0.14000000000000001</v>
      </c>
      <c r="K84" s="100">
        <v>184.1</v>
      </c>
      <c r="L84" s="100">
        <v>17.03</v>
      </c>
      <c r="M84" s="100">
        <v>24.87</v>
      </c>
      <c r="N84" s="100">
        <v>2.1</v>
      </c>
      <c r="O84" s="100">
        <v>0</v>
      </c>
      <c r="P84" s="100">
        <v>0.82</v>
      </c>
      <c r="Q84" s="100">
        <v>9.32</v>
      </c>
      <c r="R84" s="6"/>
      <c r="S84" s="6"/>
      <c r="T84" s="156"/>
      <c r="U84" s="6"/>
    </row>
    <row r="85" spans="1:21" customFormat="1">
      <c r="A85" s="201" t="s">
        <v>1088</v>
      </c>
      <c r="B85" s="100">
        <v>5.07</v>
      </c>
      <c r="C85" s="100">
        <v>12.52</v>
      </c>
      <c r="D85" s="100">
        <v>10.6</v>
      </c>
      <c r="E85" s="100">
        <v>6.35</v>
      </c>
      <c r="F85" s="100">
        <v>2</v>
      </c>
      <c r="G85" s="100">
        <v>102.02</v>
      </c>
      <c r="H85" s="100">
        <v>51.06</v>
      </c>
      <c r="I85" s="100">
        <v>9.83</v>
      </c>
      <c r="J85" s="100">
        <v>0.19</v>
      </c>
      <c r="K85" s="100">
        <v>175.3</v>
      </c>
      <c r="L85" s="100">
        <v>16.93</v>
      </c>
      <c r="M85" s="100">
        <v>24.64</v>
      </c>
      <c r="N85" s="100">
        <v>2.4</v>
      </c>
      <c r="O85" s="100">
        <v>0</v>
      </c>
      <c r="P85" s="100">
        <v>0.83</v>
      </c>
      <c r="Q85" s="100">
        <v>9.32</v>
      </c>
      <c r="R85" s="6"/>
      <c r="S85" s="6"/>
      <c r="T85" s="156"/>
      <c r="U85" s="6"/>
    </row>
    <row r="86" spans="1:21" customFormat="1">
      <c r="A86" s="201" t="s">
        <v>1089</v>
      </c>
      <c r="B86" s="100">
        <v>5.3</v>
      </c>
      <c r="C86" s="100">
        <v>12.23</v>
      </c>
      <c r="D86" s="100">
        <v>10.64</v>
      </c>
      <c r="E86" s="100">
        <v>6.18</v>
      </c>
      <c r="F86" s="100">
        <v>2</v>
      </c>
      <c r="G86" s="100">
        <v>107.44</v>
      </c>
      <c r="H86" s="100">
        <v>51.24</v>
      </c>
      <c r="I86" s="100">
        <v>10.029999999999999</v>
      </c>
      <c r="J86" s="100">
        <v>0.1</v>
      </c>
      <c r="K86" s="100">
        <v>199.49</v>
      </c>
      <c r="L86" s="100">
        <v>18.89</v>
      </c>
      <c r="M86" s="100">
        <v>29.49</v>
      </c>
      <c r="N86" s="100">
        <v>2.1</v>
      </c>
      <c r="O86" s="100">
        <v>0</v>
      </c>
      <c r="P86" s="100">
        <v>0.84</v>
      </c>
      <c r="Q86" s="100">
        <v>9.32</v>
      </c>
      <c r="R86" s="6"/>
      <c r="S86" s="6"/>
      <c r="T86" s="156"/>
      <c r="U86" s="6"/>
    </row>
    <row r="87" spans="1:21" customFormat="1">
      <c r="A87" s="201" t="s">
        <v>1090</v>
      </c>
      <c r="B87" s="100">
        <v>5.51</v>
      </c>
      <c r="C87" s="100">
        <v>12</v>
      </c>
      <c r="D87" s="100">
        <v>10.69</v>
      </c>
      <c r="E87" s="100">
        <v>6.32</v>
      </c>
      <c r="F87" s="100">
        <v>2</v>
      </c>
      <c r="G87" s="100">
        <v>113.91</v>
      </c>
      <c r="H87" s="100">
        <v>51.56</v>
      </c>
      <c r="I87" s="100">
        <v>10.199999999999999</v>
      </c>
      <c r="J87" s="100">
        <v>0.15</v>
      </c>
      <c r="K87" s="100">
        <v>192.83</v>
      </c>
      <c r="L87" s="100">
        <v>18</v>
      </c>
      <c r="M87" s="100">
        <v>27.3</v>
      </c>
      <c r="N87" s="100">
        <v>2.1</v>
      </c>
      <c r="O87" s="100">
        <v>0</v>
      </c>
      <c r="P87" s="100">
        <v>0.84</v>
      </c>
      <c r="Q87" s="100">
        <v>9.32</v>
      </c>
      <c r="R87" s="6"/>
      <c r="S87" s="6"/>
      <c r="T87" s="156"/>
      <c r="U87" s="6"/>
    </row>
    <row r="88" spans="1:21" customFormat="1">
      <c r="A88" s="201" t="s">
        <v>1091</v>
      </c>
      <c r="B88" s="100">
        <v>5.7</v>
      </c>
      <c r="C88" s="100">
        <v>11.79</v>
      </c>
      <c r="D88" s="100">
        <v>10.73</v>
      </c>
      <c r="E88" s="100">
        <v>6.19</v>
      </c>
      <c r="F88" s="100">
        <v>2</v>
      </c>
      <c r="G88" s="100">
        <v>113.91</v>
      </c>
      <c r="H88" s="100">
        <v>51.56</v>
      </c>
      <c r="I88" s="100">
        <v>10.33</v>
      </c>
      <c r="J88" s="100">
        <v>0.14000000000000001</v>
      </c>
      <c r="K88" s="100">
        <v>210.39</v>
      </c>
      <c r="L88" s="100">
        <v>19.25</v>
      </c>
      <c r="M88" s="100">
        <v>30.45</v>
      </c>
      <c r="N88" s="100">
        <v>2.1</v>
      </c>
      <c r="O88" s="100">
        <v>0</v>
      </c>
      <c r="P88" s="100">
        <v>0.84</v>
      </c>
      <c r="Q88" s="100">
        <v>9.32</v>
      </c>
      <c r="R88" s="6"/>
      <c r="S88" s="6"/>
      <c r="T88" s="156"/>
      <c r="U88" s="6"/>
    </row>
    <row r="89" spans="1:21" customFormat="1">
      <c r="A89" s="201" t="s">
        <v>1092</v>
      </c>
      <c r="B89" s="100">
        <v>5.88</v>
      </c>
      <c r="C89" s="100">
        <v>11.64</v>
      </c>
      <c r="D89" s="100">
        <v>10.79</v>
      </c>
      <c r="E89" s="100">
        <v>6.09</v>
      </c>
      <c r="F89" s="100">
        <v>2</v>
      </c>
      <c r="G89" s="100">
        <v>113.91</v>
      </c>
      <c r="H89" s="100">
        <v>51.56</v>
      </c>
      <c r="I89" s="100">
        <v>10.4</v>
      </c>
      <c r="J89" s="100">
        <v>0.13</v>
      </c>
      <c r="K89" s="100">
        <v>185.8</v>
      </c>
      <c r="L89" s="100">
        <v>17.510000000000002</v>
      </c>
      <c r="M89" s="100">
        <v>26.08</v>
      </c>
      <c r="N89" s="100">
        <v>1.8</v>
      </c>
      <c r="O89" s="100">
        <v>0</v>
      </c>
      <c r="P89" s="100">
        <v>0.84</v>
      </c>
      <c r="Q89" s="100">
        <v>9.32</v>
      </c>
      <c r="R89" s="6"/>
      <c r="S89" s="6"/>
      <c r="T89" s="156"/>
      <c r="U89" s="6"/>
    </row>
    <row r="90" spans="1:21" customFormat="1">
      <c r="A90" s="201" t="s">
        <v>1093</v>
      </c>
      <c r="B90" s="100">
        <v>6.1</v>
      </c>
      <c r="C90" s="100">
        <v>11.52</v>
      </c>
      <c r="D90" s="100">
        <v>10.91</v>
      </c>
      <c r="E90" s="100">
        <v>5.92</v>
      </c>
      <c r="F90" s="100">
        <v>2</v>
      </c>
      <c r="G90" s="100">
        <v>101.23</v>
      </c>
      <c r="H90" s="100">
        <v>46.26</v>
      </c>
      <c r="I90" s="100">
        <v>10.43</v>
      </c>
      <c r="J90" s="100">
        <v>0.13</v>
      </c>
      <c r="K90" s="100">
        <v>188.16</v>
      </c>
      <c r="L90" s="100">
        <v>17.3</v>
      </c>
      <c r="M90" s="100">
        <v>25.54</v>
      </c>
      <c r="N90" s="100">
        <v>2</v>
      </c>
      <c r="O90" s="100">
        <v>0</v>
      </c>
      <c r="P90" s="100">
        <v>0.84</v>
      </c>
      <c r="Q90" s="100">
        <v>9.32</v>
      </c>
      <c r="R90" s="6"/>
      <c r="S90" s="6"/>
      <c r="T90" s="156"/>
      <c r="U90" s="6"/>
    </row>
    <row r="91" spans="1:21" customFormat="1">
      <c r="A91" s="201" t="s">
        <v>1094</v>
      </c>
      <c r="B91" s="100">
        <v>6.34</v>
      </c>
      <c r="C91" s="100">
        <v>11.32</v>
      </c>
      <c r="D91" s="100">
        <v>11</v>
      </c>
      <c r="E91" s="100">
        <v>6.2</v>
      </c>
      <c r="F91" s="100">
        <v>2</v>
      </c>
      <c r="G91" s="100">
        <v>85.38</v>
      </c>
      <c r="H91" s="100">
        <v>42.69</v>
      </c>
      <c r="I91" s="100">
        <v>10.47</v>
      </c>
      <c r="J91" s="100">
        <v>0.1</v>
      </c>
      <c r="K91" s="100">
        <v>205.81</v>
      </c>
      <c r="L91" s="100">
        <v>18.89</v>
      </c>
      <c r="M91" s="100">
        <v>29.54</v>
      </c>
      <c r="N91" s="100">
        <v>2</v>
      </c>
      <c r="O91" s="100">
        <v>0</v>
      </c>
      <c r="P91" s="100">
        <v>0.84</v>
      </c>
      <c r="Q91" s="100">
        <v>9.32</v>
      </c>
      <c r="R91" s="6"/>
      <c r="S91" s="6"/>
      <c r="T91" s="156"/>
      <c r="U91" s="6"/>
    </row>
    <row r="92" spans="1:21" customFormat="1">
      <c r="A92" s="201" t="s">
        <v>1095</v>
      </c>
      <c r="B92" s="100">
        <v>6.47</v>
      </c>
      <c r="C92" s="100">
        <v>11.21</v>
      </c>
      <c r="D92" s="100">
        <v>11.04</v>
      </c>
      <c r="E92" s="100">
        <v>6.11</v>
      </c>
      <c r="F92" s="100">
        <v>2</v>
      </c>
      <c r="G92" s="100">
        <v>85.38</v>
      </c>
      <c r="H92" s="100">
        <v>42.69</v>
      </c>
      <c r="I92" s="100">
        <v>10.5</v>
      </c>
      <c r="J92" s="100">
        <v>0.1</v>
      </c>
      <c r="K92" s="100">
        <v>176.99</v>
      </c>
      <c r="L92" s="100">
        <v>16.61</v>
      </c>
      <c r="M92" s="100">
        <v>23.84</v>
      </c>
      <c r="N92" s="100">
        <v>1.9</v>
      </c>
      <c r="O92" s="100">
        <v>0</v>
      </c>
      <c r="P92" s="100">
        <v>0.83</v>
      </c>
      <c r="Q92" s="100">
        <v>9.32</v>
      </c>
      <c r="R92" s="6"/>
      <c r="S92" s="6"/>
      <c r="T92" s="156"/>
      <c r="U92" s="6"/>
    </row>
    <row r="93" spans="1:21" customFormat="1">
      <c r="A93" s="201" t="s">
        <v>1096</v>
      </c>
      <c r="B93" s="100">
        <v>6.6</v>
      </c>
      <c r="C93" s="100">
        <v>11.02</v>
      </c>
      <c r="D93" s="100">
        <v>11.05</v>
      </c>
      <c r="E93" s="100">
        <v>6.03</v>
      </c>
      <c r="F93" s="100">
        <v>2</v>
      </c>
      <c r="G93" s="100">
        <v>85.38</v>
      </c>
      <c r="H93" s="100">
        <v>42.69</v>
      </c>
      <c r="I93" s="100">
        <v>10.55</v>
      </c>
      <c r="J93" s="100">
        <v>0.1</v>
      </c>
      <c r="K93" s="100">
        <v>213.89</v>
      </c>
      <c r="L93" s="100">
        <v>19.34</v>
      </c>
      <c r="M93" s="100">
        <v>30.65</v>
      </c>
      <c r="N93" s="100">
        <v>1.9</v>
      </c>
      <c r="O93" s="100">
        <v>0</v>
      </c>
      <c r="P93" s="100">
        <v>0.83</v>
      </c>
      <c r="Q93" s="100">
        <v>9.32</v>
      </c>
      <c r="R93" s="6"/>
      <c r="S93" s="6"/>
      <c r="T93" s="156"/>
      <c r="U93" s="6"/>
    </row>
    <row r="94" spans="1:21" customFormat="1">
      <c r="A94" s="201" t="s">
        <v>1097</v>
      </c>
      <c r="B94" s="100">
        <v>6.68</v>
      </c>
      <c r="C94" s="100">
        <v>11</v>
      </c>
      <c r="D94" s="100">
        <v>11.11</v>
      </c>
      <c r="E94" s="100">
        <v>5.78</v>
      </c>
      <c r="F94" s="100">
        <v>2</v>
      </c>
      <c r="G94" s="100">
        <v>83.83</v>
      </c>
      <c r="H94" s="100">
        <v>40.93</v>
      </c>
      <c r="I94" s="100">
        <v>10.58</v>
      </c>
      <c r="J94" s="100">
        <v>0.13</v>
      </c>
      <c r="K94" s="100">
        <v>203</v>
      </c>
      <c r="L94" s="100">
        <v>18.71</v>
      </c>
      <c r="M94" s="100">
        <v>29.1</v>
      </c>
      <c r="N94" s="100">
        <v>2</v>
      </c>
      <c r="O94" s="100">
        <v>0</v>
      </c>
      <c r="P94" s="100">
        <v>0.83</v>
      </c>
      <c r="Q94" s="100">
        <v>9.32</v>
      </c>
      <c r="R94" s="6"/>
      <c r="S94" s="6"/>
      <c r="T94" s="156"/>
      <c r="U94" s="6"/>
    </row>
    <row r="95" spans="1:21" customFormat="1">
      <c r="A95" s="201" t="s">
        <v>1098</v>
      </c>
      <c r="B95" s="100">
        <v>6.83</v>
      </c>
      <c r="C95" s="100">
        <v>10.9</v>
      </c>
      <c r="D95" s="100">
        <v>11.17</v>
      </c>
      <c r="E95" s="100">
        <v>6.11</v>
      </c>
      <c r="F95" s="100">
        <v>2</v>
      </c>
      <c r="G95" s="100">
        <v>81.98</v>
      </c>
      <c r="H95" s="100">
        <v>39.74</v>
      </c>
      <c r="I95" s="100">
        <v>10.59</v>
      </c>
      <c r="J95" s="100">
        <v>0.09</v>
      </c>
      <c r="K95" s="100">
        <v>197.25</v>
      </c>
      <c r="L95" s="100">
        <v>18.11</v>
      </c>
      <c r="M95" s="100">
        <v>27.57</v>
      </c>
      <c r="N95" s="100">
        <v>2.1</v>
      </c>
      <c r="O95" s="100">
        <v>0</v>
      </c>
      <c r="P95" s="100">
        <v>0.82</v>
      </c>
      <c r="Q95" s="100">
        <v>9.32</v>
      </c>
      <c r="R95" s="6"/>
      <c r="S95" s="6"/>
      <c r="T95" s="156"/>
      <c r="U95" s="6"/>
    </row>
    <row r="96" spans="1:21" customFormat="1">
      <c r="A96" s="201" t="s">
        <v>1099</v>
      </c>
      <c r="B96" s="100">
        <v>6.97</v>
      </c>
      <c r="C96" s="100">
        <v>10.68</v>
      </c>
      <c r="D96" s="100">
        <v>11.17</v>
      </c>
      <c r="E96" s="100">
        <v>5.95</v>
      </c>
      <c r="F96" s="100">
        <v>2</v>
      </c>
      <c r="G96" s="100">
        <v>81.98</v>
      </c>
      <c r="H96" s="100">
        <v>39.74</v>
      </c>
      <c r="I96" s="100">
        <v>10.61</v>
      </c>
      <c r="J96" s="100">
        <v>0.14000000000000001</v>
      </c>
      <c r="K96" s="100">
        <v>184.07</v>
      </c>
      <c r="L96" s="100">
        <v>17.079999999999998</v>
      </c>
      <c r="M96" s="100">
        <v>25.04</v>
      </c>
      <c r="N96" s="100">
        <v>1.9</v>
      </c>
      <c r="O96" s="100">
        <v>0</v>
      </c>
      <c r="P96" s="100">
        <v>0.82</v>
      </c>
      <c r="Q96" s="100">
        <v>9.32</v>
      </c>
      <c r="R96" s="6"/>
      <c r="S96" s="6"/>
      <c r="T96" s="156"/>
      <c r="U96" s="6"/>
    </row>
    <row r="97" spans="1:28" customFormat="1">
      <c r="A97" s="201" t="s">
        <v>1100</v>
      </c>
      <c r="B97" s="100">
        <v>7.1</v>
      </c>
      <c r="C97" s="100">
        <v>10.59</v>
      </c>
      <c r="D97" s="100">
        <v>11.23</v>
      </c>
      <c r="E97" s="100">
        <v>6.04</v>
      </c>
      <c r="F97" s="100">
        <v>2</v>
      </c>
      <c r="G97" s="100">
        <v>81.98</v>
      </c>
      <c r="H97" s="100">
        <v>39.74</v>
      </c>
      <c r="I97" s="100">
        <v>10.64</v>
      </c>
      <c r="J97" s="100">
        <v>0.16</v>
      </c>
      <c r="K97" s="100">
        <v>189.6</v>
      </c>
      <c r="L97" s="100">
        <v>17.66</v>
      </c>
      <c r="M97" s="100">
        <v>26.51</v>
      </c>
      <c r="N97" s="100">
        <v>2.1</v>
      </c>
      <c r="O97" s="100">
        <v>0</v>
      </c>
      <c r="P97" s="100">
        <v>0.83</v>
      </c>
      <c r="Q97" s="100">
        <v>9.32</v>
      </c>
      <c r="R97" s="6"/>
      <c r="S97" s="6"/>
      <c r="T97" s="156"/>
      <c r="U97" s="6"/>
    </row>
    <row r="98" spans="1:28" customFormat="1">
      <c r="A98" s="201" t="s">
        <v>1101</v>
      </c>
      <c r="B98" s="100">
        <v>7.28</v>
      </c>
      <c r="C98" s="100">
        <v>10.52</v>
      </c>
      <c r="D98" s="100">
        <v>11.33</v>
      </c>
      <c r="E98" s="100">
        <v>6.21</v>
      </c>
      <c r="F98" s="100">
        <v>2</v>
      </c>
      <c r="G98" s="100">
        <v>80.849999999999994</v>
      </c>
      <c r="H98" s="100">
        <v>39.65</v>
      </c>
      <c r="I98" s="100">
        <v>10.58</v>
      </c>
      <c r="J98" s="100">
        <v>0.11</v>
      </c>
      <c r="K98" s="100">
        <v>200.07</v>
      </c>
      <c r="L98" s="100">
        <v>18.48</v>
      </c>
      <c r="M98" s="100">
        <v>28.53</v>
      </c>
      <c r="N98" s="100">
        <v>1.9</v>
      </c>
      <c r="O98" s="100">
        <v>0</v>
      </c>
      <c r="P98" s="100">
        <v>0.83</v>
      </c>
      <c r="Q98" s="100">
        <v>9.32</v>
      </c>
      <c r="R98" s="6"/>
      <c r="S98" s="6"/>
      <c r="T98" s="156"/>
      <c r="U98" s="6"/>
    </row>
    <row r="99" spans="1:28" customFormat="1">
      <c r="A99" s="201" t="s">
        <v>1102</v>
      </c>
      <c r="B99" s="100">
        <v>7.39</v>
      </c>
      <c r="C99" s="100">
        <v>10.57</v>
      </c>
      <c r="D99" s="100">
        <v>11.44</v>
      </c>
      <c r="E99" s="100">
        <v>6.01</v>
      </c>
      <c r="F99" s="100">
        <v>2</v>
      </c>
      <c r="G99" s="100">
        <v>79.510000000000005</v>
      </c>
      <c r="H99" s="100">
        <v>39.58</v>
      </c>
      <c r="I99" s="100">
        <v>10.62</v>
      </c>
      <c r="J99" s="100">
        <v>0.09</v>
      </c>
      <c r="K99" s="100">
        <v>193.71</v>
      </c>
      <c r="L99" s="100">
        <v>18.100000000000001</v>
      </c>
      <c r="M99" s="100">
        <v>27.56</v>
      </c>
      <c r="N99" s="100">
        <v>1.9</v>
      </c>
      <c r="O99" s="100">
        <v>0</v>
      </c>
      <c r="P99" s="100">
        <v>0.83</v>
      </c>
      <c r="Q99" s="100">
        <v>9.32</v>
      </c>
      <c r="R99" s="6"/>
      <c r="S99" s="6"/>
      <c r="T99" s="156"/>
      <c r="U99" s="6"/>
    </row>
    <row r="100" spans="1:28" customFormat="1">
      <c r="A100" s="201" t="s">
        <v>1103</v>
      </c>
      <c r="B100" s="100">
        <v>7.44</v>
      </c>
      <c r="C100" s="100">
        <v>10.35</v>
      </c>
      <c r="D100" s="100">
        <v>11.37</v>
      </c>
      <c r="E100" s="100">
        <v>6.16</v>
      </c>
      <c r="F100" s="100">
        <v>2</v>
      </c>
      <c r="G100" s="100">
        <v>79.510000000000005</v>
      </c>
      <c r="H100" s="100">
        <v>39.58</v>
      </c>
      <c r="I100" s="100">
        <v>10.8</v>
      </c>
      <c r="J100" s="100">
        <v>0.11</v>
      </c>
      <c r="K100" s="100">
        <v>178.95</v>
      </c>
      <c r="L100" s="100">
        <v>15.73</v>
      </c>
      <c r="M100" s="100">
        <v>21.6</v>
      </c>
      <c r="N100" s="100">
        <v>1.9</v>
      </c>
      <c r="O100" s="100">
        <v>0</v>
      </c>
      <c r="P100" s="100">
        <v>0.83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1104</v>
      </c>
      <c r="B101" s="100">
        <v>7.37</v>
      </c>
      <c r="C101" s="100">
        <v>10.3</v>
      </c>
      <c r="D101" s="100">
        <v>11.29</v>
      </c>
      <c r="E101" s="100">
        <v>6</v>
      </c>
      <c r="F101" s="100">
        <v>2</v>
      </c>
      <c r="G101" s="100">
        <v>79.510000000000005</v>
      </c>
      <c r="H101" s="100">
        <v>39.58</v>
      </c>
      <c r="I101" s="100">
        <v>10.89</v>
      </c>
      <c r="J101" s="100">
        <v>0.11</v>
      </c>
      <c r="K101" s="100">
        <v>172.03</v>
      </c>
      <c r="L101" s="100">
        <v>15.77</v>
      </c>
      <c r="M101" s="100">
        <v>21.68</v>
      </c>
      <c r="N101" s="100">
        <v>1.8</v>
      </c>
      <c r="O101" s="100">
        <v>0</v>
      </c>
      <c r="P101" s="100">
        <v>0.81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1105</v>
      </c>
      <c r="B102" s="100">
        <v>7.28</v>
      </c>
      <c r="C102" s="100">
        <v>10.15</v>
      </c>
      <c r="D102" s="100">
        <v>11.14</v>
      </c>
      <c r="E102" s="100">
        <v>5.97</v>
      </c>
      <c r="F102" s="100">
        <v>2</v>
      </c>
      <c r="G102" s="100">
        <v>79.5</v>
      </c>
      <c r="H102" s="100">
        <v>39.36</v>
      </c>
      <c r="I102" s="100">
        <v>10.93</v>
      </c>
      <c r="J102" s="100">
        <v>0.13</v>
      </c>
      <c r="K102" s="100">
        <v>164.3</v>
      </c>
      <c r="L102" s="100">
        <v>15.82</v>
      </c>
      <c r="M102" s="100">
        <v>21.72</v>
      </c>
      <c r="N102" s="100">
        <v>2.1</v>
      </c>
      <c r="O102" s="100">
        <v>0</v>
      </c>
      <c r="P102" s="100">
        <v>0.81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1106</v>
      </c>
      <c r="B103" s="100">
        <v>7.17</v>
      </c>
      <c r="C103" s="100">
        <v>9.99</v>
      </c>
      <c r="D103" s="100">
        <v>10.97</v>
      </c>
      <c r="E103" s="100">
        <v>6.15</v>
      </c>
      <c r="F103" s="100">
        <v>2</v>
      </c>
      <c r="G103" s="100">
        <v>79.5</v>
      </c>
      <c r="H103" s="100">
        <v>39.22</v>
      </c>
      <c r="I103" s="100">
        <v>10.96</v>
      </c>
      <c r="J103" s="100">
        <v>0.12</v>
      </c>
      <c r="K103" s="100">
        <v>177.4</v>
      </c>
      <c r="L103" s="100">
        <v>16.84</v>
      </c>
      <c r="M103" s="100">
        <v>24.19</v>
      </c>
      <c r="N103" s="100">
        <v>1.9</v>
      </c>
      <c r="O103" s="100">
        <v>0</v>
      </c>
      <c r="P103" s="100">
        <v>0.81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1107</v>
      </c>
      <c r="B104" s="100">
        <v>7.11</v>
      </c>
      <c r="C104" s="100">
        <v>9.75</v>
      </c>
      <c r="D104" s="100">
        <v>10.8</v>
      </c>
      <c r="E104" s="100">
        <v>6.4</v>
      </c>
      <c r="F104" s="100">
        <v>2</v>
      </c>
      <c r="G104" s="100">
        <v>79.5</v>
      </c>
      <c r="H104" s="100">
        <v>39.22</v>
      </c>
      <c r="I104" s="100">
        <v>10.92</v>
      </c>
      <c r="J104" s="100">
        <v>0.09</v>
      </c>
      <c r="K104" s="100">
        <v>185.34</v>
      </c>
      <c r="L104" s="100">
        <v>16.43</v>
      </c>
      <c r="M104" s="100">
        <v>23.16</v>
      </c>
      <c r="N104" s="100">
        <v>1.9</v>
      </c>
      <c r="O104" s="100">
        <v>0</v>
      </c>
      <c r="P104" s="100">
        <v>0.8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1.63</v>
      </c>
      <c r="C106" s="158">
        <f>MIN(C9:C104)</f>
        <v>9.75</v>
      </c>
      <c r="D106" s="158">
        <f t="shared" ref="D106:Q106" si="0">MIN(D9:D104)</f>
        <v>6.79</v>
      </c>
      <c r="E106" s="158">
        <f t="shared" si="0"/>
        <v>4.6500000000000004</v>
      </c>
      <c r="F106" s="158">
        <f t="shared" si="0"/>
        <v>2</v>
      </c>
      <c r="G106" s="158">
        <f t="shared" si="0"/>
        <v>79.5</v>
      </c>
      <c r="H106" s="158">
        <f t="shared" si="0"/>
        <v>39.22</v>
      </c>
      <c r="I106" s="158">
        <f t="shared" si="0"/>
        <v>8.92</v>
      </c>
      <c r="J106" s="158">
        <f t="shared" si="0"/>
        <v>0.02</v>
      </c>
      <c r="K106" s="158">
        <f t="shared" si="0"/>
        <v>2.97</v>
      </c>
      <c r="L106" s="158">
        <f t="shared" si="0"/>
        <v>6.93</v>
      </c>
      <c r="M106" s="158">
        <f t="shared" si="0"/>
        <v>-1.7</v>
      </c>
      <c r="N106" s="158">
        <f t="shared" si="0"/>
        <v>1.8</v>
      </c>
      <c r="O106" s="158">
        <f t="shared" si="0"/>
        <v>0</v>
      </c>
      <c r="P106" s="158">
        <f t="shared" si="0"/>
        <v>0.74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17.95</v>
      </c>
      <c r="C107" s="157">
        <f t="shared" ref="C107:Q107" si="1">MAX(C9:C104)</f>
        <v>14.11</v>
      </c>
      <c r="D107" s="157">
        <f t="shared" si="1"/>
        <v>21.16</v>
      </c>
      <c r="E107" s="157">
        <f t="shared" si="1"/>
        <v>10.98</v>
      </c>
      <c r="F107" s="157">
        <f t="shared" si="1"/>
        <v>8.35</v>
      </c>
      <c r="G107" s="157">
        <f t="shared" si="1"/>
        <v>199.67</v>
      </c>
      <c r="H107" s="157">
        <f t="shared" si="1"/>
        <v>81.16</v>
      </c>
      <c r="I107" s="157">
        <f t="shared" si="1"/>
        <v>13.56</v>
      </c>
      <c r="J107" s="157">
        <f t="shared" si="1"/>
        <v>0.62</v>
      </c>
      <c r="K107" s="157">
        <f t="shared" si="1"/>
        <v>351.43</v>
      </c>
      <c r="L107" s="157">
        <f t="shared" si="1"/>
        <v>28.3</v>
      </c>
      <c r="M107" s="157">
        <f t="shared" si="1"/>
        <v>38.83</v>
      </c>
      <c r="N107" s="157">
        <f t="shared" si="1"/>
        <v>610.1</v>
      </c>
      <c r="O107" s="157">
        <f t="shared" si="1"/>
        <v>0</v>
      </c>
      <c r="P107" s="157">
        <f t="shared" si="1"/>
        <v>1.07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8.7169791666666665</v>
      </c>
      <c r="C108" s="158">
        <f t="shared" ref="C108:Q108" si="2">AVERAGE(C9:C104)</f>
        <v>12.156666666666659</v>
      </c>
      <c r="D108" s="158">
        <f t="shared" si="2"/>
        <v>13.341979166666663</v>
      </c>
      <c r="E108" s="158">
        <f t="shared" si="2"/>
        <v>6.5542708333333364</v>
      </c>
      <c r="F108" s="158">
        <f t="shared" si="2"/>
        <v>2.2247916666666669</v>
      </c>
      <c r="G108" s="158">
        <f t="shared" si="2"/>
        <v>121.03833333333328</v>
      </c>
      <c r="H108" s="158">
        <f t="shared" si="2"/>
        <v>55.696458333333361</v>
      </c>
      <c r="I108" s="158">
        <f t="shared" si="2"/>
        <v>10.991458333333334</v>
      </c>
      <c r="J108" s="158">
        <f t="shared" si="2"/>
        <v>0.23749999999999996</v>
      </c>
      <c r="K108" s="158">
        <f t="shared" si="2"/>
        <v>102.29479166666668</v>
      </c>
      <c r="L108" s="158">
        <f t="shared" si="2"/>
        <v>14.853020833333332</v>
      </c>
      <c r="M108" s="158">
        <f t="shared" si="2"/>
        <v>16.302083333333332</v>
      </c>
      <c r="N108" s="158">
        <f t="shared" si="2"/>
        <v>124.38854166666665</v>
      </c>
      <c r="O108" s="158">
        <f t="shared" si="2"/>
        <v>0</v>
      </c>
      <c r="P108" s="158">
        <f t="shared" si="2"/>
        <v>0.86697916666666675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5.574600692764629</v>
      </c>
      <c r="C109" s="158">
        <f t="shared" ref="C109:Q109" si="3">STDEV(C9:C104)</f>
        <v>1.0148328010244287</v>
      </c>
      <c r="D109" s="158">
        <f t="shared" si="3"/>
        <v>4.6367855516718786</v>
      </c>
      <c r="E109" s="158">
        <f t="shared" si="3"/>
        <v>1.3249657352404924</v>
      </c>
      <c r="F109" s="158">
        <f t="shared" si="3"/>
        <v>0.83798502582610057</v>
      </c>
      <c r="G109" s="158">
        <f t="shared" si="3"/>
        <v>37.921957385264875</v>
      </c>
      <c r="H109" s="158">
        <f t="shared" si="3"/>
        <v>11.908918018744991</v>
      </c>
      <c r="I109" s="158">
        <f t="shared" si="3"/>
        <v>1.2277390252146698</v>
      </c>
      <c r="J109" s="158">
        <f t="shared" si="3"/>
        <v>0.14555881430216652</v>
      </c>
      <c r="K109" s="158">
        <f t="shared" si="3"/>
        <v>84.419784560370076</v>
      </c>
      <c r="L109" s="158">
        <f t="shared" si="3"/>
        <v>4.4215629815215038</v>
      </c>
      <c r="M109" s="158">
        <f t="shared" si="3"/>
        <v>9.7203959110041733</v>
      </c>
      <c r="N109" s="158">
        <f t="shared" si="3"/>
        <v>205.50455898120953</v>
      </c>
      <c r="O109" s="158">
        <f t="shared" si="3"/>
        <v>0</v>
      </c>
      <c r="P109" s="158">
        <f t="shared" si="3"/>
        <v>9.8687382989940564E-2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F13" sqref="F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1108</v>
      </c>
      <c r="B9" s="100">
        <v>7.13</v>
      </c>
      <c r="C9" s="100">
        <v>9.33</v>
      </c>
      <c r="D9" s="100">
        <v>10.6</v>
      </c>
      <c r="E9" s="100">
        <v>6.52</v>
      </c>
      <c r="F9" s="100">
        <v>2</v>
      </c>
      <c r="G9" s="100">
        <v>79.5</v>
      </c>
      <c r="H9" s="100">
        <v>39.22</v>
      </c>
      <c r="I9" s="100">
        <v>10.86</v>
      </c>
      <c r="J9" s="100">
        <v>0.09</v>
      </c>
      <c r="K9" s="100">
        <v>183.91</v>
      </c>
      <c r="L9" s="100">
        <v>16.73</v>
      </c>
      <c r="M9" s="100">
        <v>23.98</v>
      </c>
      <c r="N9" s="100">
        <v>1.9</v>
      </c>
      <c r="O9" s="100">
        <v>0</v>
      </c>
      <c r="P9" s="100">
        <v>0.8</v>
      </c>
      <c r="Q9" s="100">
        <v>9.32</v>
      </c>
      <c r="R9" s="6"/>
      <c r="S9" s="6"/>
      <c r="T9" s="156"/>
      <c r="U9" s="6"/>
    </row>
    <row r="10" spans="1:21" customFormat="1">
      <c r="A10" s="201" t="s">
        <v>1109</v>
      </c>
      <c r="B10" s="100">
        <v>6.96</v>
      </c>
      <c r="C10" s="100">
        <v>9.52</v>
      </c>
      <c r="D10" s="100">
        <v>10.56</v>
      </c>
      <c r="E10" s="100">
        <v>6.12</v>
      </c>
      <c r="F10" s="100">
        <v>2</v>
      </c>
      <c r="G10" s="100">
        <v>73.27</v>
      </c>
      <c r="H10" s="100">
        <v>39.15</v>
      </c>
      <c r="I10" s="100">
        <v>10.81</v>
      </c>
      <c r="J10" s="100">
        <v>0.08</v>
      </c>
      <c r="K10" s="100">
        <v>192.81</v>
      </c>
      <c r="L10" s="100">
        <v>18.12</v>
      </c>
      <c r="M10" s="100">
        <v>27.37</v>
      </c>
      <c r="N10" s="100">
        <v>2</v>
      </c>
      <c r="O10" s="100">
        <v>0</v>
      </c>
      <c r="P10" s="100">
        <v>0.8</v>
      </c>
      <c r="Q10" s="100">
        <v>9.32</v>
      </c>
      <c r="R10" s="6"/>
      <c r="S10" s="6"/>
      <c r="T10" s="156"/>
      <c r="U10" s="6"/>
    </row>
    <row r="11" spans="1:21" customFormat="1">
      <c r="A11" s="201" t="s">
        <v>1110</v>
      </c>
      <c r="B11" s="100">
        <v>6.88</v>
      </c>
      <c r="C11" s="100">
        <v>9.4700000000000006</v>
      </c>
      <c r="D11" s="100">
        <v>10.46</v>
      </c>
      <c r="E11" s="100">
        <v>4.42</v>
      </c>
      <c r="F11" s="100">
        <v>2</v>
      </c>
      <c r="G11" s="100">
        <v>65.83</v>
      </c>
      <c r="H11" s="100">
        <v>39.1</v>
      </c>
      <c r="I11" s="100">
        <v>10.74</v>
      </c>
      <c r="J11" s="100">
        <v>0.14000000000000001</v>
      </c>
      <c r="K11" s="100">
        <v>191.13</v>
      </c>
      <c r="L11" s="100">
        <v>17.059999999999999</v>
      </c>
      <c r="M11" s="100">
        <v>24.7</v>
      </c>
      <c r="N11" s="100">
        <v>2</v>
      </c>
      <c r="O11" s="100">
        <v>0</v>
      </c>
      <c r="P11" s="100">
        <v>0.79</v>
      </c>
      <c r="Q11" s="100">
        <v>9.32</v>
      </c>
      <c r="R11" s="6"/>
      <c r="S11" s="6"/>
      <c r="T11" s="156"/>
      <c r="U11" s="6"/>
    </row>
    <row r="12" spans="1:21" customFormat="1">
      <c r="A12" s="201" t="s">
        <v>1111</v>
      </c>
      <c r="B12" s="100">
        <v>6.83</v>
      </c>
      <c r="C12" s="100">
        <v>9.49</v>
      </c>
      <c r="D12" s="100">
        <v>10.44</v>
      </c>
      <c r="E12" s="100">
        <v>6.37</v>
      </c>
      <c r="F12" s="100">
        <v>2</v>
      </c>
      <c r="G12" s="100">
        <v>65.83</v>
      </c>
      <c r="H12" s="100">
        <v>39.1</v>
      </c>
      <c r="I12" s="100">
        <v>10.72</v>
      </c>
      <c r="J12" s="100">
        <v>0.06</v>
      </c>
      <c r="K12" s="100">
        <v>53.55</v>
      </c>
      <c r="L12" s="100">
        <v>12.5</v>
      </c>
      <c r="M12" s="100">
        <v>13.22</v>
      </c>
      <c r="N12" s="100">
        <v>1.7</v>
      </c>
      <c r="O12" s="100">
        <v>0</v>
      </c>
      <c r="P12" s="100">
        <v>0.79</v>
      </c>
      <c r="Q12" s="100">
        <v>9.32</v>
      </c>
      <c r="R12" s="6"/>
      <c r="S12" s="6"/>
      <c r="T12" s="156"/>
      <c r="U12" s="6"/>
    </row>
    <row r="13" spans="1:21" customFormat="1">
      <c r="A13" s="201" t="s">
        <v>1112</v>
      </c>
      <c r="B13" s="100">
        <v>7.25</v>
      </c>
      <c r="C13" s="100">
        <v>9.82</v>
      </c>
      <c r="D13" s="100">
        <v>10.95</v>
      </c>
      <c r="E13" s="100">
        <v>6.25</v>
      </c>
      <c r="F13" s="100">
        <v>2</v>
      </c>
      <c r="G13" s="100">
        <v>65.83</v>
      </c>
      <c r="H13" s="100">
        <v>39.1</v>
      </c>
      <c r="I13" s="100">
        <v>10.69</v>
      </c>
      <c r="J13" s="100">
        <v>0.11</v>
      </c>
      <c r="K13" s="100">
        <v>181.82</v>
      </c>
      <c r="L13" s="100">
        <v>17.02</v>
      </c>
      <c r="M13" s="100">
        <v>24.87</v>
      </c>
      <c r="N13" s="100">
        <v>1.7</v>
      </c>
      <c r="O13" s="100">
        <v>0</v>
      </c>
      <c r="P13" s="100">
        <v>0.79</v>
      </c>
      <c r="Q13" s="100">
        <v>9.32</v>
      </c>
      <c r="R13" s="6"/>
      <c r="S13" s="6"/>
      <c r="T13" s="156"/>
      <c r="U13" s="6"/>
    </row>
    <row r="14" spans="1:21" customFormat="1">
      <c r="A14" s="201" t="s">
        <v>1113</v>
      </c>
      <c r="B14" s="100">
        <v>7.91</v>
      </c>
      <c r="C14" s="100">
        <v>10.14</v>
      </c>
      <c r="D14" s="100">
        <v>11.64</v>
      </c>
      <c r="E14" s="100">
        <v>6.36</v>
      </c>
      <c r="F14" s="100">
        <v>2</v>
      </c>
      <c r="G14" s="100">
        <v>66.959999999999994</v>
      </c>
      <c r="H14" s="100">
        <v>39.049999999999997</v>
      </c>
      <c r="I14" s="100">
        <v>10.66</v>
      </c>
      <c r="J14" s="100">
        <v>0.16</v>
      </c>
      <c r="K14" s="100">
        <v>178.15</v>
      </c>
      <c r="L14" s="100">
        <v>16.73</v>
      </c>
      <c r="M14" s="100">
        <v>23.9</v>
      </c>
      <c r="N14" s="100">
        <v>1.8</v>
      </c>
      <c r="O14" s="100">
        <v>0</v>
      </c>
      <c r="P14" s="100">
        <v>0.8</v>
      </c>
      <c r="Q14" s="100">
        <v>9.32</v>
      </c>
      <c r="R14" s="6"/>
      <c r="S14" s="6"/>
      <c r="T14" s="156"/>
      <c r="U14" s="6"/>
    </row>
    <row r="15" spans="1:21" customFormat="1">
      <c r="A15" s="201" t="s">
        <v>1114</v>
      </c>
      <c r="B15" s="100">
        <v>8.4</v>
      </c>
      <c r="C15" s="100">
        <v>10.5</v>
      </c>
      <c r="D15" s="100">
        <v>12.22</v>
      </c>
      <c r="E15" s="100">
        <v>6.75</v>
      </c>
      <c r="F15" s="100">
        <v>2</v>
      </c>
      <c r="G15" s="100">
        <v>68.37</v>
      </c>
      <c r="H15" s="100">
        <v>38.950000000000003</v>
      </c>
      <c r="I15" s="100">
        <v>10.71</v>
      </c>
      <c r="J15" s="100">
        <v>0.16</v>
      </c>
      <c r="K15" s="100">
        <v>190.02</v>
      </c>
      <c r="L15" s="100">
        <v>17.91</v>
      </c>
      <c r="M15" s="100">
        <v>26.76</v>
      </c>
      <c r="N15" s="100">
        <v>1.9</v>
      </c>
      <c r="O15" s="100">
        <v>0</v>
      </c>
      <c r="P15" s="100">
        <v>0.8</v>
      </c>
      <c r="Q15" s="100">
        <v>9.32</v>
      </c>
      <c r="R15" s="6"/>
      <c r="S15" s="6"/>
      <c r="T15" s="156"/>
      <c r="U15" s="6"/>
    </row>
    <row r="16" spans="1:21" customFormat="1">
      <c r="A16" s="201" t="s">
        <v>1115</v>
      </c>
      <c r="B16" s="100">
        <v>8.68</v>
      </c>
      <c r="C16" s="100">
        <v>10.75</v>
      </c>
      <c r="D16" s="100">
        <v>12.57</v>
      </c>
      <c r="E16" s="100">
        <v>6.25</v>
      </c>
      <c r="F16" s="100">
        <v>2</v>
      </c>
      <c r="G16" s="100">
        <v>68.37</v>
      </c>
      <c r="H16" s="100">
        <v>38.950000000000003</v>
      </c>
      <c r="I16" s="100">
        <v>10.79</v>
      </c>
      <c r="J16" s="100">
        <v>0.12</v>
      </c>
      <c r="K16" s="100">
        <v>209.87</v>
      </c>
      <c r="L16" s="100">
        <v>19.84</v>
      </c>
      <c r="M16" s="100">
        <v>31.63</v>
      </c>
      <c r="N16" s="100">
        <v>2</v>
      </c>
      <c r="O16" s="100">
        <v>0</v>
      </c>
      <c r="P16" s="100">
        <v>0.8</v>
      </c>
      <c r="Q16" s="100">
        <v>9.32</v>
      </c>
      <c r="R16" s="6"/>
      <c r="S16" s="6"/>
      <c r="T16" s="156"/>
      <c r="U16" s="6"/>
    </row>
    <row r="17" spans="1:21" customFormat="1">
      <c r="A17" s="201" t="s">
        <v>1116</v>
      </c>
      <c r="B17" s="100">
        <v>8.74</v>
      </c>
      <c r="C17" s="100">
        <v>10.7</v>
      </c>
      <c r="D17" s="100">
        <v>12.6</v>
      </c>
      <c r="E17" s="100">
        <v>5.46</v>
      </c>
      <c r="F17" s="100">
        <v>2</v>
      </c>
      <c r="G17" s="100">
        <v>68.37</v>
      </c>
      <c r="H17" s="100">
        <v>38.950000000000003</v>
      </c>
      <c r="I17" s="100">
        <v>10.83</v>
      </c>
      <c r="J17" s="100">
        <v>0.06</v>
      </c>
      <c r="K17" s="100">
        <v>203.71</v>
      </c>
      <c r="L17" s="100">
        <v>19.34</v>
      </c>
      <c r="M17" s="100">
        <v>30.39</v>
      </c>
      <c r="N17" s="100">
        <v>1.9</v>
      </c>
      <c r="O17" s="100">
        <v>0</v>
      </c>
      <c r="P17" s="100">
        <v>0.81</v>
      </c>
      <c r="Q17" s="100">
        <v>9.32</v>
      </c>
      <c r="R17" s="6"/>
      <c r="S17" s="6"/>
      <c r="T17" s="156"/>
      <c r="U17" s="6"/>
    </row>
    <row r="18" spans="1:21" customFormat="1">
      <c r="A18" s="201" t="s">
        <v>1117</v>
      </c>
      <c r="B18" s="100">
        <v>8.7799999999999994</v>
      </c>
      <c r="C18" s="100">
        <v>10.58</v>
      </c>
      <c r="D18" s="100">
        <v>12.57</v>
      </c>
      <c r="E18" s="100">
        <v>6.44</v>
      </c>
      <c r="F18" s="100">
        <v>2</v>
      </c>
      <c r="G18" s="100">
        <v>67.67</v>
      </c>
      <c r="H18" s="100">
        <v>37.99</v>
      </c>
      <c r="I18" s="100">
        <v>10.86</v>
      </c>
      <c r="J18" s="100">
        <v>0.11</v>
      </c>
      <c r="K18" s="100">
        <v>136.11000000000001</v>
      </c>
      <c r="L18" s="100">
        <v>13.73</v>
      </c>
      <c r="M18" s="100">
        <v>16.43</v>
      </c>
      <c r="N18" s="100">
        <v>1.8</v>
      </c>
      <c r="O18" s="100">
        <v>0</v>
      </c>
      <c r="P18" s="100">
        <v>0.81</v>
      </c>
      <c r="Q18" s="100">
        <v>9.32</v>
      </c>
      <c r="R18" s="6"/>
      <c r="S18" s="6"/>
      <c r="T18" s="156"/>
      <c r="U18" s="6"/>
    </row>
    <row r="19" spans="1:21" customFormat="1">
      <c r="A19" s="201" t="s">
        <v>1118</v>
      </c>
      <c r="B19" s="100">
        <v>9.19</v>
      </c>
      <c r="C19" s="100">
        <v>10.64</v>
      </c>
      <c r="D19" s="100">
        <v>12.93</v>
      </c>
      <c r="E19" s="100">
        <v>6.5</v>
      </c>
      <c r="F19" s="100">
        <v>2</v>
      </c>
      <c r="G19" s="100">
        <v>66.790000000000006</v>
      </c>
      <c r="H19" s="100">
        <v>37.340000000000003</v>
      </c>
      <c r="I19" s="100">
        <v>10.96</v>
      </c>
      <c r="J19" s="100">
        <v>0.1</v>
      </c>
      <c r="K19" s="100">
        <v>184.77</v>
      </c>
      <c r="L19" s="100">
        <v>16.850000000000001</v>
      </c>
      <c r="M19" s="100">
        <v>24.21</v>
      </c>
      <c r="N19" s="100">
        <v>1.7</v>
      </c>
      <c r="O19" s="100">
        <v>0</v>
      </c>
      <c r="P19" s="100">
        <v>0.81</v>
      </c>
      <c r="Q19" s="100">
        <v>9.32</v>
      </c>
      <c r="R19" s="6"/>
      <c r="S19" s="6"/>
      <c r="T19" s="156"/>
      <c r="U19" s="6"/>
    </row>
    <row r="20" spans="1:21" customFormat="1">
      <c r="A20" s="201" t="s">
        <v>1119</v>
      </c>
      <c r="B20" s="100">
        <v>10.36</v>
      </c>
      <c r="C20" s="100">
        <v>10.82</v>
      </c>
      <c r="D20" s="100">
        <v>13.96</v>
      </c>
      <c r="E20" s="100">
        <v>6.85</v>
      </c>
      <c r="F20" s="100">
        <v>2</v>
      </c>
      <c r="G20" s="100">
        <v>66.790000000000006</v>
      </c>
      <c r="H20" s="100">
        <v>37.340000000000003</v>
      </c>
      <c r="I20" s="100">
        <v>11.07</v>
      </c>
      <c r="J20" s="100">
        <v>0.09</v>
      </c>
      <c r="K20" s="100">
        <v>165.23</v>
      </c>
      <c r="L20" s="100">
        <v>16.649999999999999</v>
      </c>
      <c r="M20" s="100">
        <v>23.72</v>
      </c>
      <c r="N20" s="100">
        <v>1.9</v>
      </c>
      <c r="O20" s="100">
        <v>0</v>
      </c>
      <c r="P20" s="100">
        <v>0.83</v>
      </c>
      <c r="Q20" s="100">
        <v>9.32</v>
      </c>
      <c r="R20" s="6"/>
      <c r="S20" s="6"/>
      <c r="T20" s="156"/>
      <c r="U20" s="6"/>
    </row>
    <row r="21" spans="1:21" customFormat="1">
      <c r="A21" s="201" t="s">
        <v>1120</v>
      </c>
      <c r="B21" s="100">
        <v>11.56</v>
      </c>
      <c r="C21" s="100">
        <v>11.01</v>
      </c>
      <c r="D21" s="100">
        <v>15.02</v>
      </c>
      <c r="E21" s="100">
        <v>6.8</v>
      </c>
      <c r="F21" s="100">
        <v>2</v>
      </c>
      <c r="G21" s="100">
        <v>66.790000000000006</v>
      </c>
      <c r="H21" s="100">
        <v>37.340000000000003</v>
      </c>
      <c r="I21" s="100">
        <v>11.22</v>
      </c>
      <c r="J21" s="100">
        <v>0.14000000000000001</v>
      </c>
      <c r="K21" s="100">
        <v>114.84</v>
      </c>
      <c r="L21" s="100">
        <v>12.29</v>
      </c>
      <c r="M21" s="100">
        <v>12.84</v>
      </c>
      <c r="N21" s="100">
        <v>1.8</v>
      </c>
      <c r="O21" s="100">
        <v>0</v>
      </c>
      <c r="P21" s="100">
        <v>0.84</v>
      </c>
      <c r="Q21" s="100">
        <v>9.32</v>
      </c>
      <c r="R21" s="6"/>
      <c r="S21" s="6"/>
      <c r="T21" s="156"/>
      <c r="U21" s="6"/>
    </row>
    <row r="22" spans="1:21" customFormat="1">
      <c r="A22" s="201" t="s">
        <v>1121</v>
      </c>
      <c r="B22" s="100">
        <v>13.08</v>
      </c>
      <c r="C22" s="100">
        <v>11.27</v>
      </c>
      <c r="D22" s="100">
        <v>16.37</v>
      </c>
      <c r="E22" s="100">
        <v>6.73</v>
      </c>
      <c r="F22" s="100">
        <v>2</v>
      </c>
      <c r="G22" s="100">
        <v>72.2</v>
      </c>
      <c r="H22" s="100">
        <v>42.61</v>
      </c>
      <c r="I22" s="100">
        <v>11.46</v>
      </c>
      <c r="J22" s="100">
        <v>0.06</v>
      </c>
      <c r="K22" s="100">
        <v>165.51</v>
      </c>
      <c r="L22" s="100">
        <v>15.25</v>
      </c>
      <c r="M22" s="100">
        <v>20.27</v>
      </c>
      <c r="N22" s="100">
        <v>1.9</v>
      </c>
      <c r="O22" s="100">
        <v>0</v>
      </c>
      <c r="P22" s="100">
        <v>0.85</v>
      </c>
      <c r="Q22" s="100">
        <v>9.32</v>
      </c>
      <c r="R22" s="6"/>
      <c r="S22" s="6"/>
      <c r="T22" s="156"/>
      <c r="U22" s="6"/>
    </row>
    <row r="23" spans="1:21" customFormat="1">
      <c r="A23" s="201" t="s">
        <v>1122</v>
      </c>
      <c r="B23" s="100">
        <v>14.51</v>
      </c>
      <c r="C23" s="100">
        <v>11.42</v>
      </c>
      <c r="D23" s="100">
        <v>17.61</v>
      </c>
      <c r="E23" s="100">
        <v>6.76</v>
      </c>
      <c r="F23" s="100">
        <v>2</v>
      </c>
      <c r="G23" s="100">
        <v>78.959999999999994</v>
      </c>
      <c r="H23" s="100">
        <v>46.17</v>
      </c>
      <c r="I23" s="100">
        <v>11.73</v>
      </c>
      <c r="J23" s="100">
        <v>0.11</v>
      </c>
      <c r="K23" s="100">
        <v>143.19</v>
      </c>
      <c r="L23" s="100">
        <v>13.83</v>
      </c>
      <c r="M23" s="100">
        <v>16.68</v>
      </c>
      <c r="N23" s="100">
        <v>1.8</v>
      </c>
      <c r="O23" s="100">
        <v>0</v>
      </c>
      <c r="P23" s="100">
        <v>0.87</v>
      </c>
      <c r="Q23" s="100">
        <v>9.32</v>
      </c>
      <c r="R23" s="6"/>
      <c r="S23" s="6"/>
      <c r="T23" s="156"/>
      <c r="U23" s="6"/>
    </row>
    <row r="24" spans="1:21" customFormat="1">
      <c r="A24" s="201" t="s">
        <v>1123</v>
      </c>
      <c r="B24" s="100">
        <v>15.5</v>
      </c>
      <c r="C24" s="100">
        <v>11.52</v>
      </c>
      <c r="D24" s="100">
        <v>18.45</v>
      </c>
      <c r="E24" s="100">
        <v>7.26</v>
      </c>
      <c r="F24" s="100">
        <v>2</v>
      </c>
      <c r="G24" s="100">
        <v>78.959999999999994</v>
      </c>
      <c r="H24" s="100">
        <v>46.17</v>
      </c>
      <c r="I24" s="100">
        <v>11.98</v>
      </c>
      <c r="J24" s="100">
        <v>0.13</v>
      </c>
      <c r="K24" s="100">
        <v>51.08</v>
      </c>
      <c r="L24" s="100">
        <v>12.41</v>
      </c>
      <c r="M24" s="100">
        <v>13.03</v>
      </c>
      <c r="N24" s="100">
        <v>1.9</v>
      </c>
      <c r="O24" s="100">
        <v>0</v>
      </c>
      <c r="P24" s="100">
        <v>0.89</v>
      </c>
      <c r="Q24" s="100">
        <v>9.32</v>
      </c>
      <c r="R24" s="6"/>
      <c r="S24" s="6"/>
      <c r="T24" s="156"/>
      <c r="U24" s="6"/>
    </row>
    <row r="25" spans="1:21" customFormat="1">
      <c r="A25" s="201" t="s">
        <v>1124</v>
      </c>
      <c r="B25" s="100">
        <v>16.489999999999998</v>
      </c>
      <c r="C25" s="100">
        <v>11.86</v>
      </c>
      <c r="D25" s="100">
        <v>19.420000000000002</v>
      </c>
      <c r="E25" s="100">
        <v>6.9</v>
      </c>
      <c r="F25" s="100">
        <v>2</v>
      </c>
      <c r="G25" s="100">
        <v>78.959999999999994</v>
      </c>
      <c r="H25" s="100">
        <v>46.17</v>
      </c>
      <c r="I25" s="100">
        <v>12.28</v>
      </c>
      <c r="J25" s="100">
        <v>0.08</v>
      </c>
      <c r="K25" s="100">
        <v>35.71</v>
      </c>
      <c r="L25" s="100">
        <v>13.99</v>
      </c>
      <c r="M25" s="100">
        <v>16.96</v>
      </c>
      <c r="N25" s="100">
        <v>1.7</v>
      </c>
      <c r="O25" s="100">
        <v>0</v>
      </c>
      <c r="P25" s="100">
        <v>0.94</v>
      </c>
      <c r="Q25" s="100">
        <v>9.32</v>
      </c>
      <c r="R25" s="6"/>
      <c r="S25" s="6"/>
      <c r="T25" s="156"/>
      <c r="U25" s="6"/>
    </row>
    <row r="26" spans="1:21" customFormat="1">
      <c r="A26" s="201" t="s">
        <v>1125</v>
      </c>
      <c r="B26" s="100">
        <v>17.579999999999998</v>
      </c>
      <c r="C26" s="100">
        <v>12.13</v>
      </c>
      <c r="D26" s="100">
        <v>20.440000000000001</v>
      </c>
      <c r="E26" s="100">
        <v>7.27</v>
      </c>
      <c r="F26" s="100">
        <v>2</v>
      </c>
      <c r="G26" s="100">
        <v>91.61</v>
      </c>
      <c r="H26" s="100">
        <v>51.99</v>
      </c>
      <c r="I26" s="100">
        <v>12.69</v>
      </c>
      <c r="J26" s="100">
        <v>0.09</v>
      </c>
      <c r="K26" s="100">
        <v>154.69999999999999</v>
      </c>
      <c r="L26" s="100">
        <v>14.78</v>
      </c>
      <c r="M26" s="100">
        <v>19.260000000000002</v>
      </c>
      <c r="N26" s="100">
        <v>1.9</v>
      </c>
      <c r="O26" s="100">
        <v>0</v>
      </c>
      <c r="P26" s="100">
        <v>0.97</v>
      </c>
      <c r="Q26" s="100">
        <v>9.32</v>
      </c>
      <c r="R26" s="6"/>
      <c r="S26" s="6"/>
      <c r="T26" s="156"/>
      <c r="U26" s="6"/>
    </row>
    <row r="27" spans="1:21" customFormat="1">
      <c r="A27" s="201" t="s">
        <v>1126</v>
      </c>
      <c r="B27" s="100">
        <v>18.66</v>
      </c>
      <c r="C27" s="100">
        <v>12.35</v>
      </c>
      <c r="D27" s="100">
        <v>21.42</v>
      </c>
      <c r="E27" s="100">
        <v>7.06</v>
      </c>
      <c r="F27" s="100">
        <v>2</v>
      </c>
      <c r="G27" s="100">
        <v>107.42</v>
      </c>
      <c r="H27" s="100">
        <v>55.92</v>
      </c>
      <c r="I27" s="100">
        <v>13.12</v>
      </c>
      <c r="J27" s="100">
        <v>0.1</v>
      </c>
      <c r="K27" s="100">
        <v>164.06</v>
      </c>
      <c r="L27" s="100">
        <v>15.67</v>
      </c>
      <c r="M27" s="100">
        <v>21.5</v>
      </c>
      <c r="N27" s="100">
        <v>2.1</v>
      </c>
      <c r="O27" s="100">
        <v>0</v>
      </c>
      <c r="P27" s="100">
        <v>1</v>
      </c>
      <c r="Q27" s="100">
        <v>9.32</v>
      </c>
      <c r="R27" s="6"/>
      <c r="S27" s="6"/>
      <c r="T27" s="156"/>
      <c r="U27" s="6"/>
    </row>
    <row r="28" spans="1:21" customFormat="1">
      <c r="A28" s="201" t="s">
        <v>1127</v>
      </c>
      <c r="B28" s="100">
        <v>19.52</v>
      </c>
      <c r="C28" s="100">
        <v>12.62</v>
      </c>
      <c r="D28" s="100">
        <v>22.24</v>
      </c>
      <c r="E28" s="100">
        <v>6.76</v>
      </c>
      <c r="F28" s="100">
        <v>2</v>
      </c>
      <c r="G28" s="100">
        <v>107.42</v>
      </c>
      <c r="H28" s="100">
        <v>55.92</v>
      </c>
      <c r="I28" s="100">
        <v>13.5</v>
      </c>
      <c r="J28" s="100">
        <v>0.06</v>
      </c>
      <c r="K28" s="100">
        <v>114.82</v>
      </c>
      <c r="L28" s="100">
        <v>12.21</v>
      </c>
      <c r="M28" s="100">
        <v>12.73</v>
      </c>
      <c r="N28" s="100">
        <v>1.9</v>
      </c>
      <c r="O28" s="100">
        <v>0</v>
      </c>
      <c r="P28" s="100">
        <v>1.03</v>
      </c>
      <c r="Q28" s="100">
        <v>9.32</v>
      </c>
      <c r="R28" s="6"/>
      <c r="S28" s="6"/>
      <c r="T28" s="156"/>
      <c r="U28" s="6"/>
    </row>
    <row r="29" spans="1:21" customFormat="1">
      <c r="A29" s="201" t="s">
        <v>1128</v>
      </c>
      <c r="B29" s="100">
        <v>20.28</v>
      </c>
      <c r="C29" s="100">
        <v>12.8</v>
      </c>
      <c r="D29" s="100">
        <v>22.95</v>
      </c>
      <c r="E29" s="100">
        <v>6.78</v>
      </c>
      <c r="F29" s="100">
        <v>2</v>
      </c>
      <c r="G29" s="100">
        <v>107.42</v>
      </c>
      <c r="H29" s="100">
        <v>55.92</v>
      </c>
      <c r="I29" s="100">
        <v>13.84</v>
      </c>
      <c r="J29" s="100">
        <v>0.06</v>
      </c>
      <c r="K29" s="100">
        <v>113.22</v>
      </c>
      <c r="L29" s="100">
        <v>12.18</v>
      </c>
      <c r="M29" s="100">
        <v>12.68</v>
      </c>
      <c r="N29" s="100">
        <v>1.9</v>
      </c>
      <c r="O29" s="100">
        <v>0</v>
      </c>
      <c r="P29" s="100">
        <v>1.07</v>
      </c>
      <c r="Q29" s="100">
        <v>9.32</v>
      </c>
      <c r="R29" s="6"/>
      <c r="S29" s="6"/>
      <c r="T29" s="156"/>
      <c r="U29" s="6"/>
    </row>
    <row r="30" spans="1:21" customFormat="1">
      <c r="A30" s="201" t="s">
        <v>1129</v>
      </c>
      <c r="B30" s="100">
        <v>21.01</v>
      </c>
      <c r="C30" s="100">
        <v>12.79</v>
      </c>
      <c r="D30" s="100">
        <v>23.53</v>
      </c>
      <c r="E30" s="100">
        <v>6.89</v>
      </c>
      <c r="F30" s="100">
        <v>2</v>
      </c>
      <c r="G30" s="100">
        <v>122.11</v>
      </c>
      <c r="H30" s="100">
        <v>62.8</v>
      </c>
      <c r="I30" s="100">
        <v>14.16</v>
      </c>
      <c r="J30" s="100">
        <v>0.09</v>
      </c>
      <c r="K30" s="100">
        <v>153.08000000000001</v>
      </c>
      <c r="L30" s="100">
        <v>14.61</v>
      </c>
      <c r="M30" s="100">
        <v>18.82</v>
      </c>
      <c r="N30" s="100">
        <v>1.9</v>
      </c>
      <c r="O30" s="100">
        <v>0</v>
      </c>
      <c r="P30" s="100">
        <v>1.1000000000000001</v>
      </c>
      <c r="Q30" s="100">
        <v>9.32</v>
      </c>
      <c r="R30" s="6"/>
      <c r="S30" s="6"/>
      <c r="T30" s="156"/>
      <c r="U30" s="6"/>
    </row>
    <row r="31" spans="1:21" customFormat="1">
      <c r="A31" s="201" t="s">
        <v>1130</v>
      </c>
      <c r="B31" s="100">
        <v>21.58</v>
      </c>
      <c r="C31" s="100">
        <v>12.71</v>
      </c>
      <c r="D31" s="100">
        <v>23.95</v>
      </c>
      <c r="E31" s="100">
        <v>7.12</v>
      </c>
      <c r="F31" s="100">
        <v>2</v>
      </c>
      <c r="G31" s="100">
        <v>140.47</v>
      </c>
      <c r="H31" s="100">
        <v>67.44</v>
      </c>
      <c r="I31" s="100">
        <v>14.46</v>
      </c>
      <c r="J31" s="100">
        <v>0.06</v>
      </c>
      <c r="K31" s="100">
        <v>192.75</v>
      </c>
      <c r="L31" s="100">
        <v>18.09</v>
      </c>
      <c r="M31" s="100">
        <v>27.51</v>
      </c>
      <c r="N31" s="100">
        <v>2.1</v>
      </c>
      <c r="O31" s="100">
        <v>0</v>
      </c>
      <c r="P31" s="100">
        <v>1.1200000000000001</v>
      </c>
      <c r="Q31" s="100">
        <v>9.32</v>
      </c>
      <c r="R31" s="6"/>
      <c r="S31" s="6"/>
      <c r="T31" s="156"/>
      <c r="U31" s="6"/>
    </row>
    <row r="32" spans="1:21" customFormat="1">
      <c r="A32" s="201" t="s">
        <v>1131</v>
      </c>
      <c r="B32" s="100">
        <v>22.42</v>
      </c>
      <c r="C32" s="100">
        <v>12.97</v>
      </c>
      <c r="D32" s="100">
        <v>24.75</v>
      </c>
      <c r="E32" s="100">
        <v>6.88</v>
      </c>
      <c r="F32" s="100">
        <v>2</v>
      </c>
      <c r="G32" s="100">
        <v>140.47</v>
      </c>
      <c r="H32" s="100">
        <v>67.44</v>
      </c>
      <c r="I32" s="100">
        <v>14.68</v>
      </c>
      <c r="J32" s="100">
        <v>0.14000000000000001</v>
      </c>
      <c r="K32" s="100">
        <v>71.73</v>
      </c>
      <c r="L32" s="100">
        <v>9.58</v>
      </c>
      <c r="M32" s="100">
        <v>6.07</v>
      </c>
      <c r="N32" s="100">
        <v>1.8</v>
      </c>
      <c r="O32" s="100">
        <v>0</v>
      </c>
      <c r="P32" s="100">
        <v>1.1399999999999999</v>
      </c>
      <c r="Q32" s="100">
        <v>9.32</v>
      </c>
      <c r="R32" s="6"/>
      <c r="S32" s="6"/>
      <c r="T32" s="156"/>
      <c r="U32" s="6"/>
    </row>
    <row r="33" spans="1:21" customFormat="1">
      <c r="A33" s="201" t="s">
        <v>1132</v>
      </c>
      <c r="B33" s="100">
        <v>23.12</v>
      </c>
      <c r="C33" s="100">
        <v>13.4</v>
      </c>
      <c r="D33" s="100">
        <v>25.54</v>
      </c>
      <c r="E33" s="100">
        <v>7.04</v>
      </c>
      <c r="F33" s="100">
        <v>2</v>
      </c>
      <c r="G33" s="100">
        <v>140.47</v>
      </c>
      <c r="H33" s="100">
        <v>67.44</v>
      </c>
      <c r="I33" s="100">
        <v>14.88</v>
      </c>
      <c r="J33" s="100">
        <v>0.09</v>
      </c>
      <c r="K33" s="100">
        <v>80.98</v>
      </c>
      <c r="L33" s="100">
        <v>12.08</v>
      </c>
      <c r="M33" s="100">
        <v>12.3</v>
      </c>
      <c r="N33" s="100">
        <v>3.2</v>
      </c>
      <c r="O33" s="100">
        <v>0</v>
      </c>
      <c r="P33" s="100">
        <v>1.1499999999999999</v>
      </c>
      <c r="Q33" s="100">
        <v>9.32</v>
      </c>
      <c r="R33" s="6"/>
      <c r="S33" s="6"/>
      <c r="T33" s="156"/>
      <c r="U33" s="6"/>
    </row>
    <row r="34" spans="1:21" customFormat="1">
      <c r="A34" s="201" t="s">
        <v>1133</v>
      </c>
      <c r="B34" s="100">
        <v>23.34</v>
      </c>
      <c r="C34" s="100">
        <v>13.71</v>
      </c>
      <c r="D34" s="100">
        <v>25.88</v>
      </c>
      <c r="E34" s="100">
        <v>6.62</v>
      </c>
      <c r="F34" s="100">
        <v>2</v>
      </c>
      <c r="G34" s="100">
        <v>139.62</v>
      </c>
      <c r="H34" s="100">
        <v>65.52</v>
      </c>
      <c r="I34" s="100">
        <v>14.99</v>
      </c>
      <c r="J34" s="100">
        <v>0.09</v>
      </c>
      <c r="K34" s="100">
        <v>196.33</v>
      </c>
      <c r="L34" s="100">
        <v>18.48</v>
      </c>
      <c r="M34" s="100">
        <v>28.41</v>
      </c>
      <c r="N34" s="100">
        <v>7.5</v>
      </c>
      <c r="O34" s="100">
        <v>0</v>
      </c>
      <c r="P34" s="100">
        <v>1.1499999999999999</v>
      </c>
      <c r="Q34" s="100">
        <v>9.32</v>
      </c>
      <c r="R34" s="6"/>
      <c r="S34" s="6"/>
      <c r="T34" s="156"/>
      <c r="U34" s="6"/>
    </row>
    <row r="35" spans="1:21" customFormat="1">
      <c r="A35" s="201" t="s">
        <v>1134</v>
      </c>
      <c r="B35" s="100">
        <v>23.31</v>
      </c>
      <c r="C35" s="100">
        <v>13.82</v>
      </c>
      <c r="D35" s="100">
        <v>25.91</v>
      </c>
      <c r="E35" s="100">
        <v>7.14</v>
      </c>
      <c r="F35" s="100">
        <v>2</v>
      </c>
      <c r="G35" s="100">
        <v>138.56</v>
      </c>
      <c r="H35" s="100">
        <v>64.22</v>
      </c>
      <c r="I35" s="100">
        <v>14.96</v>
      </c>
      <c r="J35" s="100">
        <v>0.03</v>
      </c>
      <c r="K35" s="100">
        <v>214.91</v>
      </c>
      <c r="L35" s="100">
        <v>19.39</v>
      </c>
      <c r="M35" s="100">
        <v>30.48</v>
      </c>
      <c r="N35" s="100">
        <v>14.5</v>
      </c>
      <c r="O35" s="100">
        <v>0</v>
      </c>
      <c r="P35" s="100">
        <v>1.1399999999999999</v>
      </c>
      <c r="Q35" s="100">
        <v>9.32</v>
      </c>
      <c r="R35" s="6"/>
      <c r="S35" s="6"/>
      <c r="T35" s="156"/>
      <c r="U35" s="6"/>
    </row>
    <row r="36" spans="1:21" customFormat="1">
      <c r="A36" s="201" t="s">
        <v>1135</v>
      </c>
      <c r="B36" s="100">
        <v>23.3</v>
      </c>
      <c r="C36" s="100">
        <v>14.15</v>
      </c>
      <c r="D36" s="100">
        <v>26.08</v>
      </c>
      <c r="E36" s="100">
        <v>6.84</v>
      </c>
      <c r="F36" s="100">
        <v>2</v>
      </c>
      <c r="G36" s="100">
        <v>138.56</v>
      </c>
      <c r="H36" s="100">
        <v>64.22</v>
      </c>
      <c r="I36" s="100">
        <v>14.84</v>
      </c>
      <c r="J36" s="100">
        <v>0.15</v>
      </c>
      <c r="K36" s="100">
        <v>169.59</v>
      </c>
      <c r="L36" s="100">
        <v>16.440000000000001</v>
      </c>
      <c r="M36" s="100">
        <v>22.91</v>
      </c>
      <c r="N36" s="100">
        <v>24.2</v>
      </c>
      <c r="O36" s="100">
        <v>0</v>
      </c>
      <c r="P36" s="100">
        <v>1.1299999999999999</v>
      </c>
      <c r="Q36" s="100">
        <v>9.32</v>
      </c>
      <c r="R36" s="6"/>
      <c r="S36" s="6"/>
      <c r="T36" s="156"/>
      <c r="U36" s="6"/>
    </row>
    <row r="37" spans="1:21" customFormat="1">
      <c r="A37" s="201" t="s">
        <v>1136</v>
      </c>
      <c r="B37" s="100">
        <v>23.14</v>
      </c>
      <c r="C37" s="100">
        <v>14.14</v>
      </c>
      <c r="D37" s="100">
        <v>25.94</v>
      </c>
      <c r="E37" s="100">
        <v>7.06</v>
      </c>
      <c r="F37" s="100">
        <v>2</v>
      </c>
      <c r="G37" s="100">
        <v>138.56</v>
      </c>
      <c r="H37" s="100">
        <v>64.22</v>
      </c>
      <c r="I37" s="100">
        <v>14.71</v>
      </c>
      <c r="J37" s="100">
        <v>0.05</v>
      </c>
      <c r="K37" s="100">
        <v>105.93</v>
      </c>
      <c r="L37" s="100">
        <v>12.55</v>
      </c>
      <c r="M37" s="100">
        <v>12.73</v>
      </c>
      <c r="N37" s="100">
        <v>38.1</v>
      </c>
      <c r="O37" s="100">
        <v>0</v>
      </c>
      <c r="P37" s="100">
        <v>1.1299999999999999</v>
      </c>
      <c r="Q37" s="100">
        <v>9.32</v>
      </c>
      <c r="R37" s="6"/>
      <c r="S37" s="6"/>
      <c r="T37" s="156"/>
      <c r="U37" s="6"/>
    </row>
    <row r="38" spans="1:21" customFormat="1">
      <c r="A38" s="201" t="s">
        <v>1137</v>
      </c>
      <c r="B38" s="100">
        <v>23.11</v>
      </c>
      <c r="C38" s="100">
        <v>14.09</v>
      </c>
      <c r="D38" s="100">
        <v>25.89</v>
      </c>
      <c r="E38" s="100">
        <v>7.14</v>
      </c>
      <c r="F38" s="100">
        <v>2</v>
      </c>
      <c r="G38" s="100">
        <v>130.33000000000001</v>
      </c>
      <c r="H38" s="100">
        <v>66.13</v>
      </c>
      <c r="I38" s="100">
        <v>14.58</v>
      </c>
      <c r="J38" s="100">
        <v>0.27</v>
      </c>
      <c r="K38" s="100">
        <v>29.68</v>
      </c>
      <c r="L38" s="100">
        <v>8.66</v>
      </c>
      <c r="M38" s="100">
        <v>2.27</v>
      </c>
      <c r="N38" s="100">
        <v>54.5</v>
      </c>
      <c r="O38" s="100">
        <v>0</v>
      </c>
      <c r="P38" s="100">
        <v>1.1200000000000001</v>
      </c>
      <c r="Q38" s="100">
        <v>9.32</v>
      </c>
      <c r="R38" s="6"/>
      <c r="S38" s="6"/>
      <c r="T38" s="156"/>
      <c r="U38" s="6"/>
    </row>
    <row r="39" spans="1:21" customFormat="1">
      <c r="A39" s="201" t="s">
        <v>1138</v>
      </c>
      <c r="B39" s="100">
        <v>23.02</v>
      </c>
      <c r="C39" s="100">
        <v>14.21</v>
      </c>
      <c r="D39" s="100">
        <v>25.89</v>
      </c>
      <c r="E39" s="100">
        <v>7.14</v>
      </c>
      <c r="F39" s="100">
        <v>2</v>
      </c>
      <c r="G39" s="100">
        <v>120.05</v>
      </c>
      <c r="H39" s="100">
        <v>66.599999999999994</v>
      </c>
      <c r="I39" s="100">
        <v>14.46</v>
      </c>
      <c r="J39" s="100">
        <v>0.34</v>
      </c>
      <c r="K39" s="100">
        <v>26.46</v>
      </c>
      <c r="L39" s="100">
        <v>7.9</v>
      </c>
      <c r="M39" s="100">
        <v>-0.23</v>
      </c>
      <c r="N39" s="100">
        <v>81.2</v>
      </c>
      <c r="O39" s="100">
        <v>0</v>
      </c>
      <c r="P39" s="100">
        <v>1.1100000000000001</v>
      </c>
      <c r="Q39" s="100">
        <v>9.32</v>
      </c>
      <c r="R39" s="6"/>
      <c r="S39" s="6"/>
      <c r="T39" s="156"/>
      <c r="U39" s="6"/>
    </row>
    <row r="40" spans="1:21" customFormat="1">
      <c r="A40" s="201" t="s">
        <v>1139</v>
      </c>
      <c r="B40" s="100">
        <v>22.8</v>
      </c>
      <c r="C40" s="100">
        <v>14.51</v>
      </c>
      <c r="D40" s="100">
        <v>25.86</v>
      </c>
      <c r="E40" s="100">
        <v>6.95</v>
      </c>
      <c r="F40" s="100">
        <v>2</v>
      </c>
      <c r="G40" s="100">
        <v>120.05</v>
      </c>
      <c r="H40" s="100">
        <v>66.599999999999994</v>
      </c>
      <c r="I40" s="100">
        <v>14.36</v>
      </c>
      <c r="J40" s="100">
        <v>0.38</v>
      </c>
      <c r="K40" s="100">
        <v>33.81</v>
      </c>
      <c r="L40" s="100">
        <v>10.18</v>
      </c>
      <c r="M40" s="100">
        <v>3.33</v>
      </c>
      <c r="N40" s="100">
        <v>175.3</v>
      </c>
      <c r="O40" s="100">
        <v>0</v>
      </c>
      <c r="P40" s="100">
        <v>1.1000000000000001</v>
      </c>
      <c r="Q40" s="100">
        <v>9.32</v>
      </c>
      <c r="R40" s="6"/>
      <c r="S40" s="6"/>
      <c r="T40" s="156"/>
      <c r="U40" s="6"/>
    </row>
    <row r="41" spans="1:21" customFormat="1">
      <c r="A41" s="201" t="s">
        <v>1140</v>
      </c>
      <c r="B41" s="100">
        <v>22.47</v>
      </c>
      <c r="C41" s="100">
        <v>14.82</v>
      </c>
      <c r="D41" s="100">
        <v>25.76</v>
      </c>
      <c r="E41" s="100">
        <v>6.95</v>
      </c>
      <c r="F41" s="100">
        <v>2</v>
      </c>
      <c r="G41" s="100">
        <v>120.05</v>
      </c>
      <c r="H41" s="100">
        <v>66.599999999999994</v>
      </c>
      <c r="I41" s="100">
        <v>14.26</v>
      </c>
      <c r="J41" s="100">
        <v>0.51</v>
      </c>
      <c r="K41" s="100">
        <v>37.090000000000003</v>
      </c>
      <c r="L41" s="100">
        <v>9.4700000000000006</v>
      </c>
      <c r="M41" s="100">
        <v>0.57999999999999996</v>
      </c>
      <c r="N41" s="100">
        <v>215.5</v>
      </c>
      <c r="O41" s="100">
        <v>0</v>
      </c>
      <c r="P41" s="100">
        <v>1.08</v>
      </c>
      <c r="Q41" s="100">
        <v>9.32</v>
      </c>
      <c r="R41" s="6"/>
      <c r="S41" s="6"/>
      <c r="T41" s="156"/>
      <c r="U41" s="6"/>
    </row>
    <row r="42" spans="1:21" customFormat="1">
      <c r="A42" s="201" t="s">
        <v>1141</v>
      </c>
      <c r="B42" s="100">
        <v>21.8</v>
      </c>
      <c r="C42" s="100">
        <v>15.11</v>
      </c>
      <c r="D42" s="100">
        <v>25.38</v>
      </c>
      <c r="E42" s="100">
        <v>6.83</v>
      </c>
      <c r="F42" s="100">
        <v>2</v>
      </c>
      <c r="G42" s="100">
        <v>112.02</v>
      </c>
      <c r="H42" s="100">
        <v>61.9</v>
      </c>
      <c r="I42" s="100">
        <v>14.2</v>
      </c>
      <c r="J42" s="100">
        <v>0.51</v>
      </c>
      <c r="K42" s="100">
        <v>37.56</v>
      </c>
      <c r="L42" s="100">
        <v>10.07</v>
      </c>
      <c r="M42" s="100">
        <v>1.18</v>
      </c>
      <c r="N42" s="100">
        <v>253.9</v>
      </c>
      <c r="O42" s="100">
        <v>0</v>
      </c>
      <c r="P42" s="100">
        <v>1.07</v>
      </c>
      <c r="Q42" s="100">
        <v>9.32</v>
      </c>
      <c r="R42" s="6"/>
      <c r="S42" s="6"/>
      <c r="T42" s="156"/>
      <c r="U42" s="6"/>
    </row>
    <row r="43" spans="1:21" customFormat="1">
      <c r="A43" s="201" t="s">
        <v>1142</v>
      </c>
      <c r="B43" s="100">
        <v>20.92</v>
      </c>
      <c r="C43" s="100">
        <v>14.92</v>
      </c>
      <c r="D43" s="100">
        <v>24.57</v>
      </c>
      <c r="E43" s="100">
        <v>6.85</v>
      </c>
      <c r="F43" s="100">
        <v>2</v>
      </c>
      <c r="G43" s="100">
        <v>101.99</v>
      </c>
      <c r="H43" s="100">
        <v>58.73</v>
      </c>
      <c r="I43" s="100">
        <v>14.07</v>
      </c>
      <c r="J43" s="100">
        <v>0.55000000000000004</v>
      </c>
      <c r="K43" s="100">
        <v>42.53</v>
      </c>
      <c r="L43" s="100">
        <v>10.45</v>
      </c>
      <c r="M43" s="100">
        <v>1.23</v>
      </c>
      <c r="N43" s="100">
        <v>295.3</v>
      </c>
      <c r="O43" s="100">
        <v>0</v>
      </c>
      <c r="P43" s="100">
        <v>1.05</v>
      </c>
      <c r="Q43" s="100">
        <v>9.32</v>
      </c>
      <c r="R43" s="6"/>
      <c r="S43" s="6"/>
      <c r="T43" s="156"/>
      <c r="U43" s="6"/>
    </row>
    <row r="44" spans="1:21" customFormat="1">
      <c r="A44" s="201" t="s">
        <v>1143</v>
      </c>
      <c r="B44" s="100">
        <v>19.82</v>
      </c>
      <c r="C44" s="100">
        <v>14.83</v>
      </c>
      <c r="D44" s="100">
        <v>23.65</v>
      </c>
      <c r="E44" s="100">
        <v>6.68</v>
      </c>
      <c r="F44" s="100">
        <v>2</v>
      </c>
      <c r="G44" s="100">
        <v>101.99</v>
      </c>
      <c r="H44" s="100">
        <v>58.73</v>
      </c>
      <c r="I44" s="100">
        <v>13.86</v>
      </c>
      <c r="J44" s="100">
        <v>0.37</v>
      </c>
      <c r="K44" s="100">
        <v>56.81</v>
      </c>
      <c r="L44" s="100">
        <v>12.65</v>
      </c>
      <c r="M44" s="100">
        <v>5.81</v>
      </c>
      <c r="N44" s="100">
        <v>336.1</v>
      </c>
      <c r="O44" s="100">
        <v>0</v>
      </c>
      <c r="P44" s="100">
        <v>1.03</v>
      </c>
      <c r="Q44" s="100">
        <v>9.32</v>
      </c>
      <c r="R44" s="6"/>
      <c r="S44" s="6"/>
      <c r="T44" s="156"/>
      <c r="U44" s="6"/>
    </row>
    <row r="45" spans="1:21" customFormat="1">
      <c r="A45" s="201" t="s">
        <v>1144</v>
      </c>
      <c r="B45" s="100">
        <v>18.77</v>
      </c>
      <c r="C45" s="100">
        <v>14.97</v>
      </c>
      <c r="D45" s="100">
        <v>22.88</v>
      </c>
      <c r="E45" s="100">
        <v>6.72</v>
      </c>
      <c r="F45" s="100">
        <v>2</v>
      </c>
      <c r="G45" s="100">
        <v>101.99</v>
      </c>
      <c r="H45" s="100">
        <v>58.73</v>
      </c>
      <c r="I45" s="100">
        <v>13.67</v>
      </c>
      <c r="J45" s="100">
        <v>0.59</v>
      </c>
      <c r="K45" s="100">
        <v>39.630000000000003</v>
      </c>
      <c r="L45" s="100">
        <v>10.62</v>
      </c>
      <c r="M45" s="100">
        <v>-0.37</v>
      </c>
      <c r="N45" s="100">
        <v>375.9</v>
      </c>
      <c r="O45" s="100">
        <v>0</v>
      </c>
      <c r="P45" s="100">
        <v>1.01</v>
      </c>
      <c r="Q45" s="100">
        <v>9.32</v>
      </c>
      <c r="R45" s="6"/>
      <c r="S45" s="6"/>
      <c r="T45" s="156"/>
      <c r="U45" s="6"/>
    </row>
    <row r="46" spans="1:21" customFormat="1">
      <c r="A46" s="201" t="s">
        <v>1145</v>
      </c>
      <c r="B46" s="100">
        <v>17.600000000000001</v>
      </c>
      <c r="C46" s="100">
        <v>15.1</v>
      </c>
      <c r="D46" s="100">
        <v>22.01</v>
      </c>
      <c r="E46" s="100">
        <v>6.6</v>
      </c>
      <c r="F46" s="100">
        <v>2</v>
      </c>
      <c r="G46" s="100">
        <v>96.33</v>
      </c>
      <c r="H46" s="100">
        <v>57.71</v>
      </c>
      <c r="I46" s="100">
        <v>13.41</v>
      </c>
      <c r="J46" s="100">
        <v>0.57999999999999996</v>
      </c>
      <c r="K46" s="100">
        <v>42.46</v>
      </c>
      <c r="L46" s="100">
        <v>11.92</v>
      </c>
      <c r="M46" s="100">
        <v>2.13</v>
      </c>
      <c r="N46" s="100">
        <v>407.6</v>
      </c>
      <c r="O46" s="100">
        <v>0</v>
      </c>
      <c r="P46" s="100">
        <v>1</v>
      </c>
      <c r="Q46" s="100">
        <v>9.32</v>
      </c>
      <c r="R46" s="6"/>
      <c r="S46" s="6"/>
      <c r="T46" s="156"/>
      <c r="U46" s="6"/>
    </row>
    <row r="47" spans="1:21" customFormat="1">
      <c r="A47" s="201" t="s">
        <v>1146</v>
      </c>
      <c r="B47" s="100">
        <v>16.39</v>
      </c>
      <c r="C47" s="100">
        <v>15.35</v>
      </c>
      <c r="D47" s="100">
        <v>21.16</v>
      </c>
      <c r="E47" s="100">
        <v>6.69</v>
      </c>
      <c r="F47" s="100">
        <v>2</v>
      </c>
      <c r="G47" s="100">
        <v>89.25</v>
      </c>
      <c r="H47" s="100">
        <v>57</v>
      </c>
      <c r="I47" s="100">
        <v>13.13</v>
      </c>
      <c r="J47" s="100">
        <v>0.81</v>
      </c>
      <c r="K47" s="100">
        <v>43.32</v>
      </c>
      <c r="L47" s="100">
        <v>9.74</v>
      </c>
      <c r="M47" s="100">
        <v>-0.45</v>
      </c>
      <c r="N47" s="100">
        <v>283.89999999999998</v>
      </c>
      <c r="O47" s="100">
        <v>0</v>
      </c>
      <c r="P47" s="100">
        <v>1</v>
      </c>
      <c r="Q47" s="100">
        <v>9.32</v>
      </c>
      <c r="R47" s="6"/>
      <c r="S47" s="6"/>
      <c r="T47" s="156"/>
      <c r="U47" s="6"/>
    </row>
    <row r="48" spans="1:21" customFormat="1">
      <c r="A48" s="201" t="s">
        <v>1147</v>
      </c>
      <c r="B48" s="100">
        <v>15.15</v>
      </c>
      <c r="C48" s="100">
        <v>16.04</v>
      </c>
      <c r="D48" s="100">
        <v>20.53</v>
      </c>
      <c r="E48" s="100">
        <v>7.08</v>
      </c>
      <c r="F48" s="100">
        <v>2</v>
      </c>
      <c r="G48" s="100">
        <v>89.25</v>
      </c>
      <c r="H48" s="100">
        <v>57</v>
      </c>
      <c r="I48" s="100">
        <v>12.98</v>
      </c>
      <c r="J48" s="100">
        <v>0.7</v>
      </c>
      <c r="K48" s="100">
        <v>46.56</v>
      </c>
      <c r="L48" s="100">
        <v>10.71</v>
      </c>
      <c r="M48" s="100">
        <v>-0.14000000000000001</v>
      </c>
      <c r="N48" s="100">
        <v>376.7</v>
      </c>
      <c r="O48" s="100">
        <v>0</v>
      </c>
      <c r="P48" s="100">
        <v>0.98</v>
      </c>
      <c r="Q48" s="100">
        <v>9.32</v>
      </c>
      <c r="R48" s="6"/>
      <c r="S48" s="6"/>
      <c r="T48" s="156"/>
      <c r="U48" s="6"/>
    </row>
    <row r="49" spans="1:21" customFormat="1">
      <c r="A49" s="201" t="s">
        <v>1148</v>
      </c>
      <c r="B49" s="100">
        <v>13.95</v>
      </c>
      <c r="C49" s="100">
        <v>16.52</v>
      </c>
      <c r="D49" s="100">
        <v>19.82</v>
      </c>
      <c r="E49" s="100">
        <v>4.72</v>
      </c>
      <c r="F49" s="100">
        <v>2</v>
      </c>
      <c r="G49" s="100">
        <v>89.25</v>
      </c>
      <c r="H49" s="100">
        <v>57</v>
      </c>
      <c r="I49" s="100">
        <v>12.87</v>
      </c>
      <c r="J49" s="100">
        <v>0.45</v>
      </c>
      <c r="K49" s="100">
        <v>66.16</v>
      </c>
      <c r="L49" s="100">
        <v>15.79</v>
      </c>
      <c r="M49" s="100">
        <v>9.65</v>
      </c>
      <c r="N49" s="100">
        <v>510</v>
      </c>
      <c r="O49" s="100">
        <v>0</v>
      </c>
      <c r="P49" s="100">
        <v>0.97</v>
      </c>
      <c r="Q49" s="100">
        <v>9.32</v>
      </c>
      <c r="R49" s="6"/>
      <c r="S49" s="6"/>
      <c r="T49" s="156"/>
      <c r="U49" s="6"/>
    </row>
    <row r="50" spans="1:21" customFormat="1">
      <c r="A50" s="201" t="s">
        <v>1149</v>
      </c>
      <c r="B50" s="100">
        <v>12.67</v>
      </c>
      <c r="C50" s="100">
        <v>16.95</v>
      </c>
      <c r="D50" s="100">
        <v>19.02</v>
      </c>
      <c r="E50" s="100">
        <v>5.76</v>
      </c>
      <c r="F50" s="100">
        <v>2</v>
      </c>
      <c r="G50" s="100">
        <v>88.16</v>
      </c>
      <c r="H50" s="100">
        <v>54.93</v>
      </c>
      <c r="I50" s="100">
        <v>12.66</v>
      </c>
      <c r="J50" s="100">
        <v>0.49</v>
      </c>
      <c r="K50" s="100">
        <v>71.209999999999994</v>
      </c>
      <c r="L50" s="100">
        <v>14.32</v>
      </c>
      <c r="M50" s="100">
        <v>5.17</v>
      </c>
      <c r="N50" s="100">
        <v>541.29999999999995</v>
      </c>
      <c r="O50" s="100">
        <v>0</v>
      </c>
      <c r="P50" s="100">
        <v>0.95</v>
      </c>
      <c r="Q50" s="100">
        <v>9.32</v>
      </c>
      <c r="R50" s="6"/>
      <c r="S50" s="6"/>
      <c r="T50" s="156"/>
      <c r="U50" s="6"/>
    </row>
    <row r="51" spans="1:21" customFormat="1">
      <c r="A51" s="201" t="s">
        <v>1150</v>
      </c>
      <c r="B51" s="100">
        <v>11.18</v>
      </c>
      <c r="C51" s="100">
        <v>16.88</v>
      </c>
      <c r="D51" s="100">
        <v>17.79</v>
      </c>
      <c r="E51" s="100">
        <v>5.9</v>
      </c>
      <c r="F51" s="100">
        <v>2</v>
      </c>
      <c r="G51" s="100">
        <v>86.8</v>
      </c>
      <c r="H51" s="100">
        <v>53.54</v>
      </c>
      <c r="I51" s="100">
        <v>12.39</v>
      </c>
      <c r="J51" s="100">
        <v>0.43</v>
      </c>
      <c r="K51" s="100">
        <v>81.58</v>
      </c>
      <c r="L51" s="100">
        <v>16.190000000000001</v>
      </c>
      <c r="M51" s="100">
        <v>9.49</v>
      </c>
      <c r="N51" s="100">
        <v>557</v>
      </c>
      <c r="O51" s="100">
        <v>0</v>
      </c>
      <c r="P51" s="100">
        <v>0.94</v>
      </c>
      <c r="Q51" s="100">
        <v>9.32</v>
      </c>
      <c r="R51" s="6"/>
      <c r="S51" s="6"/>
      <c r="T51" s="156"/>
      <c r="U51" s="6"/>
    </row>
    <row r="52" spans="1:21" customFormat="1">
      <c r="A52" s="201" t="s">
        <v>1151</v>
      </c>
      <c r="B52" s="100">
        <v>9.51</v>
      </c>
      <c r="C52" s="100">
        <v>16.98</v>
      </c>
      <c r="D52" s="100">
        <v>16.5</v>
      </c>
      <c r="E52" s="100">
        <v>5.87</v>
      </c>
      <c r="F52" s="100">
        <v>2</v>
      </c>
      <c r="G52" s="100">
        <v>86.8</v>
      </c>
      <c r="H52" s="100">
        <v>53.54</v>
      </c>
      <c r="I52" s="100">
        <v>12.12</v>
      </c>
      <c r="J52" s="100">
        <v>0.51</v>
      </c>
      <c r="K52" s="100">
        <v>44.9</v>
      </c>
      <c r="L52" s="100">
        <v>15.29</v>
      </c>
      <c r="M52" s="100">
        <v>8.11</v>
      </c>
      <c r="N52" s="100">
        <v>514.1</v>
      </c>
      <c r="O52" s="100">
        <v>0</v>
      </c>
      <c r="P52" s="100">
        <v>0.92</v>
      </c>
      <c r="Q52" s="100">
        <v>9.32</v>
      </c>
      <c r="R52" s="6"/>
      <c r="S52" s="6"/>
      <c r="T52" s="156"/>
      <c r="U52" s="6"/>
    </row>
    <row r="53" spans="1:21" customFormat="1">
      <c r="A53" s="201" t="s">
        <v>1152</v>
      </c>
      <c r="B53" s="100">
        <v>8.0299999999999994</v>
      </c>
      <c r="C53" s="100">
        <v>16.690000000000001</v>
      </c>
      <c r="D53" s="100">
        <v>15.16</v>
      </c>
      <c r="E53" s="100">
        <v>5.7</v>
      </c>
      <c r="F53" s="100">
        <v>2</v>
      </c>
      <c r="G53" s="100">
        <v>86.8</v>
      </c>
      <c r="H53" s="100">
        <v>53.54</v>
      </c>
      <c r="I53" s="100">
        <v>11.83</v>
      </c>
      <c r="J53" s="100">
        <v>0.38</v>
      </c>
      <c r="K53" s="100">
        <v>75.150000000000006</v>
      </c>
      <c r="L53" s="100">
        <v>16.75</v>
      </c>
      <c r="M53" s="100">
        <v>10.09</v>
      </c>
      <c r="N53" s="100">
        <v>592</v>
      </c>
      <c r="O53" s="100">
        <v>0</v>
      </c>
      <c r="P53" s="100">
        <v>0.9</v>
      </c>
      <c r="Q53" s="100">
        <v>9.32</v>
      </c>
      <c r="R53" s="6"/>
      <c r="S53" s="6"/>
      <c r="T53" s="156"/>
      <c r="U53" s="6"/>
    </row>
    <row r="54" spans="1:21" customFormat="1">
      <c r="A54" s="201" t="s">
        <v>1153</v>
      </c>
      <c r="B54" s="100">
        <v>6.59</v>
      </c>
      <c r="C54" s="100">
        <v>16.43</v>
      </c>
      <c r="D54" s="100">
        <v>13.86</v>
      </c>
      <c r="E54" s="100">
        <v>5.8</v>
      </c>
      <c r="F54" s="100">
        <v>2.13</v>
      </c>
      <c r="G54" s="100">
        <v>80.569999999999993</v>
      </c>
      <c r="H54" s="100">
        <v>49.33</v>
      </c>
      <c r="I54" s="100">
        <v>11.55</v>
      </c>
      <c r="J54" s="100">
        <v>0.3</v>
      </c>
      <c r="K54" s="100">
        <v>11.08</v>
      </c>
      <c r="L54" s="100">
        <v>21.21</v>
      </c>
      <c r="M54" s="100">
        <v>21.1</v>
      </c>
      <c r="N54" s="100">
        <v>595.29999999999995</v>
      </c>
      <c r="O54" s="100">
        <v>0</v>
      </c>
      <c r="P54" s="100">
        <v>0.88</v>
      </c>
      <c r="Q54" s="100">
        <v>9.32</v>
      </c>
      <c r="R54" s="6"/>
      <c r="S54" s="6"/>
      <c r="T54" s="156"/>
      <c r="U54" s="6"/>
    </row>
    <row r="55" spans="1:21" customFormat="1">
      <c r="A55" s="201" t="s">
        <v>1154</v>
      </c>
      <c r="B55" s="100">
        <v>5.51</v>
      </c>
      <c r="C55" s="100">
        <v>16.25</v>
      </c>
      <c r="D55" s="100">
        <v>12.91</v>
      </c>
      <c r="E55" s="100">
        <v>5.82</v>
      </c>
      <c r="F55" s="100">
        <v>2</v>
      </c>
      <c r="G55" s="100">
        <v>72.77</v>
      </c>
      <c r="H55" s="100">
        <v>46.49</v>
      </c>
      <c r="I55" s="100">
        <v>11.26</v>
      </c>
      <c r="J55" s="100">
        <v>0.4</v>
      </c>
      <c r="K55" s="100">
        <v>35.25</v>
      </c>
      <c r="L55" s="100">
        <v>16.89</v>
      </c>
      <c r="M55" s="100">
        <v>10.71</v>
      </c>
      <c r="N55" s="100">
        <v>585.4</v>
      </c>
      <c r="O55" s="100">
        <v>0</v>
      </c>
      <c r="P55" s="100">
        <v>0.87</v>
      </c>
      <c r="Q55" s="100">
        <v>9.32</v>
      </c>
      <c r="R55" s="6"/>
      <c r="S55" s="6"/>
      <c r="T55" s="156"/>
      <c r="U55" s="6"/>
    </row>
    <row r="56" spans="1:21" customFormat="1">
      <c r="A56" s="201" t="s">
        <v>1155</v>
      </c>
      <c r="B56" s="100">
        <v>4.55</v>
      </c>
      <c r="C56" s="100">
        <v>15.81</v>
      </c>
      <c r="D56" s="100">
        <v>11.91</v>
      </c>
      <c r="E56" s="100">
        <v>6.09</v>
      </c>
      <c r="F56" s="100">
        <v>2</v>
      </c>
      <c r="G56" s="100">
        <v>72.77</v>
      </c>
      <c r="H56" s="100">
        <v>46.49</v>
      </c>
      <c r="I56" s="100">
        <v>11.01</v>
      </c>
      <c r="J56" s="100">
        <v>0.26</v>
      </c>
      <c r="K56" s="100">
        <v>31.54</v>
      </c>
      <c r="L56" s="100">
        <v>20.32</v>
      </c>
      <c r="M56" s="100">
        <v>19.04</v>
      </c>
      <c r="N56" s="100">
        <v>586.5</v>
      </c>
      <c r="O56" s="100">
        <v>0</v>
      </c>
      <c r="P56" s="100">
        <v>0.86</v>
      </c>
      <c r="Q56" s="100">
        <v>9.32</v>
      </c>
      <c r="R56" s="6"/>
      <c r="S56" s="6"/>
      <c r="T56" s="156"/>
      <c r="U56" s="6"/>
    </row>
    <row r="57" spans="1:21" customFormat="1">
      <c r="A57" s="201" t="s">
        <v>1156</v>
      </c>
      <c r="B57" s="100">
        <v>3.68</v>
      </c>
      <c r="C57" s="100">
        <v>15.36</v>
      </c>
      <c r="D57" s="100">
        <v>10.98</v>
      </c>
      <c r="E57" s="100">
        <v>5.73</v>
      </c>
      <c r="F57" s="100">
        <v>2</v>
      </c>
      <c r="G57" s="100">
        <v>72.77</v>
      </c>
      <c r="H57" s="100">
        <v>46.49</v>
      </c>
      <c r="I57" s="100">
        <v>10.86</v>
      </c>
      <c r="J57" s="100">
        <v>0.14000000000000001</v>
      </c>
      <c r="K57" s="100">
        <v>65.62</v>
      </c>
      <c r="L57" s="100">
        <v>20.16</v>
      </c>
      <c r="M57" s="100">
        <v>18.91</v>
      </c>
      <c r="N57" s="100">
        <v>588.1</v>
      </c>
      <c r="O57" s="100">
        <v>0</v>
      </c>
      <c r="P57" s="100">
        <v>0.84</v>
      </c>
      <c r="Q57" s="100">
        <v>9.32</v>
      </c>
      <c r="R57" s="6"/>
      <c r="S57" s="6"/>
      <c r="T57" s="156"/>
      <c r="U57" s="6"/>
    </row>
    <row r="58" spans="1:21" customFormat="1">
      <c r="A58" s="201" t="s">
        <v>1157</v>
      </c>
      <c r="B58" s="100">
        <v>2.98</v>
      </c>
      <c r="C58" s="100">
        <v>14.93</v>
      </c>
      <c r="D58" s="100">
        <v>10.19</v>
      </c>
      <c r="E58" s="100">
        <v>5.59</v>
      </c>
      <c r="F58" s="100">
        <v>2</v>
      </c>
      <c r="G58" s="100">
        <v>69.55</v>
      </c>
      <c r="H58" s="100">
        <v>44.98</v>
      </c>
      <c r="I58" s="100">
        <v>10.63</v>
      </c>
      <c r="J58" s="100">
        <v>0.43</v>
      </c>
      <c r="K58" s="100">
        <v>28.66</v>
      </c>
      <c r="L58" s="100">
        <v>19.16</v>
      </c>
      <c r="M58" s="100">
        <v>16.2</v>
      </c>
      <c r="N58" s="100">
        <v>586.20000000000005</v>
      </c>
      <c r="O58" s="100">
        <v>0</v>
      </c>
      <c r="P58" s="100">
        <v>0.83</v>
      </c>
      <c r="Q58" s="100">
        <v>9.32</v>
      </c>
      <c r="R58" s="6"/>
      <c r="S58" s="6"/>
      <c r="T58" s="156"/>
      <c r="U58" s="6"/>
    </row>
    <row r="59" spans="1:21" customFormat="1">
      <c r="A59" s="201" t="s">
        <v>1158</v>
      </c>
      <c r="B59" s="100">
        <v>2.54</v>
      </c>
      <c r="C59" s="100">
        <v>14.6</v>
      </c>
      <c r="D59" s="100">
        <v>9.67</v>
      </c>
      <c r="E59" s="100">
        <v>5.72</v>
      </c>
      <c r="F59" s="100">
        <v>2</v>
      </c>
      <c r="G59" s="100">
        <v>65.52</v>
      </c>
      <c r="H59" s="100">
        <v>43.94</v>
      </c>
      <c r="I59" s="100">
        <v>10.44</v>
      </c>
      <c r="J59" s="100">
        <v>0.38</v>
      </c>
      <c r="K59" s="100">
        <v>11.48</v>
      </c>
      <c r="L59" s="100">
        <v>22.59</v>
      </c>
      <c r="M59" s="100">
        <v>25.33</v>
      </c>
      <c r="N59" s="100">
        <v>560.4</v>
      </c>
      <c r="O59" s="100">
        <v>0</v>
      </c>
      <c r="P59" s="100">
        <v>0.82</v>
      </c>
      <c r="Q59" s="100">
        <v>9.32</v>
      </c>
      <c r="R59" s="6"/>
      <c r="S59" s="6"/>
      <c r="T59" s="156"/>
      <c r="U59" s="6"/>
    </row>
    <row r="60" spans="1:21" customFormat="1">
      <c r="A60" s="201" t="s">
        <v>1159</v>
      </c>
      <c r="B60" s="100">
        <v>2.2599999999999998</v>
      </c>
      <c r="C60" s="100">
        <v>14.41</v>
      </c>
      <c r="D60" s="100">
        <v>9.34</v>
      </c>
      <c r="E60" s="100">
        <v>5.59</v>
      </c>
      <c r="F60" s="100">
        <v>2.0499999999999998</v>
      </c>
      <c r="G60" s="100">
        <v>65.52</v>
      </c>
      <c r="H60" s="100">
        <v>43.94</v>
      </c>
      <c r="I60" s="100">
        <v>10.33</v>
      </c>
      <c r="J60" s="100">
        <v>0.44</v>
      </c>
      <c r="K60" s="100">
        <v>19.05</v>
      </c>
      <c r="L60" s="100">
        <v>16.260000000000002</v>
      </c>
      <c r="M60" s="100">
        <v>10.78</v>
      </c>
      <c r="N60" s="100">
        <v>504.9</v>
      </c>
      <c r="O60" s="100">
        <v>0</v>
      </c>
      <c r="P60" s="100">
        <v>0.81</v>
      </c>
      <c r="Q60" s="100">
        <v>9.32</v>
      </c>
      <c r="R60" s="6"/>
      <c r="S60" s="6"/>
      <c r="T60" s="156"/>
      <c r="U60" s="6"/>
    </row>
    <row r="61" spans="1:21" customFormat="1">
      <c r="A61" s="201" t="s">
        <v>1160</v>
      </c>
      <c r="B61" s="100">
        <v>2.06</v>
      </c>
      <c r="C61" s="100">
        <v>14</v>
      </c>
      <c r="D61" s="100">
        <v>8.9700000000000006</v>
      </c>
      <c r="E61" s="100">
        <v>5.55</v>
      </c>
      <c r="F61" s="100">
        <v>2</v>
      </c>
      <c r="G61" s="100">
        <v>65.52</v>
      </c>
      <c r="H61" s="100">
        <v>43.94</v>
      </c>
      <c r="I61" s="100">
        <v>10.16</v>
      </c>
      <c r="J61" s="100">
        <v>0.24</v>
      </c>
      <c r="K61" s="100">
        <v>289.45</v>
      </c>
      <c r="L61" s="100">
        <v>26.66</v>
      </c>
      <c r="M61" s="100">
        <v>38.340000000000003</v>
      </c>
      <c r="N61" s="100">
        <v>443.6</v>
      </c>
      <c r="O61" s="100">
        <v>0</v>
      </c>
      <c r="P61" s="100">
        <v>0.8</v>
      </c>
      <c r="Q61" s="100">
        <v>9.32</v>
      </c>
      <c r="R61" s="6"/>
      <c r="S61" s="6"/>
      <c r="T61" s="156"/>
      <c r="U61" s="6"/>
    </row>
    <row r="62" spans="1:21" customFormat="1">
      <c r="A62" s="201" t="s">
        <v>1161</v>
      </c>
      <c r="B62" s="100">
        <v>1.92</v>
      </c>
      <c r="C62" s="100">
        <v>13.65</v>
      </c>
      <c r="D62" s="100">
        <v>8.67</v>
      </c>
      <c r="E62" s="100">
        <v>5.84</v>
      </c>
      <c r="F62" s="100">
        <v>4.8899999999999997</v>
      </c>
      <c r="G62" s="100">
        <v>63.57</v>
      </c>
      <c r="H62" s="100">
        <v>43.3</v>
      </c>
      <c r="I62" s="100">
        <v>9.93</v>
      </c>
      <c r="J62" s="100">
        <v>0.33</v>
      </c>
      <c r="K62" s="100">
        <v>23.6</v>
      </c>
      <c r="L62" s="100">
        <v>20.18</v>
      </c>
      <c r="M62" s="100">
        <v>22.37</v>
      </c>
      <c r="N62" s="100">
        <v>429.4</v>
      </c>
      <c r="O62" s="100">
        <v>0</v>
      </c>
      <c r="P62" s="100">
        <v>0.78</v>
      </c>
      <c r="Q62" s="100">
        <v>9.32</v>
      </c>
      <c r="R62" s="6"/>
      <c r="S62" s="6"/>
      <c r="T62" s="156"/>
      <c r="U62" s="6"/>
    </row>
    <row r="63" spans="1:21" customFormat="1">
      <c r="A63" s="201" t="s">
        <v>1162</v>
      </c>
      <c r="B63" s="100">
        <v>1.9</v>
      </c>
      <c r="C63" s="100">
        <v>13.33</v>
      </c>
      <c r="D63" s="100">
        <v>8.49</v>
      </c>
      <c r="E63" s="100">
        <v>6.23</v>
      </c>
      <c r="F63" s="100">
        <v>2.67</v>
      </c>
      <c r="G63" s="100">
        <v>61.13</v>
      </c>
      <c r="H63" s="100">
        <v>42.22</v>
      </c>
      <c r="I63" s="100">
        <v>9.76</v>
      </c>
      <c r="J63" s="100">
        <v>0.27</v>
      </c>
      <c r="K63" s="100">
        <v>14.92</v>
      </c>
      <c r="L63" s="100">
        <v>17.45</v>
      </c>
      <c r="M63" s="100">
        <v>14.79</v>
      </c>
      <c r="N63" s="100">
        <v>454</v>
      </c>
      <c r="O63" s="100">
        <v>0</v>
      </c>
      <c r="P63" s="100">
        <v>0.78</v>
      </c>
      <c r="Q63" s="100">
        <v>9.32</v>
      </c>
      <c r="R63" s="6"/>
      <c r="S63" s="6"/>
      <c r="T63" s="156"/>
      <c r="U63" s="6"/>
    </row>
    <row r="64" spans="1:21" customFormat="1">
      <c r="A64" s="201" t="s">
        <v>1163</v>
      </c>
      <c r="B64" s="100">
        <v>1.91</v>
      </c>
      <c r="C64" s="100">
        <v>12.6</v>
      </c>
      <c r="D64" s="100">
        <v>8.11</v>
      </c>
      <c r="E64" s="100">
        <v>6.25</v>
      </c>
      <c r="F64" s="100">
        <v>2</v>
      </c>
      <c r="G64" s="100">
        <v>61.13</v>
      </c>
      <c r="H64" s="100">
        <v>42.22</v>
      </c>
      <c r="I64" s="100">
        <v>9.6</v>
      </c>
      <c r="J64" s="100">
        <v>0.19</v>
      </c>
      <c r="K64" s="100">
        <v>21.77</v>
      </c>
      <c r="L64" s="100">
        <v>17.12</v>
      </c>
      <c r="M64" s="100">
        <v>19.16</v>
      </c>
      <c r="N64" s="100">
        <v>240.7</v>
      </c>
      <c r="O64" s="100">
        <v>0</v>
      </c>
      <c r="P64" s="100">
        <v>0.79</v>
      </c>
      <c r="Q64" s="100">
        <v>9.32</v>
      </c>
      <c r="R64" s="6"/>
      <c r="S64" s="6"/>
      <c r="T64" s="156"/>
      <c r="U64" s="6"/>
    </row>
    <row r="65" spans="1:21" customFormat="1">
      <c r="A65" s="201" t="s">
        <v>1164</v>
      </c>
      <c r="B65" s="100">
        <v>1.95</v>
      </c>
      <c r="C65" s="100">
        <v>12.23</v>
      </c>
      <c r="D65" s="100">
        <v>7.95</v>
      </c>
      <c r="E65" s="100">
        <v>6.25</v>
      </c>
      <c r="F65" s="100">
        <v>3.54</v>
      </c>
      <c r="G65" s="100">
        <v>61.13</v>
      </c>
      <c r="H65" s="100">
        <v>42.22</v>
      </c>
      <c r="I65" s="100">
        <v>9.49</v>
      </c>
      <c r="J65" s="100">
        <v>0.39</v>
      </c>
      <c r="K65" s="100">
        <v>44.65</v>
      </c>
      <c r="L65" s="100">
        <v>13.48</v>
      </c>
      <c r="M65" s="100">
        <v>13.14</v>
      </c>
      <c r="N65" s="100">
        <v>109.4</v>
      </c>
      <c r="O65" s="100">
        <v>0</v>
      </c>
      <c r="P65" s="100">
        <v>0.66</v>
      </c>
      <c r="Q65" s="100">
        <v>9.32</v>
      </c>
      <c r="R65" s="6"/>
      <c r="S65" s="6"/>
      <c r="T65" s="156"/>
      <c r="U65" s="6"/>
    </row>
    <row r="66" spans="1:21" customFormat="1">
      <c r="A66" s="201" t="s">
        <v>1165</v>
      </c>
      <c r="B66" s="100">
        <v>1.99</v>
      </c>
      <c r="C66" s="100">
        <v>12.04</v>
      </c>
      <c r="D66" s="100">
        <v>7.88</v>
      </c>
      <c r="E66" s="100">
        <v>6.27</v>
      </c>
      <c r="F66" s="100">
        <v>2.54</v>
      </c>
      <c r="G66" s="100">
        <v>58.19</v>
      </c>
      <c r="H66" s="100">
        <v>40.79</v>
      </c>
      <c r="I66" s="100">
        <v>9.4600000000000009</v>
      </c>
      <c r="J66" s="100">
        <v>0.22</v>
      </c>
      <c r="K66" s="100">
        <v>77.2</v>
      </c>
      <c r="L66" s="100">
        <v>11.85</v>
      </c>
      <c r="M66" s="100">
        <v>10.26</v>
      </c>
      <c r="N66" s="100">
        <v>63.3</v>
      </c>
      <c r="O66" s="100">
        <v>0</v>
      </c>
      <c r="P66" s="100">
        <v>0.69</v>
      </c>
      <c r="Q66" s="100">
        <v>9.32</v>
      </c>
      <c r="R66" s="6"/>
      <c r="S66" s="6"/>
      <c r="T66" s="156"/>
      <c r="U66" s="6"/>
    </row>
    <row r="67" spans="1:21" customFormat="1">
      <c r="A67" s="201" t="s">
        <v>1166</v>
      </c>
      <c r="B67" s="100">
        <v>1.85</v>
      </c>
      <c r="C67" s="100">
        <v>13.41</v>
      </c>
      <c r="D67" s="100">
        <v>8.49</v>
      </c>
      <c r="E67" s="100">
        <v>17.28</v>
      </c>
      <c r="F67" s="100">
        <v>30.81</v>
      </c>
      <c r="G67" s="100">
        <v>54.52</v>
      </c>
      <c r="H67" s="100">
        <v>39.82</v>
      </c>
      <c r="I67" s="100">
        <v>9.33</v>
      </c>
      <c r="J67" s="100">
        <v>0.37</v>
      </c>
      <c r="K67" s="100">
        <v>36.520000000000003</v>
      </c>
      <c r="L67" s="100">
        <v>12.93</v>
      </c>
      <c r="M67" s="100">
        <v>13.05</v>
      </c>
      <c r="N67" s="100">
        <v>53.3</v>
      </c>
      <c r="O67" s="100">
        <v>0</v>
      </c>
      <c r="P67" s="100">
        <v>0.66</v>
      </c>
      <c r="Q67" s="100">
        <v>9.32</v>
      </c>
      <c r="R67" s="6"/>
      <c r="S67" s="6"/>
      <c r="T67" s="156"/>
      <c r="U67" s="6"/>
    </row>
    <row r="68" spans="1:21" customFormat="1">
      <c r="A68" s="201" t="s">
        <v>1167</v>
      </c>
      <c r="B68" s="100">
        <v>1.81</v>
      </c>
      <c r="C68" s="100">
        <v>16.850000000000001</v>
      </c>
      <c r="D68" s="100">
        <v>10.26</v>
      </c>
      <c r="E68" s="100">
        <v>25.29</v>
      </c>
      <c r="F68" s="100">
        <v>32.979999999999997</v>
      </c>
      <c r="G68" s="100">
        <v>54.52</v>
      </c>
      <c r="H68" s="100">
        <v>39.82</v>
      </c>
      <c r="I68" s="100">
        <v>8.98</v>
      </c>
      <c r="J68" s="100">
        <v>0.12</v>
      </c>
      <c r="K68" s="100">
        <v>48.4</v>
      </c>
      <c r="L68" s="100">
        <v>15.63</v>
      </c>
      <c r="M68" s="100">
        <v>20</v>
      </c>
      <c r="N68" s="100">
        <v>48.5</v>
      </c>
      <c r="O68" s="100">
        <v>0</v>
      </c>
      <c r="P68" s="100">
        <v>0.65</v>
      </c>
      <c r="Q68" s="100">
        <v>9.32</v>
      </c>
      <c r="R68" s="6"/>
      <c r="S68" s="6"/>
      <c r="T68" s="156"/>
      <c r="U68" s="6"/>
    </row>
    <row r="69" spans="1:21" customFormat="1">
      <c r="A69" s="201" t="s">
        <v>1168</v>
      </c>
      <c r="B69" s="100">
        <v>1.85</v>
      </c>
      <c r="C69" s="100">
        <v>18.46</v>
      </c>
      <c r="D69" s="100">
        <v>11.12</v>
      </c>
      <c r="E69" s="100">
        <v>15.24</v>
      </c>
      <c r="F69" s="100">
        <v>13.98</v>
      </c>
      <c r="G69" s="100">
        <v>54.52</v>
      </c>
      <c r="H69" s="100">
        <v>39.82</v>
      </c>
      <c r="I69" s="100">
        <v>8.36</v>
      </c>
      <c r="J69" s="100">
        <v>0.34</v>
      </c>
      <c r="K69" s="100">
        <v>0.26</v>
      </c>
      <c r="L69" s="100">
        <v>9.7100000000000009</v>
      </c>
      <c r="M69" s="100">
        <v>5.32</v>
      </c>
      <c r="N69" s="100">
        <v>40.5</v>
      </c>
      <c r="O69" s="100">
        <v>0</v>
      </c>
      <c r="P69" s="100">
        <v>0.64</v>
      </c>
      <c r="Q69" s="100">
        <v>9.32</v>
      </c>
      <c r="R69" s="6"/>
      <c r="S69" s="6"/>
      <c r="T69" s="156"/>
      <c r="U69" s="6"/>
    </row>
    <row r="70" spans="1:21" customFormat="1">
      <c r="A70" s="201" t="s">
        <v>1169</v>
      </c>
      <c r="B70" s="100">
        <v>2.15</v>
      </c>
      <c r="C70" s="100">
        <v>20.07</v>
      </c>
      <c r="D70" s="100">
        <v>12.21</v>
      </c>
      <c r="E70" s="100">
        <v>16.010000000000002</v>
      </c>
      <c r="F70" s="100">
        <v>20.46</v>
      </c>
      <c r="G70" s="100">
        <v>60.7</v>
      </c>
      <c r="H70" s="100">
        <v>41.74</v>
      </c>
      <c r="I70" s="100">
        <v>7.82</v>
      </c>
      <c r="J70" s="100">
        <v>0.53</v>
      </c>
      <c r="K70" s="100">
        <v>29.8</v>
      </c>
      <c r="L70" s="100">
        <v>11.54</v>
      </c>
      <c r="M70" s="100">
        <v>10.050000000000001</v>
      </c>
      <c r="N70" s="100">
        <v>34.200000000000003</v>
      </c>
      <c r="O70" s="100">
        <v>0</v>
      </c>
      <c r="P70" s="100">
        <v>0.63</v>
      </c>
      <c r="Q70" s="100">
        <v>9.32</v>
      </c>
      <c r="R70" s="6"/>
      <c r="S70" s="6"/>
      <c r="T70" s="156"/>
      <c r="U70" s="6"/>
    </row>
    <row r="71" spans="1:21" customFormat="1">
      <c r="A71" s="201" t="s">
        <v>1170</v>
      </c>
      <c r="B71" s="100">
        <v>2.36</v>
      </c>
      <c r="C71" s="100">
        <v>23.32</v>
      </c>
      <c r="D71" s="100">
        <v>14.07</v>
      </c>
      <c r="E71" s="100">
        <v>21.03</v>
      </c>
      <c r="F71" s="100">
        <v>22.33</v>
      </c>
      <c r="G71" s="100">
        <v>67.040000000000006</v>
      </c>
      <c r="H71" s="100">
        <v>41.74</v>
      </c>
      <c r="I71" s="100">
        <v>7.62</v>
      </c>
      <c r="J71" s="100">
        <v>0.4</v>
      </c>
      <c r="K71" s="100">
        <v>44.33</v>
      </c>
      <c r="L71" s="100">
        <v>7.73</v>
      </c>
      <c r="M71" s="100">
        <v>0.55000000000000004</v>
      </c>
      <c r="N71" s="100">
        <v>30.6</v>
      </c>
      <c r="O71" s="100">
        <v>0</v>
      </c>
      <c r="P71" s="100">
        <v>0.62</v>
      </c>
      <c r="Q71" s="100">
        <v>9.32</v>
      </c>
      <c r="R71" s="6"/>
      <c r="S71" s="6"/>
      <c r="T71" s="156"/>
      <c r="U71" s="6"/>
    </row>
    <row r="72" spans="1:21" customFormat="1">
      <c r="A72" s="201" t="s">
        <v>1171</v>
      </c>
      <c r="B72" s="100">
        <v>2.27</v>
      </c>
      <c r="C72" s="100">
        <v>26.44</v>
      </c>
      <c r="D72" s="100">
        <v>15.64</v>
      </c>
      <c r="E72" s="100">
        <v>20.73</v>
      </c>
      <c r="F72" s="100">
        <v>15.05</v>
      </c>
      <c r="G72" s="100">
        <v>67.040000000000006</v>
      </c>
      <c r="H72" s="100">
        <v>41.74</v>
      </c>
      <c r="I72" s="100">
        <v>6.78</v>
      </c>
      <c r="J72" s="100">
        <v>0.35</v>
      </c>
      <c r="K72" s="100">
        <v>30.25</v>
      </c>
      <c r="L72" s="100">
        <v>11.46</v>
      </c>
      <c r="M72" s="100">
        <v>9.9600000000000009</v>
      </c>
      <c r="N72" s="100">
        <v>26.7</v>
      </c>
      <c r="O72" s="100">
        <v>0</v>
      </c>
      <c r="P72" s="100">
        <v>0.62</v>
      </c>
      <c r="Q72" s="100">
        <v>9.32</v>
      </c>
      <c r="R72" s="6"/>
      <c r="S72" s="6"/>
      <c r="T72" s="156"/>
      <c r="U72" s="6"/>
    </row>
    <row r="73" spans="1:21" customFormat="1">
      <c r="A73" s="201" t="s">
        <v>1172</v>
      </c>
      <c r="B73" s="100">
        <v>2.0299999999999998</v>
      </c>
      <c r="C73" s="100">
        <v>26.47</v>
      </c>
      <c r="D73" s="100">
        <v>15.46</v>
      </c>
      <c r="E73" s="100">
        <v>18.7</v>
      </c>
      <c r="F73" s="100">
        <v>19.170000000000002</v>
      </c>
      <c r="G73" s="100">
        <v>67.040000000000006</v>
      </c>
      <c r="H73" s="100">
        <v>41.74</v>
      </c>
      <c r="I73" s="100">
        <v>6.86</v>
      </c>
      <c r="J73" s="100">
        <v>0.27</v>
      </c>
      <c r="K73" s="100">
        <v>28.45</v>
      </c>
      <c r="L73" s="100">
        <v>11.61</v>
      </c>
      <c r="M73" s="100">
        <v>10.32</v>
      </c>
      <c r="N73" s="100">
        <v>22.8</v>
      </c>
      <c r="O73" s="100">
        <v>0</v>
      </c>
      <c r="P73" s="100">
        <v>0.62</v>
      </c>
      <c r="Q73" s="100">
        <v>9.32</v>
      </c>
      <c r="R73" s="6"/>
      <c r="S73" s="6"/>
      <c r="T73" s="156"/>
      <c r="U73" s="6"/>
    </row>
    <row r="74" spans="1:21" customFormat="1">
      <c r="A74" s="201" t="s">
        <v>1173</v>
      </c>
      <c r="B74" s="100">
        <v>2.09</v>
      </c>
      <c r="C74" s="100">
        <v>26.93</v>
      </c>
      <c r="D74" s="100">
        <v>15.74</v>
      </c>
      <c r="E74" s="100">
        <v>13.63</v>
      </c>
      <c r="F74" s="100">
        <v>9.4600000000000009</v>
      </c>
      <c r="G74" s="100">
        <v>68.739999999999995</v>
      </c>
      <c r="H74" s="100">
        <v>40.340000000000003</v>
      </c>
      <c r="I74" s="100">
        <v>7.86</v>
      </c>
      <c r="J74" s="100">
        <v>0.49</v>
      </c>
      <c r="K74" s="100">
        <v>43.12</v>
      </c>
      <c r="L74" s="100">
        <v>7.73</v>
      </c>
      <c r="M74" s="100">
        <v>0.88</v>
      </c>
      <c r="N74" s="100">
        <v>18.3</v>
      </c>
      <c r="O74" s="100">
        <v>0</v>
      </c>
      <c r="P74" s="100">
        <v>0.63</v>
      </c>
      <c r="Q74" s="100">
        <v>9.32</v>
      </c>
      <c r="R74" s="6"/>
      <c r="S74" s="6"/>
      <c r="T74" s="156"/>
      <c r="U74" s="6"/>
    </row>
    <row r="75" spans="1:21" customFormat="1">
      <c r="A75" s="201" t="s">
        <v>1174</v>
      </c>
      <c r="B75" s="100">
        <v>2.0299999999999998</v>
      </c>
      <c r="C75" s="100">
        <v>28.43</v>
      </c>
      <c r="D75" s="100">
        <v>16.48</v>
      </c>
      <c r="E75" s="100">
        <v>9.92</v>
      </c>
      <c r="F75" s="100">
        <v>5.25</v>
      </c>
      <c r="G75" s="100">
        <v>70.87</v>
      </c>
      <c r="H75" s="100">
        <v>39.369999999999997</v>
      </c>
      <c r="I75" s="100">
        <v>7.96</v>
      </c>
      <c r="J75" s="100">
        <v>0.47</v>
      </c>
      <c r="K75" s="100">
        <v>45.25</v>
      </c>
      <c r="L75" s="100">
        <v>8.1199999999999992</v>
      </c>
      <c r="M75" s="100">
        <v>1.94</v>
      </c>
      <c r="N75" s="100">
        <v>14.2</v>
      </c>
      <c r="O75" s="100">
        <v>0</v>
      </c>
      <c r="P75" s="100">
        <v>0.64</v>
      </c>
      <c r="Q75" s="100">
        <v>9.32</v>
      </c>
      <c r="R75" s="6"/>
      <c r="S75" s="6"/>
      <c r="T75" s="156"/>
      <c r="U75" s="6"/>
    </row>
    <row r="76" spans="1:21" customFormat="1">
      <c r="A76" s="201" t="s">
        <v>1175</v>
      </c>
      <c r="B76" s="100">
        <v>2.35</v>
      </c>
      <c r="C76" s="100">
        <v>29.18</v>
      </c>
      <c r="D76" s="100">
        <v>17.13</v>
      </c>
      <c r="E76" s="100">
        <v>8.1999999999999993</v>
      </c>
      <c r="F76" s="100">
        <v>3.59</v>
      </c>
      <c r="G76" s="100">
        <v>70.87</v>
      </c>
      <c r="H76" s="100">
        <v>39.369999999999997</v>
      </c>
      <c r="I76" s="100">
        <v>8.01</v>
      </c>
      <c r="J76" s="100">
        <v>0.52</v>
      </c>
      <c r="K76" s="100">
        <v>43.4</v>
      </c>
      <c r="L76" s="100">
        <v>6.68</v>
      </c>
      <c r="M76" s="100">
        <v>-1.56</v>
      </c>
      <c r="N76" s="100">
        <v>9.6999999999999993</v>
      </c>
      <c r="O76" s="100">
        <v>0</v>
      </c>
      <c r="P76" s="100">
        <v>0.64</v>
      </c>
      <c r="Q76" s="100">
        <v>9.32</v>
      </c>
      <c r="R76" s="6"/>
      <c r="S76" s="6"/>
      <c r="T76" s="156"/>
      <c r="U76" s="6"/>
    </row>
    <row r="77" spans="1:21" customFormat="1">
      <c r="A77" s="201" t="s">
        <v>1176</v>
      </c>
      <c r="B77" s="100">
        <v>2.2999999999999998</v>
      </c>
      <c r="C77" s="100">
        <v>27.33</v>
      </c>
      <c r="D77" s="100">
        <v>16.12</v>
      </c>
      <c r="E77" s="100">
        <v>5.25</v>
      </c>
      <c r="F77" s="100">
        <v>2</v>
      </c>
      <c r="G77" s="100">
        <v>70.87</v>
      </c>
      <c r="H77" s="100">
        <v>39.369999999999997</v>
      </c>
      <c r="I77" s="100">
        <v>7.94</v>
      </c>
      <c r="J77" s="100">
        <v>0.44</v>
      </c>
      <c r="K77" s="100">
        <v>42.11</v>
      </c>
      <c r="L77" s="100">
        <v>6.8</v>
      </c>
      <c r="M77" s="100">
        <v>-1.1399999999999999</v>
      </c>
      <c r="N77" s="100">
        <v>5.7</v>
      </c>
      <c r="O77" s="100">
        <v>0</v>
      </c>
      <c r="P77" s="100">
        <v>0.65</v>
      </c>
      <c r="Q77" s="100">
        <v>9.32</v>
      </c>
      <c r="R77" s="6"/>
      <c r="S77" s="6"/>
      <c r="T77" s="156"/>
      <c r="U77" s="6"/>
    </row>
    <row r="78" spans="1:21" customFormat="1">
      <c r="A78" s="201" t="s">
        <v>1177</v>
      </c>
      <c r="B78" s="100">
        <v>2.65</v>
      </c>
      <c r="C78" s="100">
        <v>25.68</v>
      </c>
      <c r="D78" s="100">
        <v>15.54</v>
      </c>
      <c r="E78" s="100">
        <v>4.5999999999999996</v>
      </c>
      <c r="F78" s="100">
        <v>2</v>
      </c>
      <c r="G78" s="100">
        <v>72.260000000000005</v>
      </c>
      <c r="H78" s="100">
        <v>38.74</v>
      </c>
      <c r="I78" s="100">
        <v>7.91</v>
      </c>
      <c r="J78" s="100">
        <v>0.19</v>
      </c>
      <c r="K78" s="100">
        <v>47.71</v>
      </c>
      <c r="L78" s="100">
        <v>7.49</v>
      </c>
      <c r="M78" s="100">
        <v>-0.04</v>
      </c>
      <c r="N78" s="100">
        <v>3.5</v>
      </c>
      <c r="O78" s="100">
        <v>0</v>
      </c>
      <c r="P78" s="100">
        <v>0.66</v>
      </c>
      <c r="Q78" s="100">
        <v>9.32</v>
      </c>
      <c r="R78" s="6"/>
      <c r="S78" s="6"/>
      <c r="T78" s="156"/>
      <c r="U78" s="6"/>
    </row>
    <row r="79" spans="1:21" customFormat="1">
      <c r="A79" s="201" t="s">
        <v>1178</v>
      </c>
      <c r="B79" s="100">
        <v>2.94</v>
      </c>
      <c r="C79" s="100">
        <v>22.94</v>
      </c>
      <c r="D79" s="100">
        <v>14.34</v>
      </c>
      <c r="E79" s="100">
        <v>3.77</v>
      </c>
      <c r="F79" s="100">
        <v>2</v>
      </c>
      <c r="G79" s="100">
        <v>73.98</v>
      </c>
      <c r="H79" s="100">
        <v>38.31</v>
      </c>
      <c r="I79" s="100">
        <v>7.96</v>
      </c>
      <c r="J79" s="100">
        <v>0.12</v>
      </c>
      <c r="K79" s="100">
        <v>60.25</v>
      </c>
      <c r="L79" s="100">
        <v>12.41</v>
      </c>
      <c r="M79" s="100">
        <v>13.08</v>
      </c>
      <c r="N79" s="100">
        <v>2.7</v>
      </c>
      <c r="O79" s="100">
        <v>0</v>
      </c>
      <c r="P79" s="100">
        <v>0.66</v>
      </c>
      <c r="Q79" s="100">
        <v>9.32</v>
      </c>
      <c r="R79" s="6"/>
      <c r="S79" s="6"/>
      <c r="T79" s="156"/>
      <c r="U79" s="6"/>
    </row>
    <row r="80" spans="1:21" customFormat="1">
      <c r="A80" s="201" t="s">
        <v>1179</v>
      </c>
      <c r="B80" s="100">
        <v>3.32</v>
      </c>
      <c r="C80" s="100">
        <v>20.73</v>
      </c>
      <c r="D80" s="100">
        <v>13.49</v>
      </c>
      <c r="E80" s="100">
        <v>3.9</v>
      </c>
      <c r="F80" s="100">
        <v>2</v>
      </c>
      <c r="G80" s="100">
        <v>73.98</v>
      </c>
      <c r="H80" s="100">
        <v>38.31</v>
      </c>
      <c r="I80" s="100">
        <v>7.1</v>
      </c>
      <c r="J80" s="100">
        <v>0.2</v>
      </c>
      <c r="K80" s="100">
        <v>148.88</v>
      </c>
      <c r="L80" s="100">
        <v>14.02</v>
      </c>
      <c r="M80" s="100">
        <v>17.28</v>
      </c>
      <c r="N80" s="100">
        <v>2.9</v>
      </c>
      <c r="O80" s="100">
        <v>0</v>
      </c>
      <c r="P80" s="100">
        <v>0.67</v>
      </c>
      <c r="Q80" s="100">
        <v>9.32</v>
      </c>
      <c r="R80" s="6"/>
      <c r="S80" s="6"/>
      <c r="T80" s="156"/>
      <c r="U80" s="6"/>
    </row>
    <row r="81" spans="1:21" customFormat="1">
      <c r="A81" s="201" t="s">
        <v>1180</v>
      </c>
      <c r="B81" s="100">
        <v>3.7</v>
      </c>
      <c r="C81" s="100">
        <v>19.27</v>
      </c>
      <c r="D81" s="100">
        <v>13.03</v>
      </c>
      <c r="E81" s="100">
        <v>4.51</v>
      </c>
      <c r="F81" s="100">
        <v>2</v>
      </c>
      <c r="G81" s="100">
        <v>73.98</v>
      </c>
      <c r="H81" s="100">
        <v>38.31</v>
      </c>
      <c r="I81" s="100">
        <v>6.07</v>
      </c>
      <c r="J81" s="100">
        <v>0.22</v>
      </c>
      <c r="K81" s="100">
        <v>162.9</v>
      </c>
      <c r="L81" s="100">
        <v>15.88</v>
      </c>
      <c r="M81" s="100">
        <v>22.04</v>
      </c>
      <c r="N81" s="100">
        <v>2.8</v>
      </c>
      <c r="O81" s="100">
        <v>0</v>
      </c>
      <c r="P81" s="100">
        <v>0.67</v>
      </c>
      <c r="Q81" s="100">
        <v>9.32</v>
      </c>
      <c r="R81" s="6"/>
      <c r="S81" s="6"/>
      <c r="T81" s="156"/>
      <c r="U81" s="6"/>
    </row>
    <row r="82" spans="1:21" customFormat="1">
      <c r="A82" s="201" t="s">
        <v>1181</v>
      </c>
      <c r="B82" s="100">
        <v>3.95</v>
      </c>
      <c r="C82" s="100">
        <v>18.190000000000001</v>
      </c>
      <c r="D82" s="100">
        <v>12.67</v>
      </c>
      <c r="E82" s="100">
        <v>5.49</v>
      </c>
      <c r="F82" s="100">
        <v>2</v>
      </c>
      <c r="G82" s="100">
        <v>79.83</v>
      </c>
      <c r="H82" s="100">
        <v>39.119999999999997</v>
      </c>
      <c r="I82" s="100">
        <v>6.86</v>
      </c>
      <c r="J82" s="100">
        <v>0.25</v>
      </c>
      <c r="K82" s="100">
        <v>155.62</v>
      </c>
      <c r="L82" s="100">
        <v>15.09</v>
      </c>
      <c r="M82" s="100">
        <v>20.05</v>
      </c>
      <c r="N82" s="100">
        <v>2.2999999999999998</v>
      </c>
      <c r="O82" s="100">
        <v>0</v>
      </c>
      <c r="P82" s="100">
        <v>0.68</v>
      </c>
      <c r="Q82" s="100">
        <v>9.32</v>
      </c>
      <c r="R82" s="6"/>
      <c r="S82" s="6"/>
      <c r="T82" s="156"/>
      <c r="U82" s="6"/>
    </row>
    <row r="83" spans="1:21" customFormat="1">
      <c r="A83" s="201" t="s">
        <v>1182</v>
      </c>
      <c r="B83" s="100">
        <v>4.26</v>
      </c>
      <c r="C83" s="100">
        <v>17.309999999999999</v>
      </c>
      <c r="D83" s="100">
        <v>12.46</v>
      </c>
      <c r="E83" s="100">
        <v>5.39</v>
      </c>
      <c r="F83" s="100">
        <v>2</v>
      </c>
      <c r="G83" s="100">
        <v>87.14</v>
      </c>
      <c r="H83" s="100">
        <v>39.68</v>
      </c>
      <c r="I83" s="100">
        <v>7.8</v>
      </c>
      <c r="J83" s="100">
        <v>0.14000000000000001</v>
      </c>
      <c r="K83" s="100">
        <v>193.68</v>
      </c>
      <c r="L83" s="100">
        <v>17.82</v>
      </c>
      <c r="M83" s="100">
        <v>26.79</v>
      </c>
      <c r="N83" s="100">
        <v>2.4</v>
      </c>
      <c r="O83" s="100">
        <v>0</v>
      </c>
      <c r="P83" s="100">
        <v>0.68</v>
      </c>
      <c r="Q83" s="100">
        <v>9.32</v>
      </c>
      <c r="R83" s="6"/>
      <c r="S83" s="6"/>
      <c r="T83" s="156"/>
      <c r="U83" s="6"/>
    </row>
    <row r="84" spans="1:21" customFormat="1">
      <c r="A84" s="201" t="s">
        <v>1183</v>
      </c>
      <c r="B84" s="100">
        <v>4.68</v>
      </c>
      <c r="C84" s="100">
        <v>16.71</v>
      </c>
      <c r="D84" s="100">
        <v>12.48</v>
      </c>
      <c r="E84" s="100">
        <v>5.38</v>
      </c>
      <c r="F84" s="100">
        <v>2</v>
      </c>
      <c r="G84" s="100">
        <v>87.14</v>
      </c>
      <c r="H84" s="100">
        <v>39.68</v>
      </c>
      <c r="I84" s="100">
        <v>7.89</v>
      </c>
      <c r="J84" s="100">
        <v>0.19</v>
      </c>
      <c r="K84" s="100">
        <v>182.55</v>
      </c>
      <c r="L84" s="100">
        <v>17.260000000000002</v>
      </c>
      <c r="M84" s="100">
        <v>25.32</v>
      </c>
      <c r="N84" s="100">
        <v>2.5</v>
      </c>
      <c r="O84" s="100">
        <v>0</v>
      </c>
      <c r="P84" s="100">
        <v>0.69</v>
      </c>
      <c r="Q84" s="100">
        <v>9.32</v>
      </c>
      <c r="R84" s="6"/>
      <c r="S84" s="6"/>
      <c r="T84" s="156"/>
      <c r="U84" s="6"/>
    </row>
    <row r="85" spans="1:21" customFormat="1">
      <c r="A85" s="201" t="s">
        <v>1184</v>
      </c>
      <c r="B85" s="100">
        <v>4.79</v>
      </c>
      <c r="C85" s="100">
        <v>16.05</v>
      </c>
      <c r="D85" s="100">
        <v>12.23</v>
      </c>
      <c r="E85" s="100">
        <v>5.45</v>
      </c>
      <c r="F85" s="100">
        <v>2</v>
      </c>
      <c r="G85" s="100">
        <v>87.14</v>
      </c>
      <c r="H85" s="100">
        <v>39.68</v>
      </c>
      <c r="I85" s="100">
        <v>7.98</v>
      </c>
      <c r="J85" s="100">
        <v>0.23</v>
      </c>
      <c r="K85" s="100">
        <v>156.38</v>
      </c>
      <c r="L85" s="100">
        <v>15.16</v>
      </c>
      <c r="M85" s="100">
        <v>20.059999999999999</v>
      </c>
      <c r="N85" s="100">
        <v>2.1</v>
      </c>
      <c r="O85" s="100">
        <v>0</v>
      </c>
      <c r="P85" s="100">
        <v>0.69</v>
      </c>
      <c r="Q85" s="100">
        <v>9.32</v>
      </c>
      <c r="R85" s="6"/>
      <c r="S85" s="6"/>
      <c r="T85" s="156"/>
      <c r="U85" s="6"/>
    </row>
    <row r="86" spans="1:21" customFormat="1">
      <c r="A86" s="201" t="s">
        <v>1185</v>
      </c>
      <c r="B86" s="100">
        <v>4.8600000000000003</v>
      </c>
      <c r="C86" s="100">
        <v>15.34</v>
      </c>
      <c r="D86" s="100">
        <v>11.91</v>
      </c>
      <c r="E86" s="100">
        <v>5.92</v>
      </c>
      <c r="F86" s="100">
        <v>2</v>
      </c>
      <c r="G86" s="100">
        <v>87.41</v>
      </c>
      <c r="H86" s="100">
        <v>39.78</v>
      </c>
      <c r="I86" s="100">
        <v>8.1300000000000008</v>
      </c>
      <c r="J86" s="100">
        <v>0.16</v>
      </c>
      <c r="K86" s="100">
        <v>174.44</v>
      </c>
      <c r="L86" s="100">
        <v>16.96</v>
      </c>
      <c r="M86" s="100">
        <v>24.45</v>
      </c>
      <c r="N86" s="100">
        <v>2.1</v>
      </c>
      <c r="O86" s="100">
        <v>0</v>
      </c>
      <c r="P86" s="100">
        <v>0.69</v>
      </c>
      <c r="Q86" s="100">
        <v>9.32</v>
      </c>
      <c r="R86" s="6"/>
      <c r="S86" s="6"/>
      <c r="T86" s="156"/>
      <c r="U86" s="6"/>
    </row>
    <row r="87" spans="1:21" customFormat="1">
      <c r="A87" s="201" t="s">
        <v>1186</v>
      </c>
      <c r="B87" s="100">
        <v>4.92</v>
      </c>
      <c r="C87" s="100">
        <v>14.65</v>
      </c>
      <c r="D87" s="100">
        <v>11.6</v>
      </c>
      <c r="E87" s="100">
        <v>4.4000000000000004</v>
      </c>
      <c r="F87" s="100">
        <v>2</v>
      </c>
      <c r="G87" s="100">
        <v>87.76</v>
      </c>
      <c r="H87" s="100">
        <v>39.950000000000003</v>
      </c>
      <c r="I87" s="100">
        <v>8.2899999999999991</v>
      </c>
      <c r="J87" s="100">
        <v>0.24</v>
      </c>
      <c r="K87" s="100">
        <v>156.46</v>
      </c>
      <c r="L87" s="100">
        <v>15.37</v>
      </c>
      <c r="M87" s="100">
        <v>20.329999999999998</v>
      </c>
      <c r="N87" s="100">
        <v>2.1</v>
      </c>
      <c r="O87" s="100">
        <v>0</v>
      </c>
      <c r="P87" s="100">
        <v>0.69</v>
      </c>
      <c r="Q87" s="100">
        <v>9.32</v>
      </c>
      <c r="R87" s="6"/>
      <c r="S87" s="6"/>
      <c r="T87" s="156"/>
      <c r="U87" s="6"/>
    </row>
    <row r="88" spans="1:21" customFormat="1">
      <c r="A88" s="201" t="s">
        <v>1187</v>
      </c>
      <c r="B88" s="100">
        <v>5.25</v>
      </c>
      <c r="C88" s="100">
        <v>14.22</v>
      </c>
      <c r="D88" s="100">
        <v>11.64</v>
      </c>
      <c r="E88" s="100">
        <v>5.51</v>
      </c>
      <c r="F88" s="100">
        <v>2</v>
      </c>
      <c r="G88" s="100">
        <v>87.76</v>
      </c>
      <c r="H88" s="100">
        <v>39.950000000000003</v>
      </c>
      <c r="I88" s="100">
        <v>8.4</v>
      </c>
      <c r="J88" s="100">
        <v>0.17</v>
      </c>
      <c r="K88" s="100">
        <v>164.73</v>
      </c>
      <c r="L88" s="100">
        <v>16.13</v>
      </c>
      <c r="M88" s="100">
        <v>22.35</v>
      </c>
      <c r="N88" s="100">
        <v>2.1</v>
      </c>
      <c r="O88" s="100">
        <v>0</v>
      </c>
      <c r="P88" s="100">
        <v>0.7</v>
      </c>
      <c r="Q88" s="100">
        <v>9.32</v>
      </c>
      <c r="R88" s="6"/>
      <c r="S88" s="6"/>
      <c r="T88" s="156"/>
      <c r="U88" s="6"/>
    </row>
    <row r="89" spans="1:21" customFormat="1">
      <c r="A89" s="201" t="s">
        <v>1188</v>
      </c>
      <c r="B89" s="100">
        <v>6.02</v>
      </c>
      <c r="C89" s="100">
        <v>14.12</v>
      </c>
      <c r="D89" s="100">
        <v>12.2</v>
      </c>
      <c r="E89" s="100">
        <v>5.69</v>
      </c>
      <c r="F89" s="100">
        <v>2</v>
      </c>
      <c r="G89" s="100">
        <v>87.76</v>
      </c>
      <c r="H89" s="100">
        <v>39.950000000000003</v>
      </c>
      <c r="I89" s="100">
        <v>8.5399999999999991</v>
      </c>
      <c r="J89" s="100">
        <v>0.18</v>
      </c>
      <c r="K89" s="100">
        <v>190.57</v>
      </c>
      <c r="L89" s="100">
        <v>17.91</v>
      </c>
      <c r="M89" s="100">
        <v>26.84</v>
      </c>
      <c r="N89" s="100">
        <v>2.1</v>
      </c>
      <c r="O89" s="100">
        <v>0</v>
      </c>
      <c r="P89" s="100">
        <v>0.71</v>
      </c>
      <c r="Q89" s="100">
        <v>9.32</v>
      </c>
      <c r="R89" s="6"/>
      <c r="S89" s="6"/>
      <c r="T89" s="156"/>
      <c r="U89" s="6"/>
    </row>
    <row r="90" spans="1:21" customFormat="1">
      <c r="A90" s="201" t="s">
        <v>1189</v>
      </c>
      <c r="B90" s="100">
        <v>6.34</v>
      </c>
      <c r="C90" s="100">
        <v>13.8</v>
      </c>
      <c r="D90" s="100">
        <v>12.29</v>
      </c>
      <c r="E90" s="100">
        <v>5.64</v>
      </c>
      <c r="F90" s="100">
        <v>2</v>
      </c>
      <c r="G90" s="100">
        <v>86.92</v>
      </c>
      <c r="H90" s="100">
        <v>38.69</v>
      </c>
      <c r="I90" s="100">
        <v>8.7799999999999994</v>
      </c>
      <c r="J90" s="100">
        <v>0.17</v>
      </c>
      <c r="K90" s="100">
        <v>200.19</v>
      </c>
      <c r="L90" s="100">
        <v>18.670000000000002</v>
      </c>
      <c r="M90" s="100">
        <v>28.73</v>
      </c>
      <c r="N90" s="100">
        <v>2.1</v>
      </c>
      <c r="O90" s="100">
        <v>0</v>
      </c>
      <c r="P90" s="100">
        <v>0.72</v>
      </c>
      <c r="Q90" s="100">
        <v>9.32</v>
      </c>
      <c r="R90" s="6"/>
      <c r="S90" s="6"/>
      <c r="T90" s="156"/>
      <c r="U90" s="6"/>
    </row>
    <row r="91" spans="1:21" customFormat="1">
      <c r="A91" s="201" t="s">
        <v>1190</v>
      </c>
      <c r="B91" s="100">
        <v>6.47</v>
      </c>
      <c r="C91" s="100">
        <v>13.46</v>
      </c>
      <c r="D91" s="100">
        <v>12.23</v>
      </c>
      <c r="E91" s="100">
        <v>5.73</v>
      </c>
      <c r="F91" s="100">
        <v>2</v>
      </c>
      <c r="G91" s="100">
        <v>85.86</v>
      </c>
      <c r="H91" s="100">
        <v>37.82</v>
      </c>
      <c r="I91" s="100">
        <v>9.0299999999999994</v>
      </c>
      <c r="J91" s="100">
        <v>0.15</v>
      </c>
      <c r="K91" s="100">
        <v>203.39</v>
      </c>
      <c r="L91" s="100">
        <v>18.989999999999998</v>
      </c>
      <c r="M91" s="100">
        <v>29.52</v>
      </c>
      <c r="N91" s="100">
        <v>2.2000000000000002</v>
      </c>
      <c r="O91" s="100">
        <v>0</v>
      </c>
      <c r="P91" s="100">
        <v>0.72</v>
      </c>
      <c r="Q91" s="100">
        <v>9.32</v>
      </c>
      <c r="R91" s="6"/>
      <c r="S91" s="6"/>
      <c r="T91" s="156"/>
      <c r="U91" s="6"/>
    </row>
    <row r="92" spans="1:21" customFormat="1">
      <c r="A92" s="201" t="s">
        <v>1191</v>
      </c>
      <c r="B92" s="100">
        <v>6.51</v>
      </c>
      <c r="C92" s="100">
        <v>13.02</v>
      </c>
      <c r="D92" s="100">
        <v>12.02</v>
      </c>
      <c r="E92" s="100">
        <v>5.7</v>
      </c>
      <c r="F92" s="100">
        <v>2</v>
      </c>
      <c r="G92" s="100">
        <v>85.86</v>
      </c>
      <c r="H92" s="100">
        <v>37.82</v>
      </c>
      <c r="I92" s="100">
        <v>9.2100000000000009</v>
      </c>
      <c r="J92" s="100">
        <v>0.09</v>
      </c>
      <c r="K92" s="100">
        <v>202.13</v>
      </c>
      <c r="L92" s="100">
        <v>17.809999999999999</v>
      </c>
      <c r="M92" s="100">
        <v>26.63</v>
      </c>
      <c r="N92" s="100">
        <v>2.1</v>
      </c>
      <c r="O92" s="100">
        <v>0</v>
      </c>
      <c r="P92" s="100">
        <v>0.72</v>
      </c>
      <c r="Q92" s="100">
        <v>9.32</v>
      </c>
      <c r="R92" s="6"/>
      <c r="S92" s="6"/>
      <c r="T92" s="156"/>
      <c r="U92" s="6"/>
    </row>
    <row r="93" spans="1:21" customFormat="1">
      <c r="A93" s="201" t="s">
        <v>1192</v>
      </c>
      <c r="B93" s="100">
        <v>6.57</v>
      </c>
      <c r="C93" s="100">
        <v>12.75</v>
      </c>
      <c r="D93" s="100">
        <v>11.92</v>
      </c>
      <c r="E93" s="100">
        <v>5.87</v>
      </c>
      <c r="F93" s="100">
        <v>2</v>
      </c>
      <c r="G93" s="100">
        <v>85.86</v>
      </c>
      <c r="H93" s="100">
        <v>37.82</v>
      </c>
      <c r="I93" s="100">
        <v>9.4</v>
      </c>
      <c r="J93" s="100">
        <v>0.09</v>
      </c>
      <c r="K93" s="100">
        <v>205.73</v>
      </c>
      <c r="L93" s="100">
        <v>19.600000000000001</v>
      </c>
      <c r="M93" s="100">
        <v>31.12</v>
      </c>
      <c r="N93" s="100">
        <v>2</v>
      </c>
      <c r="O93" s="100">
        <v>0</v>
      </c>
      <c r="P93" s="100">
        <v>0.73</v>
      </c>
      <c r="Q93" s="100">
        <v>9.32</v>
      </c>
      <c r="R93" s="6"/>
      <c r="S93" s="6"/>
      <c r="T93" s="156"/>
      <c r="U93" s="6"/>
    </row>
    <row r="94" spans="1:21" customFormat="1">
      <c r="A94" s="201" t="s">
        <v>1193</v>
      </c>
      <c r="B94" s="100">
        <v>6.65</v>
      </c>
      <c r="C94" s="100">
        <v>12.54</v>
      </c>
      <c r="D94" s="100">
        <v>11.89</v>
      </c>
      <c r="E94" s="100">
        <v>5.99</v>
      </c>
      <c r="F94" s="100">
        <v>2</v>
      </c>
      <c r="G94" s="100">
        <v>84.67</v>
      </c>
      <c r="H94" s="100">
        <v>38.78</v>
      </c>
      <c r="I94" s="100">
        <v>9.6199999999999992</v>
      </c>
      <c r="J94" s="100">
        <v>0.16</v>
      </c>
      <c r="K94" s="100">
        <v>175.17</v>
      </c>
      <c r="L94" s="100">
        <v>17.38</v>
      </c>
      <c r="M94" s="100">
        <v>25.53</v>
      </c>
      <c r="N94" s="100">
        <v>1.7</v>
      </c>
      <c r="O94" s="100">
        <v>0</v>
      </c>
      <c r="P94" s="100">
        <v>0.73</v>
      </c>
      <c r="Q94" s="100">
        <v>9.32</v>
      </c>
      <c r="R94" s="6"/>
      <c r="S94" s="6"/>
      <c r="T94" s="156"/>
      <c r="U94" s="6"/>
    </row>
    <row r="95" spans="1:21" customFormat="1">
      <c r="A95" s="201" t="s">
        <v>1194</v>
      </c>
      <c r="B95" s="100">
        <v>6.69</v>
      </c>
      <c r="C95" s="100">
        <v>12.26</v>
      </c>
      <c r="D95" s="100">
        <v>11.77</v>
      </c>
      <c r="E95" s="100">
        <v>6.17</v>
      </c>
      <c r="F95" s="100">
        <v>2</v>
      </c>
      <c r="G95" s="100">
        <v>83.19</v>
      </c>
      <c r="H95" s="100">
        <v>39.42</v>
      </c>
      <c r="I95" s="100">
        <v>9.86</v>
      </c>
      <c r="J95" s="100">
        <v>0.13</v>
      </c>
      <c r="K95" s="100">
        <v>179.79</v>
      </c>
      <c r="L95" s="100">
        <v>17.899999999999999</v>
      </c>
      <c r="M95" s="100">
        <v>26.82</v>
      </c>
      <c r="N95" s="100">
        <v>2</v>
      </c>
      <c r="O95" s="100">
        <v>0</v>
      </c>
      <c r="P95" s="100">
        <v>0.74</v>
      </c>
      <c r="Q95" s="100">
        <v>9.32</v>
      </c>
      <c r="R95" s="6"/>
      <c r="S95" s="6"/>
      <c r="T95" s="156"/>
      <c r="U95" s="6"/>
    </row>
    <row r="96" spans="1:21" customFormat="1">
      <c r="A96" s="201" t="s">
        <v>1195</v>
      </c>
      <c r="B96" s="100">
        <v>6.79</v>
      </c>
      <c r="C96" s="100">
        <v>12.03</v>
      </c>
      <c r="D96" s="100">
        <v>11.73</v>
      </c>
      <c r="E96" s="100">
        <v>6.1</v>
      </c>
      <c r="F96" s="100">
        <v>2</v>
      </c>
      <c r="G96" s="100">
        <v>83.19</v>
      </c>
      <c r="H96" s="100">
        <v>39.42</v>
      </c>
      <c r="I96" s="100">
        <v>10.07</v>
      </c>
      <c r="J96" s="100">
        <v>0.18</v>
      </c>
      <c r="K96" s="100">
        <v>169.99</v>
      </c>
      <c r="L96" s="100">
        <v>16.34</v>
      </c>
      <c r="M96" s="100">
        <v>22.98</v>
      </c>
      <c r="N96" s="100">
        <v>1.8</v>
      </c>
      <c r="O96" s="100">
        <v>0</v>
      </c>
      <c r="P96" s="100">
        <v>0.74</v>
      </c>
      <c r="Q96" s="100">
        <v>9.32</v>
      </c>
      <c r="R96" s="6"/>
      <c r="S96" s="6"/>
      <c r="T96" s="156"/>
      <c r="U96" s="6"/>
    </row>
    <row r="97" spans="1:28" customFormat="1">
      <c r="A97" s="201" t="s">
        <v>1196</v>
      </c>
      <c r="B97" s="100">
        <v>6.81</v>
      </c>
      <c r="C97" s="100">
        <v>11.88</v>
      </c>
      <c r="D97" s="100">
        <v>11.67</v>
      </c>
      <c r="E97" s="100">
        <v>6.05</v>
      </c>
      <c r="F97" s="100">
        <v>2</v>
      </c>
      <c r="G97" s="100">
        <v>83.19</v>
      </c>
      <c r="H97" s="100">
        <v>39.42</v>
      </c>
      <c r="I97" s="100">
        <v>10.26</v>
      </c>
      <c r="J97" s="100">
        <v>0.12</v>
      </c>
      <c r="K97" s="100">
        <v>193.8</v>
      </c>
      <c r="L97" s="100">
        <v>18.34</v>
      </c>
      <c r="M97" s="100">
        <v>28.02</v>
      </c>
      <c r="N97" s="100">
        <v>1.9</v>
      </c>
      <c r="O97" s="100">
        <v>0</v>
      </c>
      <c r="P97" s="100">
        <v>0.75</v>
      </c>
      <c r="Q97" s="100">
        <v>9.32</v>
      </c>
      <c r="R97" s="6"/>
      <c r="S97" s="6"/>
      <c r="T97" s="156"/>
      <c r="U97" s="6"/>
    </row>
    <row r="98" spans="1:28" customFormat="1">
      <c r="A98" s="201" t="s">
        <v>1197</v>
      </c>
      <c r="B98" s="100">
        <v>6.83</v>
      </c>
      <c r="C98" s="100">
        <v>11.65</v>
      </c>
      <c r="D98" s="100">
        <v>11.56</v>
      </c>
      <c r="E98" s="100">
        <v>6.12</v>
      </c>
      <c r="F98" s="100">
        <v>2</v>
      </c>
      <c r="G98" s="100">
        <v>86.44</v>
      </c>
      <c r="H98" s="100">
        <v>40.659999999999997</v>
      </c>
      <c r="I98" s="100">
        <v>10.45</v>
      </c>
      <c r="J98" s="100">
        <v>0.1</v>
      </c>
      <c r="K98" s="100">
        <v>183.22</v>
      </c>
      <c r="L98" s="100">
        <v>17.46</v>
      </c>
      <c r="M98" s="100">
        <v>25.73</v>
      </c>
      <c r="N98" s="100">
        <v>1.9</v>
      </c>
      <c r="O98" s="100">
        <v>0</v>
      </c>
      <c r="P98" s="100">
        <v>0.75</v>
      </c>
      <c r="Q98" s="100">
        <v>9.32</v>
      </c>
      <c r="R98" s="6"/>
      <c r="S98" s="6"/>
      <c r="T98" s="156"/>
      <c r="U98" s="6"/>
    </row>
    <row r="99" spans="1:28" customFormat="1">
      <c r="A99" s="201" t="s">
        <v>1198</v>
      </c>
      <c r="B99" s="100">
        <v>6.76</v>
      </c>
      <c r="C99" s="100">
        <v>11.62</v>
      </c>
      <c r="D99" s="100">
        <v>11.49</v>
      </c>
      <c r="E99" s="100">
        <v>6.15</v>
      </c>
      <c r="F99" s="100">
        <v>2</v>
      </c>
      <c r="G99" s="100">
        <v>90.51</v>
      </c>
      <c r="H99" s="100">
        <v>41.5</v>
      </c>
      <c r="I99" s="100">
        <v>10.55</v>
      </c>
      <c r="J99" s="100">
        <v>0.14000000000000001</v>
      </c>
      <c r="K99" s="100">
        <v>217.35</v>
      </c>
      <c r="L99" s="100">
        <v>19.72</v>
      </c>
      <c r="M99" s="100">
        <v>31.37</v>
      </c>
      <c r="N99" s="100">
        <v>2</v>
      </c>
      <c r="O99" s="100">
        <v>0</v>
      </c>
      <c r="P99" s="100">
        <v>0.75</v>
      </c>
      <c r="Q99" s="100">
        <v>9.32</v>
      </c>
      <c r="R99" s="6"/>
      <c r="S99" s="6"/>
      <c r="T99" s="156"/>
      <c r="U99" s="6"/>
    </row>
    <row r="100" spans="1:28" customFormat="1">
      <c r="A100" s="201" t="s">
        <v>1199</v>
      </c>
      <c r="B100" s="100">
        <v>6.64</v>
      </c>
      <c r="C100" s="100">
        <v>11.53</v>
      </c>
      <c r="D100" s="100">
        <v>11.34</v>
      </c>
      <c r="E100" s="100">
        <v>6.42</v>
      </c>
      <c r="F100" s="100">
        <v>2</v>
      </c>
      <c r="G100" s="100">
        <v>90.51</v>
      </c>
      <c r="H100" s="100">
        <v>41.5</v>
      </c>
      <c r="I100" s="100">
        <v>10.6</v>
      </c>
      <c r="J100" s="100">
        <v>0.13</v>
      </c>
      <c r="K100" s="100">
        <v>184.22</v>
      </c>
      <c r="L100" s="100">
        <v>17.36</v>
      </c>
      <c r="M100" s="100">
        <v>25.52</v>
      </c>
      <c r="N100" s="100">
        <v>2</v>
      </c>
      <c r="O100" s="100">
        <v>0</v>
      </c>
      <c r="P100" s="100">
        <v>0.75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1200</v>
      </c>
      <c r="B101" s="100">
        <v>6.65</v>
      </c>
      <c r="C101" s="100">
        <v>11.46</v>
      </c>
      <c r="D101" s="100">
        <v>11.32</v>
      </c>
      <c r="E101" s="100">
        <v>6.28</v>
      </c>
      <c r="F101" s="100">
        <v>2</v>
      </c>
      <c r="G101" s="100">
        <v>90.51</v>
      </c>
      <c r="H101" s="100">
        <v>41.5</v>
      </c>
      <c r="I101" s="100">
        <v>10.61</v>
      </c>
      <c r="J101" s="100">
        <v>7.0000000000000007E-2</v>
      </c>
      <c r="K101" s="100">
        <v>176.28</v>
      </c>
      <c r="L101" s="100">
        <v>15.72</v>
      </c>
      <c r="M101" s="100">
        <v>21.44</v>
      </c>
      <c r="N101" s="100">
        <v>1.9</v>
      </c>
      <c r="O101" s="100">
        <v>0</v>
      </c>
      <c r="P101" s="100">
        <v>0.75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1201</v>
      </c>
      <c r="B102" s="100">
        <v>7.3</v>
      </c>
      <c r="C102" s="100">
        <v>11.56</v>
      </c>
      <c r="D102" s="100">
        <v>11.9</v>
      </c>
      <c r="E102" s="100">
        <v>6.24</v>
      </c>
      <c r="F102" s="100">
        <v>2</v>
      </c>
      <c r="G102" s="100">
        <v>88.69</v>
      </c>
      <c r="H102" s="100">
        <v>41.44</v>
      </c>
      <c r="I102" s="100">
        <v>10.6</v>
      </c>
      <c r="J102" s="100">
        <v>0.13</v>
      </c>
      <c r="K102" s="100">
        <v>176.15</v>
      </c>
      <c r="L102" s="100">
        <v>17.98</v>
      </c>
      <c r="M102" s="100">
        <v>27.13</v>
      </c>
      <c r="N102" s="100">
        <v>1.7</v>
      </c>
      <c r="O102" s="100">
        <v>0</v>
      </c>
      <c r="P102" s="100">
        <v>0.75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1202</v>
      </c>
      <c r="B103" s="100">
        <v>8.41</v>
      </c>
      <c r="C103" s="100">
        <v>11.81</v>
      </c>
      <c r="D103" s="100">
        <v>12.91</v>
      </c>
      <c r="E103" s="100">
        <v>6.52</v>
      </c>
      <c r="F103" s="100">
        <v>2</v>
      </c>
      <c r="G103" s="100">
        <v>86.4</v>
      </c>
      <c r="H103" s="100">
        <v>41.39</v>
      </c>
      <c r="I103" s="100">
        <v>10.65</v>
      </c>
      <c r="J103" s="100">
        <v>0.06</v>
      </c>
      <c r="K103" s="100">
        <v>228.38</v>
      </c>
      <c r="L103" s="100">
        <v>20.29</v>
      </c>
      <c r="M103" s="100">
        <v>32.85</v>
      </c>
      <c r="N103" s="100">
        <v>1.9</v>
      </c>
      <c r="O103" s="100">
        <v>0</v>
      </c>
      <c r="P103" s="100">
        <v>0.77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1203</v>
      </c>
      <c r="B104" s="100">
        <v>10.4</v>
      </c>
      <c r="C104" s="100">
        <v>12.29</v>
      </c>
      <c r="D104" s="100">
        <v>14.76</v>
      </c>
      <c r="E104" s="100">
        <v>6.56</v>
      </c>
      <c r="F104" s="100">
        <v>2</v>
      </c>
      <c r="G104" s="100">
        <v>86.4</v>
      </c>
      <c r="H104" s="100">
        <v>41.39</v>
      </c>
      <c r="I104" s="100">
        <v>10.71</v>
      </c>
      <c r="J104" s="100">
        <v>0.06</v>
      </c>
      <c r="K104" s="100">
        <v>177.3</v>
      </c>
      <c r="L104" s="100">
        <v>16.13</v>
      </c>
      <c r="M104" s="100">
        <v>22.55</v>
      </c>
      <c r="N104" s="100">
        <v>1.9</v>
      </c>
      <c r="O104" s="100">
        <v>0</v>
      </c>
      <c r="P104" s="100">
        <v>0.79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1.81</v>
      </c>
      <c r="C106" s="158">
        <f>MIN(C9:C104)</f>
        <v>9.33</v>
      </c>
      <c r="D106" s="158">
        <f t="shared" ref="D106:Q106" si="0">MIN(D9:D104)</f>
        <v>7.88</v>
      </c>
      <c r="E106" s="158">
        <f t="shared" si="0"/>
        <v>3.77</v>
      </c>
      <c r="F106" s="158">
        <f t="shared" si="0"/>
        <v>2</v>
      </c>
      <c r="G106" s="158">
        <f t="shared" si="0"/>
        <v>54.52</v>
      </c>
      <c r="H106" s="158">
        <f t="shared" si="0"/>
        <v>37.340000000000003</v>
      </c>
      <c r="I106" s="158">
        <f t="shared" si="0"/>
        <v>6.07</v>
      </c>
      <c r="J106" s="158">
        <f t="shared" si="0"/>
        <v>0.03</v>
      </c>
      <c r="K106" s="158">
        <f t="shared" si="0"/>
        <v>0.26</v>
      </c>
      <c r="L106" s="158">
        <f t="shared" si="0"/>
        <v>6.68</v>
      </c>
      <c r="M106" s="158">
        <f t="shared" si="0"/>
        <v>-1.56</v>
      </c>
      <c r="N106" s="158">
        <f t="shared" si="0"/>
        <v>1.7</v>
      </c>
      <c r="O106" s="158">
        <f t="shared" si="0"/>
        <v>0</v>
      </c>
      <c r="P106" s="158">
        <f t="shared" si="0"/>
        <v>0.62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23.34</v>
      </c>
      <c r="C107" s="157">
        <f t="shared" ref="C107:Q107" si="1">MAX(C9:C104)</f>
        <v>29.18</v>
      </c>
      <c r="D107" s="157">
        <f t="shared" si="1"/>
        <v>26.08</v>
      </c>
      <c r="E107" s="157">
        <f t="shared" si="1"/>
        <v>25.29</v>
      </c>
      <c r="F107" s="157">
        <f t="shared" si="1"/>
        <v>32.979999999999997</v>
      </c>
      <c r="G107" s="157">
        <f t="shared" si="1"/>
        <v>140.47</v>
      </c>
      <c r="H107" s="157">
        <f t="shared" si="1"/>
        <v>67.44</v>
      </c>
      <c r="I107" s="157">
        <f t="shared" si="1"/>
        <v>14.99</v>
      </c>
      <c r="J107" s="157">
        <f t="shared" si="1"/>
        <v>0.81</v>
      </c>
      <c r="K107" s="157">
        <f t="shared" si="1"/>
        <v>289.45</v>
      </c>
      <c r="L107" s="157">
        <f t="shared" si="1"/>
        <v>26.66</v>
      </c>
      <c r="M107" s="157">
        <f t="shared" si="1"/>
        <v>38.340000000000003</v>
      </c>
      <c r="N107" s="157">
        <f t="shared" si="1"/>
        <v>595.29999999999995</v>
      </c>
      <c r="O107" s="157">
        <f t="shared" si="1"/>
        <v>0</v>
      </c>
      <c r="P107" s="157">
        <f t="shared" si="1"/>
        <v>1.1499999999999999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9.6123958333333288</v>
      </c>
      <c r="C108" s="158">
        <f t="shared" ref="C108:Q108" si="2">AVERAGE(C9:C104)</f>
        <v>14.852083333333333</v>
      </c>
      <c r="D108" s="158">
        <f t="shared" si="2"/>
        <v>15.467812500000006</v>
      </c>
      <c r="E108" s="158">
        <f t="shared" si="2"/>
        <v>7.2431249999999983</v>
      </c>
      <c r="F108" s="158">
        <f t="shared" si="2"/>
        <v>3.6552083333333329</v>
      </c>
      <c r="G108" s="158">
        <f t="shared" si="2"/>
        <v>85.35895833333332</v>
      </c>
      <c r="H108" s="158">
        <f t="shared" si="2"/>
        <v>46.513333333333314</v>
      </c>
      <c r="I108" s="158">
        <f t="shared" si="2"/>
        <v>10.826875000000003</v>
      </c>
      <c r="J108" s="158">
        <f t="shared" si="2"/>
        <v>0.23999999999999996</v>
      </c>
      <c r="K108" s="158">
        <f t="shared" si="2"/>
        <v>112.72749999999995</v>
      </c>
      <c r="L108" s="158">
        <f t="shared" si="2"/>
        <v>15.015416666666669</v>
      </c>
      <c r="M108" s="158">
        <f t="shared" si="2"/>
        <v>16.752083333333328</v>
      </c>
      <c r="N108" s="158">
        <f t="shared" si="2"/>
        <v>123.05416666666669</v>
      </c>
      <c r="O108" s="158">
        <f t="shared" si="2"/>
        <v>0</v>
      </c>
      <c r="P108" s="158">
        <f t="shared" si="2"/>
        <v>0.83479166666666638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7.1815778569441804</v>
      </c>
      <c r="C109" s="158">
        <f t="shared" ref="C109:Q109" si="3">STDEV(C9:C104)</f>
        <v>4.4367073890600954</v>
      </c>
      <c r="D109" s="158">
        <f t="shared" si="3"/>
        <v>5.4775006215618447</v>
      </c>
      <c r="E109" s="158">
        <f t="shared" si="3"/>
        <v>3.6578999763309725</v>
      </c>
      <c r="F109" s="158">
        <f t="shared" si="3"/>
        <v>5.5910661781785347</v>
      </c>
      <c r="G109" s="158">
        <f t="shared" si="3"/>
        <v>21.988700853376873</v>
      </c>
      <c r="H109" s="158">
        <f t="shared" si="3"/>
        <v>9.6431191357708332</v>
      </c>
      <c r="I109" s="158">
        <f t="shared" si="3"/>
        <v>2.321013532013422</v>
      </c>
      <c r="J109" s="158">
        <f t="shared" si="3"/>
        <v>0.1711632031286609</v>
      </c>
      <c r="K109" s="158">
        <f t="shared" si="3"/>
        <v>72.63787412841009</v>
      </c>
      <c r="L109" s="158">
        <f t="shared" si="3"/>
        <v>3.9079346858374922</v>
      </c>
      <c r="M109" s="158">
        <f t="shared" si="3"/>
        <v>10.041817608241708</v>
      </c>
      <c r="N109" s="158">
        <f t="shared" si="3"/>
        <v>202.0901252394541</v>
      </c>
      <c r="O109" s="158">
        <f t="shared" si="3"/>
        <v>0</v>
      </c>
      <c r="P109" s="158">
        <f t="shared" si="3"/>
        <v>0.15820026726084957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H19" sqref="H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1204</v>
      </c>
      <c r="B9" s="100">
        <v>14.48</v>
      </c>
      <c r="C9" s="100">
        <v>13.14</v>
      </c>
      <c r="D9" s="100">
        <v>18.48</v>
      </c>
      <c r="E9" s="100">
        <v>6.76</v>
      </c>
      <c r="F9" s="100">
        <v>2</v>
      </c>
      <c r="G9" s="100">
        <v>86.4</v>
      </c>
      <c r="H9" s="100">
        <v>41.39</v>
      </c>
      <c r="I9" s="100">
        <v>10.77</v>
      </c>
      <c r="J9" s="100">
        <v>0.14000000000000001</v>
      </c>
      <c r="K9" s="100">
        <v>265.05</v>
      </c>
      <c r="L9" s="100">
        <v>21.92</v>
      </c>
      <c r="M9" s="100">
        <v>37</v>
      </c>
      <c r="N9" s="100">
        <v>1.8</v>
      </c>
      <c r="O9" s="100">
        <v>0</v>
      </c>
      <c r="P9" s="100">
        <v>0.8</v>
      </c>
      <c r="Q9" s="100">
        <v>9.32</v>
      </c>
      <c r="R9" s="6"/>
      <c r="S9" s="6"/>
      <c r="T9" s="156"/>
      <c r="U9" s="6"/>
    </row>
    <row r="10" spans="1:21" customFormat="1">
      <c r="A10" s="201" t="s">
        <v>1205</v>
      </c>
      <c r="B10" s="100">
        <v>16.66</v>
      </c>
      <c r="C10" s="100">
        <v>13.75</v>
      </c>
      <c r="D10" s="100">
        <v>20.54</v>
      </c>
      <c r="E10" s="100">
        <v>6.62</v>
      </c>
      <c r="F10" s="100">
        <v>2</v>
      </c>
      <c r="G10" s="100">
        <v>87.84</v>
      </c>
      <c r="H10" s="100">
        <v>43.92</v>
      </c>
      <c r="I10" s="100">
        <v>10.86</v>
      </c>
      <c r="J10" s="100">
        <v>7.0000000000000007E-2</v>
      </c>
      <c r="K10" s="100">
        <v>181.05</v>
      </c>
      <c r="L10" s="100">
        <v>18.12</v>
      </c>
      <c r="M10" s="100">
        <v>27.56</v>
      </c>
      <c r="N10" s="100">
        <v>2</v>
      </c>
      <c r="O10" s="100">
        <v>0</v>
      </c>
      <c r="P10" s="100">
        <v>0.81</v>
      </c>
      <c r="Q10" s="100">
        <v>9.32</v>
      </c>
      <c r="R10" s="6"/>
      <c r="S10" s="6"/>
      <c r="T10" s="156"/>
      <c r="U10" s="6"/>
    </row>
    <row r="11" spans="1:21" customFormat="1">
      <c r="A11" s="201" t="s">
        <v>1206</v>
      </c>
      <c r="B11" s="100">
        <v>18.39</v>
      </c>
      <c r="C11" s="100">
        <v>14.19</v>
      </c>
      <c r="D11" s="100">
        <v>22.16</v>
      </c>
      <c r="E11" s="100">
        <v>6.72</v>
      </c>
      <c r="F11" s="100">
        <v>2</v>
      </c>
      <c r="G11" s="100">
        <v>89.63</v>
      </c>
      <c r="H11" s="100">
        <v>45.63</v>
      </c>
      <c r="I11" s="100">
        <v>11.04</v>
      </c>
      <c r="J11" s="100">
        <v>0.05</v>
      </c>
      <c r="K11" s="100">
        <v>15.52</v>
      </c>
      <c r="L11" s="100">
        <v>16.8</v>
      </c>
      <c r="M11" s="100">
        <v>24.16</v>
      </c>
      <c r="N11" s="100">
        <v>1.9</v>
      </c>
      <c r="O11" s="100">
        <v>0</v>
      </c>
      <c r="P11" s="100">
        <v>0.82</v>
      </c>
      <c r="Q11" s="100">
        <v>9.32</v>
      </c>
      <c r="R11" s="6"/>
      <c r="S11" s="6"/>
      <c r="T11" s="156"/>
      <c r="U11" s="6"/>
    </row>
    <row r="12" spans="1:21" customFormat="1">
      <c r="A12" s="201" t="s">
        <v>1207</v>
      </c>
      <c r="B12" s="100">
        <v>19.559999999999999</v>
      </c>
      <c r="C12" s="100">
        <v>14.49</v>
      </c>
      <c r="D12" s="100">
        <v>23.26</v>
      </c>
      <c r="E12" s="100">
        <v>6.67</v>
      </c>
      <c r="F12" s="100">
        <v>2</v>
      </c>
      <c r="G12" s="100">
        <v>89.63</v>
      </c>
      <c r="H12" s="100">
        <v>45.63</v>
      </c>
      <c r="I12" s="100">
        <v>11.31</v>
      </c>
      <c r="J12" s="100">
        <v>7.0000000000000007E-2</v>
      </c>
      <c r="K12" s="100">
        <v>110.5</v>
      </c>
      <c r="L12" s="100">
        <v>12.7</v>
      </c>
      <c r="M12" s="100">
        <v>13.9</v>
      </c>
      <c r="N12" s="100">
        <v>1.8</v>
      </c>
      <c r="O12" s="100">
        <v>0</v>
      </c>
      <c r="P12" s="100">
        <v>0.83</v>
      </c>
      <c r="Q12" s="100">
        <v>9.32</v>
      </c>
      <c r="R12" s="6"/>
      <c r="S12" s="6"/>
      <c r="T12" s="156"/>
      <c r="U12" s="6"/>
    </row>
    <row r="13" spans="1:21" customFormat="1">
      <c r="A13" s="201" t="s">
        <v>1208</v>
      </c>
      <c r="B13" s="100">
        <v>20</v>
      </c>
      <c r="C13" s="100">
        <v>14.62</v>
      </c>
      <c r="D13" s="100">
        <v>23.68</v>
      </c>
      <c r="E13" s="100">
        <v>6.85</v>
      </c>
      <c r="F13" s="100">
        <v>2</v>
      </c>
      <c r="G13" s="100">
        <v>89.63</v>
      </c>
      <c r="H13" s="100">
        <v>45.63</v>
      </c>
      <c r="I13" s="100">
        <v>11.65</v>
      </c>
      <c r="J13" s="100">
        <v>0.08</v>
      </c>
      <c r="K13" s="100">
        <v>114.31</v>
      </c>
      <c r="L13" s="100">
        <v>14.52</v>
      </c>
      <c r="M13" s="100">
        <v>18.52</v>
      </c>
      <c r="N13" s="100">
        <v>2</v>
      </c>
      <c r="O13" s="100">
        <v>0</v>
      </c>
      <c r="P13" s="100">
        <v>0.84</v>
      </c>
      <c r="Q13" s="100">
        <v>9.32</v>
      </c>
      <c r="R13" s="6"/>
      <c r="S13" s="6"/>
      <c r="T13" s="156"/>
      <c r="U13" s="6"/>
    </row>
    <row r="14" spans="1:21" customFormat="1">
      <c r="A14" s="201" t="s">
        <v>1209</v>
      </c>
      <c r="B14" s="100">
        <v>20.2</v>
      </c>
      <c r="C14" s="100">
        <v>14.74</v>
      </c>
      <c r="D14" s="100">
        <v>23.9</v>
      </c>
      <c r="E14" s="100">
        <v>6.74</v>
      </c>
      <c r="F14" s="100">
        <v>2</v>
      </c>
      <c r="G14" s="100">
        <v>91.32</v>
      </c>
      <c r="H14" s="100">
        <v>46.54</v>
      </c>
      <c r="I14" s="100">
        <v>12.01</v>
      </c>
      <c r="J14" s="100">
        <v>0.15</v>
      </c>
      <c r="K14" s="100">
        <v>177.02</v>
      </c>
      <c r="L14" s="100">
        <v>18.77</v>
      </c>
      <c r="M14" s="100">
        <v>29.22</v>
      </c>
      <c r="N14" s="100">
        <v>2.1</v>
      </c>
      <c r="O14" s="100">
        <v>0</v>
      </c>
      <c r="P14" s="100">
        <v>0.86</v>
      </c>
      <c r="Q14" s="100">
        <v>9.32</v>
      </c>
      <c r="R14" s="6"/>
      <c r="S14" s="6"/>
      <c r="T14" s="156"/>
      <c r="U14" s="6"/>
    </row>
    <row r="15" spans="1:21" customFormat="1">
      <c r="A15" s="201" t="s">
        <v>1210</v>
      </c>
      <c r="B15" s="100">
        <v>20.350000000000001</v>
      </c>
      <c r="C15" s="100">
        <v>14.72</v>
      </c>
      <c r="D15" s="100">
        <v>24.01</v>
      </c>
      <c r="E15" s="100">
        <v>7.11</v>
      </c>
      <c r="F15" s="100">
        <v>2</v>
      </c>
      <c r="G15" s="100">
        <v>93.44</v>
      </c>
      <c r="H15" s="100">
        <v>48.09</v>
      </c>
      <c r="I15" s="100">
        <v>12.34</v>
      </c>
      <c r="J15" s="100">
        <v>0.15</v>
      </c>
      <c r="K15" s="100">
        <v>147.97999999999999</v>
      </c>
      <c r="L15" s="100">
        <v>14.04</v>
      </c>
      <c r="M15" s="100">
        <v>17.32</v>
      </c>
      <c r="N15" s="100">
        <v>2.1</v>
      </c>
      <c r="O15" s="100">
        <v>0</v>
      </c>
      <c r="P15" s="100">
        <v>0.86</v>
      </c>
      <c r="Q15" s="100">
        <v>9.32</v>
      </c>
      <c r="R15" s="6"/>
      <c r="S15" s="6"/>
      <c r="T15" s="156"/>
      <c r="U15" s="6"/>
    </row>
    <row r="16" spans="1:21" customFormat="1">
      <c r="A16" s="201" t="s">
        <v>1211</v>
      </c>
      <c r="B16" s="100">
        <v>20.43</v>
      </c>
      <c r="C16" s="100">
        <v>14.66</v>
      </c>
      <c r="D16" s="100">
        <v>24.05</v>
      </c>
      <c r="E16" s="100">
        <v>7.15</v>
      </c>
      <c r="F16" s="100">
        <v>2</v>
      </c>
      <c r="G16" s="100">
        <v>93.44</v>
      </c>
      <c r="H16" s="100">
        <v>48.09</v>
      </c>
      <c r="I16" s="100">
        <v>12.63</v>
      </c>
      <c r="J16" s="100">
        <v>0.16</v>
      </c>
      <c r="K16" s="100">
        <v>176.59</v>
      </c>
      <c r="L16" s="100">
        <v>15.97</v>
      </c>
      <c r="M16" s="100">
        <v>22.22</v>
      </c>
      <c r="N16" s="100">
        <v>2</v>
      </c>
      <c r="O16" s="100">
        <v>0</v>
      </c>
      <c r="P16" s="100">
        <v>0.88</v>
      </c>
      <c r="Q16" s="100">
        <v>9.32</v>
      </c>
      <c r="R16" s="6"/>
      <c r="S16" s="6"/>
      <c r="T16" s="156"/>
      <c r="U16" s="6"/>
    </row>
    <row r="17" spans="1:21" customFormat="1">
      <c r="A17" s="201" t="s">
        <v>1212</v>
      </c>
      <c r="B17" s="100">
        <v>20.350000000000001</v>
      </c>
      <c r="C17" s="100">
        <v>14.63</v>
      </c>
      <c r="D17" s="100">
        <v>23.96</v>
      </c>
      <c r="E17" s="100">
        <v>5.72</v>
      </c>
      <c r="F17" s="100">
        <v>2</v>
      </c>
      <c r="G17" s="100">
        <v>93.44</v>
      </c>
      <c r="H17" s="100">
        <v>48.09</v>
      </c>
      <c r="I17" s="100">
        <v>12.95</v>
      </c>
      <c r="J17" s="100">
        <v>0.08</v>
      </c>
      <c r="K17" s="100">
        <v>160.9</v>
      </c>
      <c r="L17" s="100">
        <v>14.13</v>
      </c>
      <c r="M17" s="100">
        <v>17.59</v>
      </c>
      <c r="N17" s="100">
        <v>2.1</v>
      </c>
      <c r="O17" s="100">
        <v>0</v>
      </c>
      <c r="P17" s="100">
        <v>0.89</v>
      </c>
      <c r="Q17" s="100">
        <v>9.32</v>
      </c>
      <c r="R17" s="6"/>
      <c r="S17" s="6"/>
      <c r="T17" s="156"/>
      <c r="U17" s="6"/>
    </row>
    <row r="18" spans="1:21" customFormat="1">
      <c r="A18" s="201" t="s">
        <v>1213</v>
      </c>
      <c r="B18" s="100">
        <v>20.07</v>
      </c>
      <c r="C18" s="100">
        <v>14.41</v>
      </c>
      <c r="D18" s="100">
        <v>23.62</v>
      </c>
      <c r="E18" s="100">
        <v>6.52</v>
      </c>
      <c r="F18" s="100">
        <v>2</v>
      </c>
      <c r="G18" s="100">
        <v>95.21</v>
      </c>
      <c r="H18" s="100">
        <v>48.96</v>
      </c>
      <c r="I18" s="100">
        <v>13.23</v>
      </c>
      <c r="J18" s="100">
        <v>0.11</v>
      </c>
      <c r="K18" s="100">
        <v>234.85</v>
      </c>
      <c r="L18" s="100">
        <v>21.07</v>
      </c>
      <c r="M18" s="100">
        <v>34.979999999999997</v>
      </c>
      <c r="N18" s="100">
        <v>2.1</v>
      </c>
      <c r="O18" s="100">
        <v>0</v>
      </c>
      <c r="P18" s="100">
        <v>0.9</v>
      </c>
      <c r="Q18" s="100">
        <v>9.32</v>
      </c>
      <c r="R18" s="6"/>
      <c r="S18" s="6"/>
      <c r="T18" s="156"/>
      <c r="U18" s="6"/>
    </row>
    <row r="19" spans="1:21" customFormat="1">
      <c r="A19" s="201" t="s">
        <v>1214</v>
      </c>
      <c r="B19" s="100">
        <v>19.84</v>
      </c>
      <c r="C19" s="100">
        <v>14.2</v>
      </c>
      <c r="D19" s="100">
        <v>23.33</v>
      </c>
      <c r="E19" s="100">
        <v>6.62</v>
      </c>
      <c r="F19" s="100">
        <v>2</v>
      </c>
      <c r="G19" s="100">
        <v>97.42</v>
      </c>
      <c r="H19" s="100">
        <v>49.55</v>
      </c>
      <c r="I19" s="100">
        <v>13.43</v>
      </c>
      <c r="J19" s="100">
        <v>0.09</v>
      </c>
      <c r="K19" s="100">
        <v>237.42</v>
      </c>
      <c r="L19" s="100">
        <v>21.35</v>
      </c>
      <c r="M19" s="100">
        <v>35.69</v>
      </c>
      <c r="N19" s="100">
        <v>2</v>
      </c>
      <c r="O19" s="100">
        <v>0</v>
      </c>
      <c r="P19" s="100">
        <v>0.91</v>
      </c>
      <c r="Q19" s="100">
        <v>9.32</v>
      </c>
      <c r="R19" s="6"/>
      <c r="S19" s="6"/>
      <c r="T19" s="156"/>
      <c r="U19" s="6"/>
    </row>
    <row r="20" spans="1:21" customFormat="1">
      <c r="A20" s="201" t="s">
        <v>1215</v>
      </c>
      <c r="B20" s="100">
        <v>19.579999999999998</v>
      </c>
      <c r="C20" s="100">
        <v>13.92</v>
      </c>
      <c r="D20" s="100">
        <v>22.97</v>
      </c>
      <c r="E20" s="100">
        <v>6.42</v>
      </c>
      <c r="F20" s="100">
        <v>2</v>
      </c>
      <c r="G20" s="100">
        <v>97.42</v>
      </c>
      <c r="H20" s="100">
        <v>49.55</v>
      </c>
      <c r="I20" s="100">
        <v>13.57</v>
      </c>
      <c r="J20" s="100">
        <v>7.0000000000000007E-2</v>
      </c>
      <c r="K20" s="100">
        <v>195.01</v>
      </c>
      <c r="L20" s="100">
        <v>17.309999999999999</v>
      </c>
      <c r="M20" s="100">
        <v>25.63</v>
      </c>
      <c r="N20" s="100">
        <v>1.9</v>
      </c>
      <c r="O20" s="100">
        <v>0</v>
      </c>
      <c r="P20" s="100">
        <v>0.91</v>
      </c>
      <c r="Q20" s="100">
        <v>9.32</v>
      </c>
      <c r="R20" s="6"/>
      <c r="S20" s="6"/>
      <c r="T20" s="156"/>
      <c r="U20" s="6"/>
    </row>
    <row r="21" spans="1:21" customFormat="1">
      <c r="A21" s="201" t="s">
        <v>1216</v>
      </c>
      <c r="B21" s="100">
        <v>19.239999999999998</v>
      </c>
      <c r="C21" s="100">
        <v>13.82</v>
      </c>
      <c r="D21" s="100">
        <v>22.65</v>
      </c>
      <c r="E21" s="100">
        <v>6.29</v>
      </c>
      <c r="F21" s="100">
        <v>2</v>
      </c>
      <c r="G21" s="100">
        <v>97.42</v>
      </c>
      <c r="H21" s="100">
        <v>49.55</v>
      </c>
      <c r="I21" s="100">
        <v>13.7</v>
      </c>
      <c r="J21" s="100">
        <v>0.06</v>
      </c>
      <c r="K21" s="100">
        <v>229.06</v>
      </c>
      <c r="L21" s="100">
        <v>20.53</v>
      </c>
      <c r="M21" s="100">
        <v>33.619999999999997</v>
      </c>
      <c r="N21" s="100">
        <v>1.8</v>
      </c>
      <c r="O21" s="100">
        <v>0</v>
      </c>
      <c r="P21" s="100">
        <v>0.93</v>
      </c>
      <c r="Q21" s="100">
        <v>9.32</v>
      </c>
      <c r="R21" s="6"/>
      <c r="S21" s="6"/>
      <c r="T21" s="156"/>
      <c r="U21" s="6"/>
    </row>
    <row r="22" spans="1:21" customFormat="1">
      <c r="A22" s="201" t="s">
        <v>1217</v>
      </c>
      <c r="B22" s="100">
        <v>18.96</v>
      </c>
      <c r="C22" s="100">
        <v>13.55</v>
      </c>
      <c r="D22" s="100">
        <v>22.29</v>
      </c>
      <c r="E22" s="100">
        <v>6.45</v>
      </c>
      <c r="F22" s="100">
        <v>2</v>
      </c>
      <c r="G22" s="100">
        <v>97.41</v>
      </c>
      <c r="H22" s="100">
        <v>49.98</v>
      </c>
      <c r="I22" s="100">
        <v>13.85</v>
      </c>
      <c r="J22" s="100">
        <v>0.08</v>
      </c>
      <c r="K22" s="100">
        <v>150.16999999999999</v>
      </c>
      <c r="L22" s="100">
        <v>14.36</v>
      </c>
      <c r="M22" s="100">
        <v>18.2</v>
      </c>
      <c r="N22" s="100">
        <v>1.9</v>
      </c>
      <c r="O22" s="100">
        <v>0</v>
      </c>
      <c r="P22" s="100">
        <v>0.94</v>
      </c>
      <c r="Q22" s="100">
        <v>9.32</v>
      </c>
      <c r="R22" s="6"/>
      <c r="S22" s="6"/>
      <c r="T22" s="156"/>
      <c r="U22" s="6"/>
    </row>
    <row r="23" spans="1:21" customFormat="1">
      <c r="A23" s="201" t="s">
        <v>1218</v>
      </c>
      <c r="B23" s="100">
        <v>18.760000000000002</v>
      </c>
      <c r="C23" s="100">
        <v>13.32</v>
      </c>
      <c r="D23" s="100">
        <v>22</v>
      </c>
      <c r="E23" s="100">
        <v>6.77</v>
      </c>
      <c r="F23" s="100">
        <v>2</v>
      </c>
      <c r="G23" s="100">
        <v>97.39</v>
      </c>
      <c r="H23" s="100">
        <v>50.28</v>
      </c>
      <c r="I23" s="100">
        <v>13.95</v>
      </c>
      <c r="J23" s="100">
        <v>0.08</v>
      </c>
      <c r="K23" s="100">
        <v>130.88</v>
      </c>
      <c r="L23" s="100">
        <v>14.78</v>
      </c>
      <c r="M23" s="100">
        <v>19.22</v>
      </c>
      <c r="N23" s="100">
        <v>1.8</v>
      </c>
      <c r="O23" s="100">
        <v>0</v>
      </c>
      <c r="P23" s="100">
        <v>0.95</v>
      </c>
      <c r="Q23" s="100">
        <v>9.32</v>
      </c>
      <c r="R23" s="6"/>
      <c r="S23" s="6"/>
      <c r="T23" s="156"/>
      <c r="U23" s="6"/>
    </row>
    <row r="24" spans="1:21" customFormat="1">
      <c r="A24" s="201" t="s">
        <v>1219</v>
      </c>
      <c r="B24" s="100">
        <v>18.89</v>
      </c>
      <c r="C24" s="100">
        <v>13.29</v>
      </c>
      <c r="D24" s="100">
        <v>22.09</v>
      </c>
      <c r="E24" s="100">
        <v>6.5</v>
      </c>
      <c r="F24" s="100">
        <v>2</v>
      </c>
      <c r="G24" s="100">
        <v>97.39</v>
      </c>
      <c r="H24" s="100">
        <v>50.28</v>
      </c>
      <c r="I24" s="100">
        <v>14.03</v>
      </c>
      <c r="J24" s="100">
        <v>0.09</v>
      </c>
      <c r="K24" s="100">
        <v>128.27000000000001</v>
      </c>
      <c r="L24" s="100">
        <v>13.04</v>
      </c>
      <c r="M24" s="100">
        <v>14.91</v>
      </c>
      <c r="N24" s="100">
        <v>1.7</v>
      </c>
      <c r="O24" s="100">
        <v>0</v>
      </c>
      <c r="P24" s="100">
        <v>0.98</v>
      </c>
      <c r="Q24" s="100">
        <v>9.32</v>
      </c>
      <c r="R24" s="6"/>
      <c r="S24" s="6"/>
      <c r="T24" s="156"/>
      <c r="U24" s="6"/>
    </row>
    <row r="25" spans="1:21" customFormat="1">
      <c r="A25" s="201" t="s">
        <v>1220</v>
      </c>
      <c r="B25" s="100">
        <v>20.32</v>
      </c>
      <c r="C25" s="100">
        <v>13.56</v>
      </c>
      <c r="D25" s="100">
        <v>23.39</v>
      </c>
      <c r="E25" s="100">
        <v>6.66</v>
      </c>
      <c r="F25" s="100">
        <v>2</v>
      </c>
      <c r="G25" s="100">
        <v>97.39</v>
      </c>
      <c r="H25" s="100">
        <v>50.28</v>
      </c>
      <c r="I25" s="100">
        <v>14.12</v>
      </c>
      <c r="J25" s="100">
        <v>0.06</v>
      </c>
      <c r="K25" s="100">
        <v>146.22</v>
      </c>
      <c r="L25" s="100">
        <v>14.22</v>
      </c>
      <c r="M25" s="100">
        <v>17.850000000000001</v>
      </c>
      <c r="N25" s="100">
        <v>1.8</v>
      </c>
      <c r="O25" s="100">
        <v>0</v>
      </c>
      <c r="P25" s="100">
        <v>1.01</v>
      </c>
      <c r="Q25" s="100">
        <v>9.32</v>
      </c>
      <c r="R25" s="6"/>
      <c r="S25" s="6"/>
      <c r="T25" s="156"/>
      <c r="U25" s="6"/>
    </row>
    <row r="26" spans="1:21" customFormat="1">
      <c r="A26" s="201" t="s">
        <v>1221</v>
      </c>
      <c r="B26" s="100">
        <v>22.42</v>
      </c>
      <c r="C26" s="100">
        <v>13.85</v>
      </c>
      <c r="D26" s="100">
        <v>25.22</v>
      </c>
      <c r="E26" s="100">
        <v>6.54</v>
      </c>
      <c r="F26" s="100">
        <v>2</v>
      </c>
      <c r="G26" s="100">
        <v>102.58</v>
      </c>
      <c r="H26" s="100">
        <v>52.09</v>
      </c>
      <c r="I26" s="100">
        <v>14.27</v>
      </c>
      <c r="J26" s="100">
        <v>0.04</v>
      </c>
      <c r="K26" s="100">
        <v>61.94</v>
      </c>
      <c r="L26" s="100">
        <v>14.34</v>
      </c>
      <c r="M26" s="100">
        <v>17.91</v>
      </c>
      <c r="N26" s="100">
        <v>1.7</v>
      </c>
      <c r="O26" s="100">
        <v>0</v>
      </c>
      <c r="P26" s="100">
        <v>1.04</v>
      </c>
      <c r="Q26" s="100">
        <v>9.32</v>
      </c>
      <c r="R26" s="6"/>
      <c r="S26" s="6"/>
      <c r="T26" s="156"/>
      <c r="U26" s="6"/>
    </row>
    <row r="27" spans="1:21" customFormat="1">
      <c r="A27" s="201" t="s">
        <v>1222</v>
      </c>
      <c r="B27" s="100">
        <v>23.79</v>
      </c>
      <c r="C27" s="100">
        <v>13.97</v>
      </c>
      <c r="D27" s="100">
        <v>26.38</v>
      </c>
      <c r="E27" s="100">
        <v>6.63</v>
      </c>
      <c r="F27" s="100">
        <v>2</v>
      </c>
      <c r="G27" s="100">
        <v>109.07</v>
      </c>
      <c r="H27" s="100">
        <v>53.32</v>
      </c>
      <c r="I27" s="100">
        <v>14.42</v>
      </c>
      <c r="J27" s="100">
        <v>0.16</v>
      </c>
      <c r="K27" s="100">
        <v>53.04</v>
      </c>
      <c r="L27" s="100">
        <v>9.67</v>
      </c>
      <c r="M27" s="100">
        <v>6.11</v>
      </c>
      <c r="N27" s="100">
        <v>1.7</v>
      </c>
      <c r="O27" s="100">
        <v>0</v>
      </c>
      <c r="P27" s="100">
        <v>1.05</v>
      </c>
      <c r="Q27" s="100">
        <v>9.32</v>
      </c>
      <c r="R27" s="6"/>
      <c r="S27" s="6"/>
      <c r="T27" s="156"/>
      <c r="U27" s="6"/>
    </row>
    <row r="28" spans="1:21" customFormat="1">
      <c r="A28" s="201" t="s">
        <v>1223</v>
      </c>
      <c r="B28" s="100">
        <v>24.29</v>
      </c>
      <c r="C28" s="100">
        <v>13.83</v>
      </c>
      <c r="D28" s="100">
        <v>26.7</v>
      </c>
      <c r="E28" s="100">
        <v>6.76</v>
      </c>
      <c r="F28" s="100">
        <v>2</v>
      </c>
      <c r="G28" s="100">
        <v>109.07</v>
      </c>
      <c r="H28" s="100">
        <v>53.32</v>
      </c>
      <c r="I28" s="100">
        <v>14.51</v>
      </c>
      <c r="J28" s="100">
        <v>0.06</v>
      </c>
      <c r="K28" s="100">
        <v>20.51</v>
      </c>
      <c r="L28" s="100">
        <v>18.43</v>
      </c>
      <c r="M28" s="100">
        <v>28.01</v>
      </c>
      <c r="N28" s="100">
        <v>1.8</v>
      </c>
      <c r="O28" s="100">
        <v>0</v>
      </c>
      <c r="P28" s="100">
        <v>1.06</v>
      </c>
      <c r="Q28" s="100">
        <v>9.32</v>
      </c>
      <c r="R28" s="6"/>
      <c r="S28" s="6"/>
      <c r="T28" s="156"/>
      <c r="U28" s="6"/>
    </row>
    <row r="29" spans="1:21" customFormat="1">
      <c r="A29" s="201" t="s">
        <v>1224</v>
      </c>
      <c r="B29" s="100">
        <v>24.44</v>
      </c>
      <c r="C29" s="100">
        <v>13.88</v>
      </c>
      <c r="D29" s="100">
        <v>26.85</v>
      </c>
      <c r="E29" s="100">
        <v>6.76</v>
      </c>
      <c r="F29" s="100">
        <v>2</v>
      </c>
      <c r="G29" s="100">
        <v>109.07</v>
      </c>
      <c r="H29" s="100">
        <v>53.32</v>
      </c>
      <c r="I29" s="100">
        <v>14.65</v>
      </c>
      <c r="J29" s="100">
        <v>7.0000000000000007E-2</v>
      </c>
      <c r="K29" s="100">
        <v>70.53</v>
      </c>
      <c r="L29" s="100">
        <v>12.2</v>
      </c>
      <c r="M29" s="100">
        <v>12.45</v>
      </c>
      <c r="N29" s="100">
        <v>2</v>
      </c>
      <c r="O29" s="100">
        <v>0</v>
      </c>
      <c r="P29" s="100">
        <v>1.07</v>
      </c>
      <c r="Q29" s="100">
        <v>9.32</v>
      </c>
      <c r="R29" s="6"/>
      <c r="S29" s="6"/>
      <c r="T29" s="156"/>
      <c r="U29" s="6"/>
    </row>
    <row r="30" spans="1:21" customFormat="1">
      <c r="A30" s="201" t="s">
        <v>1225</v>
      </c>
      <c r="B30" s="100">
        <v>24.25</v>
      </c>
      <c r="C30" s="100">
        <v>13.83</v>
      </c>
      <c r="D30" s="100">
        <v>26.67</v>
      </c>
      <c r="E30" s="100">
        <v>7.3</v>
      </c>
      <c r="F30" s="100">
        <v>2</v>
      </c>
      <c r="G30" s="100">
        <v>111.41</v>
      </c>
      <c r="H30" s="100">
        <v>53.02</v>
      </c>
      <c r="I30" s="100">
        <v>14.73</v>
      </c>
      <c r="J30" s="100">
        <v>0.14000000000000001</v>
      </c>
      <c r="K30" s="100">
        <v>165.12</v>
      </c>
      <c r="L30" s="100">
        <v>15.94</v>
      </c>
      <c r="M30" s="100">
        <v>21.89</v>
      </c>
      <c r="N30" s="100">
        <v>2</v>
      </c>
      <c r="O30" s="100">
        <v>0</v>
      </c>
      <c r="P30" s="100">
        <v>1.06</v>
      </c>
      <c r="Q30" s="100">
        <v>9.32</v>
      </c>
      <c r="R30" s="6"/>
      <c r="S30" s="6"/>
      <c r="T30" s="156"/>
      <c r="U30" s="6"/>
    </row>
    <row r="31" spans="1:21" customFormat="1">
      <c r="A31" s="201" t="s">
        <v>1226</v>
      </c>
      <c r="B31" s="100">
        <v>23.98</v>
      </c>
      <c r="C31" s="100">
        <v>13.86</v>
      </c>
      <c r="D31" s="100">
        <v>26.48</v>
      </c>
      <c r="E31" s="100">
        <v>7.13</v>
      </c>
      <c r="F31" s="100">
        <v>2</v>
      </c>
      <c r="G31" s="100">
        <v>114.34</v>
      </c>
      <c r="H31" s="100">
        <v>52.82</v>
      </c>
      <c r="I31" s="100">
        <v>14.66</v>
      </c>
      <c r="J31" s="100">
        <v>0.1</v>
      </c>
      <c r="K31" s="100">
        <v>165.93</v>
      </c>
      <c r="L31" s="100">
        <v>16.14</v>
      </c>
      <c r="M31" s="100">
        <v>22.43</v>
      </c>
      <c r="N31" s="100">
        <v>2.1</v>
      </c>
      <c r="O31" s="100">
        <v>0</v>
      </c>
      <c r="P31" s="100">
        <v>1.06</v>
      </c>
      <c r="Q31" s="100">
        <v>9.32</v>
      </c>
      <c r="R31" s="6"/>
      <c r="S31" s="6"/>
      <c r="T31" s="156"/>
      <c r="U31" s="6"/>
    </row>
    <row r="32" spans="1:21" customFormat="1">
      <c r="A32" s="201" t="s">
        <v>1227</v>
      </c>
      <c r="B32" s="100">
        <v>23.97</v>
      </c>
      <c r="C32" s="100">
        <v>13.91</v>
      </c>
      <c r="D32" s="100">
        <v>26.5</v>
      </c>
      <c r="E32" s="100">
        <v>6.95</v>
      </c>
      <c r="F32" s="100">
        <v>2</v>
      </c>
      <c r="G32" s="100">
        <v>114.34</v>
      </c>
      <c r="H32" s="100">
        <v>52.82</v>
      </c>
      <c r="I32" s="100">
        <v>14.58</v>
      </c>
      <c r="J32" s="100">
        <v>0.12</v>
      </c>
      <c r="K32" s="100">
        <v>160.81</v>
      </c>
      <c r="L32" s="100">
        <v>15.71</v>
      </c>
      <c r="M32" s="100">
        <v>21.37</v>
      </c>
      <c r="N32" s="100">
        <v>2.1</v>
      </c>
      <c r="O32" s="100">
        <v>0</v>
      </c>
      <c r="P32" s="100">
        <v>1.05</v>
      </c>
      <c r="Q32" s="100">
        <v>9.32</v>
      </c>
      <c r="R32" s="6"/>
      <c r="S32" s="6"/>
      <c r="T32" s="156"/>
      <c r="U32" s="6"/>
    </row>
    <row r="33" spans="1:21" customFormat="1">
      <c r="A33" s="201" t="s">
        <v>1228</v>
      </c>
      <c r="B33" s="100">
        <v>24.42</v>
      </c>
      <c r="C33" s="100">
        <v>14.09</v>
      </c>
      <c r="D33" s="100">
        <v>26.95</v>
      </c>
      <c r="E33" s="100">
        <v>7.05</v>
      </c>
      <c r="F33" s="100">
        <v>2</v>
      </c>
      <c r="G33" s="100">
        <v>114.34</v>
      </c>
      <c r="H33" s="100">
        <v>52.82</v>
      </c>
      <c r="I33" s="100">
        <v>14.48</v>
      </c>
      <c r="J33" s="100">
        <v>0.12</v>
      </c>
      <c r="K33" s="100">
        <v>142.63999999999999</v>
      </c>
      <c r="L33" s="100">
        <v>14.33</v>
      </c>
      <c r="M33" s="100">
        <v>17.93</v>
      </c>
      <c r="N33" s="100">
        <v>3.1</v>
      </c>
      <c r="O33" s="100">
        <v>0</v>
      </c>
      <c r="P33" s="100">
        <v>1.05</v>
      </c>
      <c r="Q33" s="100">
        <v>9.32</v>
      </c>
      <c r="R33" s="6"/>
      <c r="S33" s="6"/>
      <c r="T33" s="156"/>
      <c r="U33" s="6"/>
    </row>
    <row r="34" spans="1:21" customFormat="1">
      <c r="A34" s="201" t="s">
        <v>1229</v>
      </c>
      <c r="B34" s="100">
        <v>24.77</v>
      </c>
      <c r="C34" s="100">
        <v>14.22</v>
      </c>
      <c r="D34" s="100">
        <v>27.29</v>
      </c>
      <c r="E34" s="100">
        <v>6.81</v>
      </c>
      <c r="F34" s="100">
        <v>2</v>
      </c>
      <c r="G34" s="100">
        <v>113.72</v>
      </c>
      <c r="H34" s="100">
        <v>54.72</v>
      </c>
      <c r="I34" s="100">
        <v>14.32</v>
      </c>
      <c r="J34" s="100">
        <v>0.14000000000000001</v>
      </c>
      <c r="K34" s="100">
        <v>160.71</v>
      </c>
      <c r="L34" s="100">
        <v>15.71</v>
      </c>
      <c r="M34" s="100">
        <v>21.24</v>
      </c>
      <c r="N34" s="100">
        <v>7.3</v>
      </c>
      <c r="O34" s="100">
        <v>0</v>
      </c>
      <c r="P34" s="100">
        <v>1.05</v>
      </c>
      <c r="Q34" s="100">
        <v>9.32</v>
      </c>
      <c r="R34" s="6"/>
      <c r="S34" s="6"/>
      <c r="T34" s="156"/>
      <c r="U34" s="6"/>
    </row>
    <row r="35" spans="1:21" customFormat="1">
      <c r="A35" s="201" t="s">
        <v>1230</v>
      </c>
      <c r="B35" s="100">
        <v>24.98</v>
      </c>
      <c r="C35" s="100">
        <v>14.24</v>
      </c>
      <c r="D35" s="100">
        <v>27.47</v>
      </c>
      <c r="E35" s="100">
        <v>6.88</v>
      </c>
      <c r="F35" s="100">
        <v>2</v>
      </c>
      <c r="G35" s="100">
        <v>112.94</v>
      </c>
      <c r="H35" s="100">
        <v>56</v>
      </c>
      <c r="I35" s="100">
        <v>14.21</v>
      </c>
      <c r="J35" s="100">
        <v>0.12</v>
      </c>
      <c r="K35" s="100">
        <v>157.19999999999999</v>
      </c>
      <c r="L35" s="100">
        <v>15.9</v>
      </c>
      <c r="M35" s="100">
        <v>21.54</v>
      </c>
      <c r="N35" s="100">
        <v>14.1</v>
      </c>
      <c r="O35" s="100">
        <v>0</v>
      </c>
      <c r="P35" s="100">
        <v>1.04</v>
      </c>
      <c r="Q35" s="100">
        <v>9.32</v>
      </c>
      <c r="R35" s="6"/>
      <c r="S35" s="6"/>
      <c r="T35" s="156"/>
      <c r="U35" s="6"/>
    </row>
    <row r="36" spans="1:21" customFormat="1">
      <c r="A36" s="201" t="s">
        <v>1231</v>
      </c>
      <c r="B36" s="100">
        <v>25.25</v>
      </c>
      <c r="C36" s="100">
        <v>14.3</v>
      </c>
      <c r="D36" s="100">
        <v>27.73</v>
      </c>
      <c r="E36" s="100">
        <v>6.79</v>
      </c>
      <c r="F36" s="100">
        <v>2</v>
      </c>
      <c r="G36" s="100">
        <v>112.94</v>
      </c>
      <c r="H36" s="100">
        <v>56</v>
      </c>
      <c r="I36" s="100">
        <v>14.18</v>
      </c>
      <c r="J36" s="100">
        <v>0.21</v>
      </c>
      <c r="K36" s="100">
        <v>153.38</v>
      </c>
      <c r="L36" s="100">
        <v>14.99</v>
      </c>
      <c r="M36" s="100">
        <v>19.12</v>
      </c>
      <c r="N36" s="100">
        <v>23.5</v>
      </c>
      <c r="O36" s="100">
        <v>0</v>
      </c>
      <c r="P36" s="100">
        <v>1.04</v>
      </c>
      <c r="Q36" s="100">
        <v>9.32</v>
      </c>
      <c r="R36" s="6"/>
      <c r="S36" s="6"/>
      <c r="T36" s="156"/>
      <c r="U36" s="6"/>
    </row>
    <row r="37" spans="1:21" customFormat="1">
      <c r="A37" s="201" t="s">
        <v>1232</v>
      </c>
      <c r="B37" s="100">
        <v>25.21</v>
      </c>
      <c r="C37" s="100">
        <v>14.23</v>
      </c>
      <c r="D37" s="100">
        <v>27.65</v>
      </c>
      <c r="E37" s="100">
        <v>7.26</v>
      </c>
      <c r="F37" s="100">
        <v>2</v>
      </c>
      <c r="G37" s="100">
        <v>112.94</v>
      </c>
      <c r="H37" s="100">
        <v>56</v>
      </c>
      <c r="I37" s="100">
        <v>14.1</v>
      </c>
      <c r="J37" s="100">
        <v>0.26</v>
      </c>
      <c r="K37" s="100">
        <v>157.78</v>
      </c>
      <c r="L37" s="100">
        <v>15.52</v>
      </c>
      <c r="M37" s="100">
        <v>20.170000000000002</v>
      </c>
      <c r="N37" s="100">
        <v>36.700000000000003</v>
      </c>
      <c r="O37" s="100">
        <v>0</v>
      </c>
      <c r="P37" s="100">
        <v>1.05</v>
      </c>
      <c r="Q37" s="100">
        <v>9.32</v>
      </c>
      <c r="R37" s="6"/>
      <c r="S37" s="6"/>
      <c r="T37" s="156"/>
      <c r="U37" s="6"/>
    </row>
    <row r="38" spans="1:21" customFormat="1">
      <c r="A38" s="201" t="s">
        <v>1233</v>
      </c>
      <c r="B38" s="100">
        <v>24.85</v>
      </c>
      <c r="C38" s="100">
        <v>14.03</v>
      </c>
      <c r="D38" s="100">
        <v>27.25</v>
      </c>
      <c r="E38" s="100">
        <v>6.98</v>
      </c>
      <c r="F38" s="100">
        <v>2</v>
      </c>
      <c r="G38" s="100">
        <v>111.53</v>
      </c>
      <c r="H38" s="100">
        <v>56.4</v>
      </c>
      <c r="I38" s="100">
        <v>14</v>
      </c>
      <c r="J38" s="100">
        <v>0.15</v>
      </c>
      <c r="K38" s="100">
        <v>151.58000000000001</v>
      </c>
      <c r="L38" s="100">
        <v>15.58</v>
      </c>
      <c r="M38" s="100">
        <v>19.88</v>
      </c>
      <c r="N38" s="100">
        <v>53.2</v>
      </c>
      <c r="O38" s="100">
        <v>0</v>
      </c>
      <c r="P38" s="100">
        <v>1.04</v>
      </c>
      <c r="Q38" s="100">
        <v>9.32</v>
      </c>
      <c r="R38" s="6"/>
      <c r="S38" s="6"/>
      <c r="T38" s="156"/>
      <c r="U38" s="6"/>
    </row>
    <row r="39" spans="1:21" customFormat="1">
      <c r="A39" s="201" t="s">
        <v>1234</v>
      </c>
      <c r="B39" s="100">
        <v>24.5</v>
      </c>
      <c r="C39" s="100">
        <v>13.93</v>
      </c>
      <c r="D39" s="100">
        <v>26.92</v>
      </c>
      <c r="E39" s="100">
        <v>6.96</v>
      </c>
      <c r="F39" s="100">
        <v>2</v>
      </c>
      <c r="G39" s="100">
        <v>109.76</v>
      </c>
      <c r="H39" s="100">
        <v>57.03</v>
      </c>
      <c r="I39" s="100">
        <v>13.98</v>
      </c>
      <c r="J39" s="100">
        <v>0.28999999999999998</v>
      </c>
      <c r="K39" s="100">
        <v>41.53</v>
      </c>
      <c r="L39" s="100">
        <v>7.49</v>
      </c>
      <c r="M39" s="100">
        <v>-1.26</v>
      </c>
      <c r="N39" s="100">
        <v>77.3</v>
      </c>
      <c r="O39" s="100">
        <v>0</v>
      </c>
      <c r="P39" s="100">
        <v>1.03</v>
      </c>
      <c r="Q39" s="100">
        <v>9.32</v>
      </c>
      <c r="R39" s="6"/>
      <c r="S39" s="6"/>
      <c r="T39" s="156"/>
      <c r="U39" s="6"/>
    </row>
    <row r="40" spans="1:21" customFormat="1">
      <c r="A40" s="201" t="s">
        <v>1235</v>
      </c>
      <c r="B40" s="100">
        <v>24.19</v>
      </c>
      <c r="C40" s="100">
        <v>14.31</v>
      </c>
      <c r="D40" s="100">
        <v>26.88</v>
      </c>
      <c r="E40" s="100">
        <v>7.08</v>
      </c>
      <c r="F40" s="100">
        <v>2</v>
      </c>
      <c r="G40" s="100">
        <v>109.76</v>
      </c>
      <c r="H40" s="100">
        <v>57.03</v>
      </c>
      <c r="I40" s="100">
        <v>13.99</v>
      </c>
      <c r="J40" s="100">
        <v>0.33</v>
      </c>
      <c r="K40" s="100">
        <v>29.01</v>
      </c>
      <c r="L40" s="100">
        <v>14.52</v>
      </c>
      <c r="M40" s="100">
        <v>14.05</v>
      </c>
      <c r="N40" s="100">
        <v>175.4</v>
      </c>
      <c r="O40" s="100">
        <v>0</v>
      </c>
      <c r="P40" s="100">
        <v>1.02</v>
      </c>
      <c r="Q40" s="100">
        <v>9.32</v>
      </c>
      <c r="R40" s="6"/>
      <c r="S40" s="6"/>
      <c r="T40" s="156"/>
      <c r="U40" s="6"/>
    </row>
    <row r="41" spans="1:21" customFormat="1">
      <c r="A41" s="201" t="s">
        <v>1236</v>
      </c>
      <c r="B41" s="100">
        <v>23.73</v>
      </c>
      <c r="C41" s="100">
        <v>14.82</v>
      </c>
      <c r="D41" s="100">
        <v>26.77</v>
      </c>
      <c r="E41" s="100">
        <v>6.78</v>
      </c>
      <c r="F41" s="100">
        <v>2</v>
      </c>
      <c r="G41" s="100">
        <v>109.76</v>
      </c>
      <c r="H41" s="100">
        <v>57.03</v>
      </c>
      <c r="I41" s="100">
        <v>13.94</v>
      </c>
      <c r="J41" s="100">
        <v>0.38</v>
      </c>
      <c r="K41" s="100">
        <v>44.82</v>
      </c>
      <c r="L41" s="100">
        <v>9.1</v>
      </c>
      <c r="M41" s="100">
        <v>-0.38</v>
      </c>
      <c r="N41" s="100">
        <v>215.4</v>
      </c>
      <c r="O41" s="100">
        <v>0</v>
      </c>
      <c r="P41" s="100">
        <v>1.02</v>
      </c>
      <c r="Q41" s="100">
        <v>9.32</v>
      </c>
      <c r="R41" s="6"/>
      <c r="S41" s="6"/>
      <c r="T41" s="156"/>
      <c r="U41" s="6"/>
    </row>
    <row r="42" spans="1:21" customFormat="1">
      <c r="A42" s="201" t="s">
        <v>1237</v>
      </c>
      <c r="B42" s="100">
        <v>22.82</v>
      </c>
      <c r="C42" s="100">
        <v>15.1</v>
      </c>
      <c r="D42" s="100">
        <v>26.19</v>
      </c>
      <c r="E42" s="100">
        <v>7.06</v>
      </c>
      <c r="F42" s="100">
        <v>2</v>
      </c>
      <c r="G42" s="100">
        <v>107.81</v>
      </c>
      <c r="H42" s="100">
        <v>56.9</v>
      </c>
      <c r="I42" s="100">
        <v>13.89</v>
      </c>
      <c r="J42" s="100">
        <v>0.45</v>
      </c>
      <c r="K42" s="100">
        <v>28.57</v>
      </c>
      <c r="L42" s="100">
        <v>14.17</v>
      </c>
      <c r="M42" s="100">
        <v>11.29</v>
      </c>
      <c r="N42" s="100">
        <v>257</v>
      </c>
      <c r="O42" s="100">
        <v>0</v>
      </c>
      <c r="P42" s="100">
        <v>1.01</v>
      </c>
      <c r="Q42" s="100">
        <v>9.32</v>
      </c>
      <c r="R42" s="6"/>
      <c r="S42" s="6"/>
      <c r="T42" s="156"/>
      <c r="U42" s="6"/>
    </row>
    <row r="43" spans="1:21" customFormat="1">
      <c r="A43" s="201" t="s">
        <v>1238</v>
      </c>
      <c r="B43" s="100">
        <v>21.93</v>
      </c>
      <c r="C43" s="100">
        <v>15.19</v>
      </c>
      <c r="D43" s="100">
        <v>25.52</v>
      </c>
      <c r="E43" s="100">
        <v>6.74</v>
      </c>
      <c r="F43" s="100">
        <v>2</v>
      </c>
      <c r="G43" s="100">
        <v>105.37</v>
      </c>
      <c r="H43" s="100">
        <v>56.82</v>
      </c>
      <c r="I43" s="100">
        <v>13.84</v>
      </c>
      <c r="J43" s="100">
        <v>0.45</v>
      </c>
      <c r="K43" s="100">
        <v>52.42</v>
      </c>
      <c r="L43" s="100">
        <v>11.5</v>
      </c>
      <c r="M43" s="100">
        <v>3.76</v>
      </c>
      <c r="N43" s="100">
        <v>295.7</v>
      </c>
      <c r="O43" s="100">
        <v>0</v>
      </c>
      <c r="P43" s="100">
        <v>1</v>
      </c>
      <c r="Q43" s="100">
        <v>9.32</v>
      </c>
      <c r="R43" s="6"/>
      <c r="S43" s="6"/>
      <c r="T43" s="156"/>
      <c r="U43" s="6"/>
    </row>
    <row r="44" spans="1:21" customFormat="1">
      <c r="A44" s="201" t="s">
        <v>1239</v>
      </c>
      <c r="B44" s="100">
        <v>20.75</v>
      </c>
      <c r="C44" s="100">
        <v>15.42</v>
      </c>
      <c r="D44" s="100">
        <v>24.7</v>
      </c>
      <c r="E44" s="100">
        <v>6.86</v>
      </c>
      <c r="F44" s="100">
        <v>2</v>
      </c>
      <c r="G44" s="100">
        <v>105.37</v>
      </c>
      <c r="H44" s="100">
        <v>56.82</v>
      </c>
      <c r="I44" s="100">
        <v>13.76</v>
      </c>
      <c r="J44" s="100">
        <v>0.49</v>
      </c>
      <c r="K44" s="100">
        <v>43.23</v>
      </c>
      <c r="L44" s="100">
        <v>11.1</v>
      </c>
      <c r="M44" s="100">
        <v>1.81</v>
      </c>
      <c r="N44" s="100">
        <v>337.5</v>
      </c>
      <c r="O44" s="100">
        <v>0</v>
      </c>
      <c r="P44" s="100">
        <v>0.99</v>
      </c>
      <c r="Q44" s="100">
        <v>9.32</v>
      </c>
      <c r="R44" s="6"/>
      <c r="S44" s="6"/>
      <c r="T44" s="156"/>
      <c r="U44" s="6"/>
    </row>
    <row r="45" spans="1:21" customFormat="1">
      <c r="A45" s="201" t="s">
        <v>1240</v>
      </c>
      <c r="B45" s="100">
        <v>19.68</v>
      </c>
      <c r="C45" s="100">
        <v>15.61</v>
      </c>
      <c r="D45" s="100">
        <v>23.94</v>
      </c>
      <c r="E45" s="100">
        <v>6.93</v>
      </c>
      <c r="F45" s="100">
        <v>2</v>
      </c>
      <c r="G45" s="100">
        <v>105.37</v>
      </c>
      <c r="H45" s="100">
        <v>56.82</v>
      </c>
      <c r="I45" s="100">
        <v>13.7</v>
      </c>
      <c r="J45" s="100">
        <v>0.56000000000000005</v>
      </c>
      <c r="K45" s="100">
        <v>34.81</v>
      </c>
      <c r="L45" s="100">
        <v>10.82</v>
      </c>
      <c r="M45" s="100">
        <v>7.0000000000000007E-2</v>
      </c>
      <c r="N45" s="100">
        <v>378.1</v>
      </c>
      <c r="O45" s="100">
        <v>0</v>
      </c>
      <c r="P45" s="100">
        <v>0.98</v>
      </c>
      <c r="Q45" s="100">
        <v>9.32</v>
      </c>
      <c r="R45" s="6"/>
      <c r="S45" s="6"/>
      <c r="T45" s="156"/>
      <c r="U45" s="6"/>
    </row>
    <row r="46" spans="1:21" customFormat="1">
      <c r="A46" s="201" t="s">
        <v>1241</v>
      </c>
      <c r="B46" s="100">
        <v>18.77</v>
      </c>
      <c r="C46" s="100">
        <v>15.64</v>
      </c>
      <c r="D46" s="100">
        <v>23.22</v>
      </c>
      <c r="E46" s="100">
        <v>6.68</v>
      </c>
      <c r="F46" s="100">
        <v>2</v>
      </c>
      <c r="G46" s="100">
        <v>103.93</v>
      </c>
      <c r="H46" s="100">
        <v>57.96</v>
      </c>
      <c r="I46" s="100">
        <v>13.56</v>
      </c>
      <c r="J46" s="100">
        <v>0.55000000000000004</v>
      </c>
      <c r="K46" s="100">
        <v>40.229999999999997</v>
      </c>
      <c r="L46" s="100">
        <v>11.08</v>
      </c>
      <c r="M46" s="100">
        <v>-0.11</v>
      </c>
      <c r="N46" s="100">
        <v>415.4</v>
      </c>
      <c r="O46" s="100">
        <v>0</v>
      </c>
      <c r="P46" s="100">
        <v>0.99</v>
      </c>
      <c r="Q46" s="100">
        <v>9.32</v>
      </c>
      <c r="R46" s="6"/>
      <c r="S46" s="6"/>
      <c r="T46" s="156"/>
      <c r="U46" s="6"/>
    </row>
    <row r="47" spans="1:21" customFormat="1">
      <c r="A47" s="201" t="s">
        <v>1242</v>
      </c>
      <c r="B47" s="100">
        <v>18.13</v>
      </c>
      <c r="C47" s="100">
        <v>15.71</v>
      </c>
      <c r="D47" s="100">
        <v>22.74</v>
      </c>
      <c r="E47" s="100">
        <v>6.72</v>
      </c>
      <c r="F47" s="100">
        <v>2</v>
      </c>
      <c r="G47" s="100">
        <v>102.13</v>
      </c>
      <c r="H47" s="100">
        <v>58.75</v>
      </c>
      <c r="I47" s="100">
        <v>13.38</v>
      </c>
      <c r="J47" s="100">
        <v>0.37</v>
      </c>
      <c r="K47" s="100">
        <v>79.069999999999993</v>
      </c>
      <c r="L47" s="100">
        <v>13</v>
      </c>
      <c r="M47" s="100">
        <v>7.96</v>
      </c>
      <c r="N47" s="100">
        <v>280.10000000000002</v>
      </c>
      <c r="O47" s="100">
        <v>0</v>
      </c>
      <c r="P47" s="100">
        <v>0.98</v>
      </c>
      <c r="Q47" s="100">
        <v>9.32</v>
      </c>
      <c r="R47" s="6"/>
      <c r="S47" s="6"/>
      <c r="T47" s="156"/>
      <c r="U47" s="6"/>
    </row>
    <row r="48" spans="1:21" customFormat="1">
      <c r="A48" s="201" t="s">
        <v>1243</v>
      </c>
      <c r="B48" s="100">
        <v>17.84</v>
      </c>
      <c r="C48" s="100">
        <v>15.86</v>
      </c>
      <c r="D48" s="100">
        <v>22.59</v>
      </c>
      <c r="E48" s="100">
        <v>6.54</v>
      </c>
      <c r="F48" s="100">
        <v>2</v>
      </c>
      <c r="G48" s="100">
        <v>102.13</v>
      </c>
      <c r="H48" s="100">
        <v>58.75</v>
      </c>
      <c r="I48" s="100">
        <v>13.26</v>
      </c>
      <c r="J48" s="100">
        <v>0.41</v>
      </c>
      <c r="K48" s="100">
        <v>125.37</v>
      </c>
      <c r="L48" s="100">
        <v>15.68</v>
      </c>
      <c r="M48" s="100">
        <v>12.95</v>
      </c>
      <c r="N48" s="100">
        <v>368.6</v>
      </c>
      <c r="O48" s="100">
        <v>0</v>
      </c>
      <c r="P48" s="100">
        <v>0.96</v>
      </c>
      <c r="Q48" s="100">
        <v>9.32</v>
      </c>
      <c r="R48" s="6"/>
      <c r="S48" s="6"/>
      <c r="T48" s="156"/>
      <c r="U48" s="6"/>
    </row>
    <row r="49" spans="1:21" customFormat="1">
      <c r="A49" s="201" t="s">
        <v>1244</v>
      </c>
      <c r="B49" s="100">
        <v>17.13</v>
      </c>
      <c r="C49" s="100">
        <v>16.079999999999998</v>
      </c>
      <c r="D49" s="100">
        <v>22.14</v>
      </c>
      <c r="E49" s="100">
        <v>5.41</v>
      </c>
      <c r="F49" s="100">
        <v>2</v>
      </c>
      <c r="G49" s="100">
        <v>102.13</v>
      </c>
      <c r="H49" s="100">
        <v>58.75</v>
      </c>
      <c r="I49" s="100">
        <v>13.17</v>
      </c>
      <c r="J49" s="100">
        <v>0.53</v>
      </c>
      <c r="K49" s="100">
        <v>45.91</v>
      </c>
      <c r="L49" s="100">
        <v>14.34</v>
      </c>
      <c r="M49" s="100">
        <v>6.19</v>
      </c>
      <c r="N49" s="100">
        <v>499.4</v>
      </c>
      <c r="O49" s="100">
        <v>0</v>
      </c>
      <c r="P49" s="100">
        <v>0.94</v>
      </c>
      <c r="Q49" s="100">
        <v>9.32</v>
      </c>
      <c r="R49" s="6"/>
      <c r="S49" s="6"/>
      <c r="T49" s="156"/>
      <c r="U49" s="6"/>
    </row>
    <row r="50" spans="1:21" customFormat="1">
      <c r="A50" s="201" t="s">
        <v>1245</v>
      </c>
      <c r="B50" s="100">
        <v>16.149999999999999</v>
      </c>
      <c r="C50" s="100">
        <v>16.3</v>
      </c>
      <c r="D50" s="100">
        <v>21.47</v>
      </c>
      <c r="E50" s="100">
        <v>6.54</v>
      </c>
      <c r="F50" s="100">
        <v>2</v>
      </c>
      <c r="G50" s="100">
        <v>102.27</v>
      </c>
      <c r="H50" s="100">
        <v>55.79</v>
      </c>
      <c r="I50" s="100">
        <v>12.97</v>
      </c>
      <c r="J50" s="100">
        <v>0.56999999999999995</v>
      </c>
      <c r="K50" s="100">
        <v>36.29</v>
      </c>
      <c r="L50" s="100">
        <v>15.6</v>
      </c>
      <c r="M50" s="100">
        <v>8.66</v>
      </c>
      <c r="N50" s="100">
        <v>530</v>
      </c>
      <c r="O50" s="100">
        <v>0</v>
      </c>
      <c r="P50" s="100">
        <v>0.93</v>
      </c>
      <c r="Q50" s="100">
        <v>9.32</v>
      </c>
      <c r="R50" s="6"/>
      <c r="S50" s="6"/>
      <c r="T50" s="156"/>
      <c r="U50" s="6"/>
    </row>
    <row r="51" spans="1:21" customFormat="1">
      <c r="A51" s="201" t="s">
        <v>1246</v>
      </c>
      <c r="B51" s="100">
        <v>15.21</v>
      </c>
      <c r="C51" s="100">
        <v>16.239999999999998</v>
      </c>
      <c r="D51" s="100">
        <v>20.68</v>
      </c>
      <c r="E51" s="100">
        <v>6.92</v>
      </c>
      <c r="F51" s="100">
        <v>2</v>
      </c>
      <c r="G51" s="100">
        <v>102.45</v>
      </c>
      <c r="H51" s="100">
        <v>53.79</v>
      </c>
      <c r="I51" s="100">
        <v>12.73</v>
      </c>
      <c r="J51" s="100">
        <v>0.5</v>
      </c>
      <c r="K51" s="100">
        <v>56.23</v>
      </c>
      <c r="L51" s="100">
        <v>15.41</v>
      </c>
      <c r="M51" s="100">
        <v>7.44</v>
      </c>
      <c r="N51" s="100">
        <v>561</v>
      </c>
      <c r="O51" s="100">
        <v>0</v>
      </c>
      <c r="P51" s="100">
        <v>0.92</v>
      </c>
      <c r="Q51" s="100">
        <v>9.32</v>
      </c>
      <c r="R51" s="6"/>
      <c r="S51" s="6"/>
      <c r="T51" s="156"/>
      <c r="U51" s="6"/>
    </row>
    <row r="52" spans="1:21" customFormat="1">
      <c r="A52" s="201" t="s">
        <v>1247</v>
      </c>
      <c r="B52" s="100">
        <v>14.21</v>
      </c>
      <c r="C52" s="100">
        <v>16.3</v>
      </c>
      <c r="D52" s="100">
        <v>19.920000000000002</v>
      </c>
      <c r="E52" s="100">
        <v>6.7</v>
      </c>
      <c r="F52" s="100">
        <v>2</v>
      </c>
      <c r="G52" s="100">
        <v>102.45</v>
      </c>
      <c r="H52" s="100">
        <v>53.79</v>
      </c>
      <c r="I52" s="100">
        <v>12.55</v>
      </c>
      <c r="J52" s="100">
        <v>0.41</v>
      </c>
      <c r="K52" s="100">
        <v>68.13</v>
      </c>
      <c r="L52" s="100">
        <v>15.96</v>
      </c>
      <c r="M52" s="100">
        <v>9.7100000000000009</v>
      </c>
      <c r="N52" s="100">
        <v>527.6</v>
      </c>
      <c r="O52" s="100">
        <v>0</v>
      </c>
      <c r="P52" s="100">
        <v>0.9</v>
      </c>
      <c r="Q52" s="100">
        <v>9.32</v>
      </c>
      <c r="R52" s="6"/>
      <c r="S52" s="6"/>
      <c r="T52" s="156"/>
      <c r="U52" s="6"/>
    </row>
    <row r="53" spans="1:21" customFormat="1">
      <c r="A53" s="201" t="s">
        <v>1248</v>
      </c>
      <c r="B53" s="100">
        <v>13.13</v>
      </c>
      <c r="C53" s="100">
        <v>16.41</v>
      </c>
      <c r="D53" s="100">
        <v>19.100000000000001</v>
      </c>
      <c r="E53" s="100">
        <v>7.09</v>
      </c>
      <c r="F53" s="100">
        <v>2</v>
      </c>
      <c r="G53" s="100">
        <v>102.45</v>
      </c>
      <c r="H53" s="100">
        <v>53.79</v>
      </c>
      <c r="I53" s="100">
        <v>12.39</v>
      </c>
      <c r="J53" s="100">
        <v>0.74</v>
      </c>
      <c r="K53" s="100">
        <v>44.64</v>
      </c>
      <c r="L53" s="100">
        <v>13.6</v>
      </c>
      <c r="M53" s="100">
        <v>2.11</v>
      </c>
      <c r="N53" s="100">
        <v>590</v>
      </c>
      <c r="O53" s="100">
        <v>0</v>
      </c>
      <c r="P53" s="100">
        <v>0.89</v>
      </c>
      <c r="Q53" s="100">
        <v>9.32</v>
      </c>
      <c r="R53" s="6"/>
      <c r="S53" s="6"/>
      <c r="T53" s="156"/>
      <c r="U53" s="6"/>
    </row>
    <row r="54" spans="1:21" customFormat="1">
      <c r="A54" s="201" t="s">
        <v>1249</v>
      </c>
      <c r="B54" s="100">
        <v>12.02</v>
      </c>
      <c r="C54" s="100">
        <v>16.510000000000002</v>
      </c>
      <c r="D54" s="100">
        <v>18.260000000000002</v>
      </c>
      <c r="E54" s="100">
        <v>6.85</v>
      </c>
      <c r="F54" s="100">
        <v>2</v>
      </c>
      <c r="G54" s="100">
        <v>98.11</v>
      </c>
      <c r="H54" s="100">
        <v>52.27</v>
      </c>
      <c r="I54" s="100">
        <v>12.21</v>
      </c>
      <c r="J54" s="100">
        <v>0.43</v>
      </c>
      <c r="K54" s="100">
        <v>33.47</v>
      </c>
      <c r="L54" s="100">
        <v>16.84</v>
      </c>
      <c r="M54" s="100">
        <v>10.28</v>
      </c>
      <c r="N54" s="100">
        <v>591.29999999999995</v>
      </c>
      <c r="O54" s="100">
        <v>0</v>
      </c>
      <c r="P54" s="100">
        <v>0.87</v>
      </c>
      <c r="Q54" s="100">
        <v>9.32</v>
      </c>
      <c r="R54" s="6"/>
      <c r="S54" s="6"/>
      <c r="T54" s="156"/>
      <c r="U54" s="6"/>
    </row>
    <row r="55" spans="1:21" customFormat="1">
      <c r="A55" s="201" t="s">
        <v>1250</v>
      </c>
      <c r="B55" s="100">
        <v>11.01</v>
      </c>
      <c r="C55" s="100">
        <v>16.36</v>
      </c>
      <c r="D55" s="100">
        <v>17.37</v>
      </c>
      <c r="E55" s="100">
        <v>6.96</v>
      </c>
      <c r="F55" s="100">
        <v>2</v>
      </c>
      <c r="G55" s="100">
        <v>92.67</v>
      </c>
      <c r="H55" s="100">
        <v>51.24</v>
      </c>
      <c r="I55" s="100">
        <v>12.03</v>
      </c>
      <c r="J55" s="100">
        <v>0.62</v>
      </c>
      <c r="K55" s="100">
        <v>45.52</v>
      </c>
      <c r="L55" s="100">
        <v>14.11</v>
      </c>
      <c r="M55" s="100">
        <v>3.17</v>
      </c>
      <c r="N55" s="100">
        <v>603.9</v>
      </c>
      <c r="O55" s="100">
        <v>0</v>
      </c>
      <c r="P55" s="100">
        <v>0.86</v>
      </c>
      <c r="Q55" s="100">
        <v>9.32</v>
      </c>
      <c r="R55" s="6"/>
      <c r="S55" s="6"/>
      <c r="T55" s="156"/>
      <c r="U55" s="6"/>
    </row>
    <row r="56" spans="1:21" customFormat="1">
      <c r="A56" s="201" t="s">
        <v>1251</v>
      </c>
      <c r="B56" s="100">
        <v>9.77</v>
      </c>
      <c r="C56" s="100">
        <v>16.190000000000001</v>
      </c>
      <c r="D56" s="100">
        <v>16.3</v>
      </c>
      <c r="E56" s="100">
        <v>6.88</v>
      </c>
      <c r="F56" s="100">
        <v>2.0099999999999998</v>
      </c>
      <c r="G56" s="100">
        <v>92.67</v>
      </c>
      <c r="H56" s="100">
        <v>51.24</v>
      </c>
      <c r="I56" s="100">
        <v>11.9</v>
      </c>
      <c r="J56" s="100">
        <v>0.24</v>
      </c>
      <c r="K56" s="100">
        <v>17.46</v>
      </c>
      <c r="L56" s="100">
        <v>18.91</v>
      </c>
      <c r="M56" s="100">
        <v>15.1</v>
      </c>
      <c r="N56" s="100">
        <v>611.29999999999995</v>
      </c>
      <c r="O56" s="100">
        <v>0</v>
      </c>
      <c r="P56" s="100">
        <v>0.85</v>
      </c>
      <c r="Q56" s="100">
        <v>9.32</v>
      </c>
      <c r="R56" s="6"/>
      <c r="S56" s="6"/>
      <c r="T56" s="156"/>
      <c r="U56" s="6"/>
    </row>
    <row r="57" spans="1:21" customFormat="1">
      <c r="A57" s="201" t="s">
        <v>1252</v>
      </c>
      <c r="B57" s="100">
        <v>8.57</v>
      </c>
      <c r="C57" s="100">
        <v>16</v>
      </c>
      <c r="D57" s="100">
        <v>15.23</v>
      </c>
      <c r="E57" s="100">
        <v>7.19</v>
      </c>
      <c r="F57" s="100">
        <v>2</v>
      </c>
      <c r="G57" s="100">
        <v>92.67</v>
      </c>
      <c r="H57" s="100">
        <v>51.24</v>
      </c>
      <c r="I57" s="100">
        <v>11.74</v>
      </c>
      <c r="J57" s="100">
        <v>0.4</v>
      </c>
      <c r="K57" s="100">
        <v>289.94</v>
      </c>
      <c r="L57" s="100">
        <v>27.01</v>
      </c>
      <c r="M57" s="100">
        <v>35.5</v>
      </c>
      <c r="N57" s="100">
        <v>609.79999999999995</v>
      </c>
      <c r="O57" s="100">
        <v>0</v>
      </c>
      <c r="P57" s="100">
        <v>0.83</v>
      </c>
      <c r="Q57" s="100">
        <v>9.32</v>
      </c>
      <c r="R57" s="6"/>
      <c r="S57" s="6"/>
      <c r="T57" s="156"/>
      <c r="U57" s="6"/>
    </row>
    <row r="58" spans="1:21" customFormat="1">
      <c r="A58" s="201" t="s">
        <v>1253</v>
      </c>
      <c r="B58" s="100">
        <v>7.37</v>
      </c>
      <c r="C58" s="100">
        <v>15.82</v>
      </c>
      <c r="D58" s="100">
        <v>14.17</v>
      </c>
      <c r="E58" s="100">
        <v>6.66</v>
      </c>
      <c r="F58" s="100">
        <v>2.0099999999999998</v>
      </c>
      <c r="G58" s="100">
        <v>87.97</v>
      </c>
      <c r="H58" s="100">
        <v>48.05</v>
      </c>
      <c r="I58" s="100">
        <v>11.52</v>
      </c>
      <c r="J58" s="100">
        <v>0.28000000000000003</v>
      </c>
      <c r="K58" s="100">
        <v>358.98</v>
      </c>
      <c r="L58" s="100">
        <v>24.12</v>
      </c>
      <c r="M58" s="100">
        <v>28.77</v>
      </c>
      <c r="N58" s="100">
        <v>586.9</v>
      </c>
      <c r="O58" s="100">
        <v>0</v>
      </c>
      <c r="P58" s="100">
        <v>0.82</v>
      </c>
      <c r="Q58" s="100">
        <v>9.32</v>
      </c>
      <c r="R58" s="6"/>
      <c r="S58" s="6"/>
      <c r="T58" s="156"/>
      <c r="U58" s="6"/>
    </row>
    <row r="59" spans="1:21" customFormat="1">
      <c r="A59" s="201" t="s">
        <v>1254</v>
      </c>
      <c r="B59" s="100">
        <v>6.31</v>
      </c>
      <c r="C59" s="100">
        <v>15.7</v>
      </c>
      <c r="D59" s="100">
        <v>13.26</v>
      </c>
      <c r="E59" s="100">
        <v>7.28</v>
      </c>
      <c r="F59" s="100">
        <v>2</v>
      </c>
      <c r="G59" s="100">
        <v>82.1</v>
      </c>
      <c r="H59" s="100">
        <v>45.91</v>
      </c>
      <c r="I59" s="100">
        <v>11.33</v>
      </c>
      <c r="J59" s="100">
        <v>0.38</v>
      </c>
      <c r="K59" s="100">
        <v>351.16</v>
      </c>
      <c r="L59" s="100">
        <v>21.18</v>
      </c>
      <c r="M59" s="100">
        <v>22.52</v>
      </c>
      <c r="N59" s="100">
        <v>535.1</v>
      </c>
      <c r="O59" s="100">
        <v>0</v>
      </c>
      <c r="P59" s="100">
        <v>0.81</v>
      </c>
      <c r="Q59" s="100">
        <v>9.32</v>
      </c>
      <c r="R59" s="6"/>
      <c r="S59" s="6"/>
      <c r="T59" s="156"/>
      <c r="U59" s="6"/>
    </row>
    <row r="60" spans="1:21" customFormat="1">
      <c r="A60" s="201" t="s">
        <v>1255</v>
      </c>
      <c r="B60" s="100">
        <v>5.37</v>
      </c>
      <c r="C60" s="100">
        <v>15.46</v>
      </c>
      <c r="D60" s="100">
        <v>12.39</v>
      </c>
      <c r="E60" s="100">
        <v>7</v>
      </c>
      <c r="F60" s="100">
        <v>2</v>
      </c>
      <c r="G60" s="100">
        <v>82.1</v>
      </c>
      <c r="H60" s="100">
        <v>45.91</v>
      </c>
      <c r="I60" s="100">
        <v>11.15</v>
      </c>
      <c r="J60" s="100">
        <v>0.44</v>
      </c>
      <c r="K60" s="100">
        <v>278.43</v>
      </c>
      <c r="L60" s="100">
        <v>27.85</v>
      </c>
      <c r="M60" s="100">
        <v>40.6</v>
      </c>
      <c r="N60" s="100">
        <v>484.8</v>
      </c>
      <c r="O60" s="100">
        <v>0</v>
      </c>
      <c r="P60" s="100">
        <v>0.8</v>
      </c>
      <c r="Q60" s="100">
        <v>9.32</v>
      </c>
      <c r="R60" s="6"/>
      <c r="S60" s="6"/>
      <c r="T60" s="156"/>
      <c r="U60" s="6"/>
    </row>
    <row r="61" spans="1:21" customFormat="1">
      <c r="A61" s="201" t="s">
        <v>1256</v>
      </c>
      <c r="B61" s="100">
        <v>4.53</v>
      </c>
      <c r="C61" s="100">
        <v>15.1</v>
      </c>
      <c r="D61" s="100">
        <v>11.52</v>
      </c>
      <c r="E61" s="100">
        <v>6.8</v>
      </c>
      <c r="F61" s="100">
        <v>2</v>
      </c>
      <c r="G61" s="100">
        <v>82.1</v>
      </c>
      <c r="H61" s="100">
        <v>45.91</v>
      </c>
      <c r="I61" s="100">
        <v>11.02</v>
      </c>
      <c r="J61" s="100">
        <v>0.7</v>
      </c>
      <c r="K61" s="100">
        <v>303.36</v>
      </c>
      <c r="L61" s="100">
        <v>29.92</v>
      </c>
      <c r="M61" s="100">
        <v>46.11</v>
      </c>
      <c r="N61" s="100">
        <v>470.1</v>
      </c>
      <c r="O61" s="100">
        <v>0</v>
      </c>
      <c r="P61" s="100">
        <v>0.8</v>
      </c>
      <c r="Q61" s="100">
        <v>9.32</v>
      </c>
      <c r="R61" s="6"/>
      <c r="S61" s="6"/>
      <c r="T61" s="156"/>
      <c r="U61" s="6"/>
    </row>
    <row r="62" spans="1:21" customFormat="1">
      <c r="A62" s="201" t="s">
        <v>1257</v>
      </c>
      <c r="B62" s="100">
        <v>3.89</v>
      </c>
      <c r="C62" s="100">
        <v>14.95</v>
      </c>
      <c r="D62" s="100">
        <v>10.93</v>
      </c>
      <c r="E62" s="100">
        <v>6.78</v>
      </c>
      <c r="F62" s="100">
        <v>2</v>
      </c>
      <c r="G62" s="100">
        <v>80.58</v>
      </c>
      <c r="H62" s="100">
        <v>44.93</v>
      </c>
      <c r="I62" s="100">
        <v>10.9</v>
      </c>
      <c r="J62" s="100">
        <v>0.59</v>
      </c>
      <c r="K62" s="100">
        <v>294.58</v>
      </c>
      <c r="L62" s="100">
        <v>28.45</v>
      </c>
      <c r="M62" s="100">
        <v>41.79</v>
      </c>
      <c r="N62" s="100">
        <v>495.6</v>
      </c>
      <c r="O62" s="100">
        <v>0</v>
      </c>
      <c r="P62" s="100">
        <v>0.78</v>
      </c>
      <c r="Q62" s="100">
        <v>9.32</v>
      </c>
      <c r="R62" s="6"/>
      <c r="S62" s="6"/>
      <c r="T62" s="156"/>
      <c r="U62" s="6"/>
    </row>
    <row r="63" spans="1:21" customFormat="1">
      <c r="A63" s="201" t="s">
        <v>1258</v>
      </c>
      <c r="B63" s="100">
        <v>3.5</v>
      </c>
      <c r="C63" s="100">
        <v>14.55</v>
      </c>
      <c r="D63" s="100">
        <v>10.41</v>
      </c>
      <c r="E63" s="100">
        <v>7.15</v>
      </c>
      <c r="F63" s="100">
        <v>2.0099999999999998</v>
      </c>
      <c r="G63" s="100">
        <v>78.77</v>
      </c>
      <c r="H63" s="100">
        <v>43.16</v>
      </c>
      <c r="I63" s="100">
        <v>10.74</v>
      </c>
      <c r="J63" s="100">
        <v>0.21</v>
      </c>
      <c r="K63" s="100">
        <v>285.12</v>
      </c>
      <c r="L63" s="100">
        <v>24.38</v>
      </c>
      <c r="M63" s="100">
        <v>32.15</v>
      </c>
      <c r="N63" s="100">
        <v>471.1</v>
      </c>
      <c r="O63" s="100">
        <v>0</v>
      </c>
      <c r="P63" s="100">
        <v>0.77</v>
      </c>
      <c r="Q63" s="100">
        <v>9.32</v>
      </c>
      <c r="R63" s="6"/>
      <c r="S63" s="6"/>
      <c r="T63" s="156"/>
      <c r="U63" s="6"/>
    </row>
    <row r="64" spans="1:21" customFormat="1">
      <c r="A64" s="201" t="s">
        <v>1259</v>
      </c>
      <c r="B64" s="100">
        <v>3.2</v>
      </c>
      <c r="C64" s="100">
        <v>14.16</v>
      </c>
      <c r="D64" s="100">
        <v>9.9700000000000006</v>
      </c>
      <c r="E64" s="100">
        <v>6.83</v>
      </c>
      <c r="F64" s="100">
        <v>2</v>
      </c>
      <c r="G64" s="100">
        <v>78.77</v>
      </c>
      <c r="H64" s="100">
        <v>43.16</v>
      </c>
      <c r="I64" s="100">
        <v>10.61</v>
      </c>
      <c r="J64" s="100">
        <v>0.28000000000000003</v>
      </c>
      <c r="K64" s="100">
        <v>43.49</v>
      </c>
      <c r="L64" s="100">
        <v>16.55</v>
      </c>
      <c r="M64" s="100">
        <v>18.03</v>
      </c>
      <c r="N64" s="100">
        <v>231.8</v>
      </c>
      <c r="O64" s="100">
        <v>0</v>
      </c>
      <c r="P64" s="100">
        <v>0.76</v>
      </c>
      <c r="Q64" s="100">
        <v>9.32</v>
      </c>
      <c r="R64" s="6"/>
      <c r="S64" s="6"/>
      <c r="T64" s="156"/>
      <c r="U64" s="6"/>
    </row>
    <row r="65" spans="1:21" customFormat="1">
      <c r="A65" s="201" t="s">
        <v>1260</v>
      </c>
      <c r="B65" s="100">
        <v>2.83</v>
      </c>
      <c r="C65" s="100">
        <v>14.27</v>
      </c>
      <c r="D65" s="100">
        <v>9.73</v>
      </c>
      <c r="E65" s="100">
        <v>8.0399999999999991</v>
      </c>
      <c r="F65" s="100">
        <v>3.05</v>
      </c>
      <c r="G65" s="100">
        <v>78.77</v>
      </c>
      <c r="H65" s="100">
        <v>43.16</v>
      </c>
      <c r="I65" s="100">
        <v>10.49</v>
      </c>
      <c r="J65" s="100">
        <v>0.32</v>
      </c>
      <c r="K65" s="100">
        <v>338.42</v>
      </c>
      <c r="L65" s="100">
        <v>18.68</v>
      </c>
      <c r="M65" s="100">
        <v>26.98</v>
      </c>
      <c r="N65" s="100">
        <v>106.9</v>
      </c>
      <c r="O65" s="100">
        <v>0</v>
      </c>
      <c r="P65" s="100">
        <v>0.71</v>
      </c>
      <c r="Q65" s="100">
        <v>9.32</v>
      </c>
      <c r="R65" s="6"/>
      <c r="S65" s="6"/>
      <c r="T65" s="156"/>
      <c r="U65" s="6"/>
    </row>
    <row r="66" spans="1:21" customFormat="1">
      <c r="A66" s="201" t="s">
        <v>1261</v>
      </c>
      <c r="B66" s="100">
        <v>2.56</v>
      </c>
      <c r="C66" s="100">
        <v>14.45</v>
      </c>
      <c r="D66" s="100">
        <v>9.6</v>
      </c>
      <c r="E66" s="100">
        <v>8.5399999999999991</v>
      </c>
      <c r="F66" s="100">
        <v>8.27</v>
      </c>
      <c r="G66" s="100">
        <v>75.239999999999995</v>
      </c>
      <c r="H66" s="100">
        <v>41.25</v>
      </c>
      <c r="I66" s="100">
        <v>10.27</v>
      </c>
      <c r="J66" s="100">
        <v>0.35</v>
      </c>
      <c r="K66" s="100">
        <v>338.38</v>
      </c>
      <c r="L66" s="100">
        <v>19.850000000000001</v>
      </c>
      <c r="M66" s="100">
        <v>30.13</v>
      </c>
      <c r="N66" s="100">
        <v>56.5</v>
      </c>
      <c r="O66" s="100">
        <v>0</v>
      </c>
      <c r="P66" s="100">
        <v>0.7</v>
      </c>
      <c r="Q66" s="100">
        <v>9.32</v>
      </c>
      <c r="R66" s="6"/>
      <c r="S66" s="6"/>
      <c r="T66" s="156"/>
      <c r="U66" s="6"/>
    </row>
    <row r="67" spans="1:21" customFormat="1">
      <c r="A67" s="201" t="s">
        <v>1262</v>
      </c>
      <c r="B67" s="100">
        <v>2.33</v>
      </c>
      <c r="C67" s="100">
        <v>14.39</v>
      </c>
      <c r="D67" s="100">
        <v>9.3800000000000008</v>
      </c>
      <c r="E67" s="100">
        <v>5.05</v>
      </c>
      <c r="F67" s="100">
        <v>4.22</v>
      </c>
      <c r="G67" s="100">
        <v>70.819999999999993</v>
      </c>
      <c r="H67" s="100">
        <v>39.96</v>
      </c>
      <c r="I67" s="100">
        <v>9.8800000000000008</v>
      </c>
      <c r="J67" s="100">
        <v>0.28999999999999998</v>
      </c>
      <c r="K67" s="100">
        <v>346.89</v>
      </c>
      <c r="L67" s="100">
        <v>19.48</v>
      </c>
      <c r="M67" s="100">
        <v>29.3</v>
      </c>
      <c r="N67" s="100">
        <v>46.2</v>
      </c>
      <c r="O67" s="100">
        <v>0</v>
      </c>
      <c r="P67" s="100">
        <v>0.7</v>
      </c>
      <c r="Q67" s="100">
        <v>9.32</v>
      </c>
      <c r="R67" s="6"/>
      <c r="S67" s="6"/>
      <c r="T67" s="156"/>
      <c r="U67" s="6"/>
    </row>
    <row r="68" spans="1:21" customFormat="1">
      <c r="A68" s="201" t="s">
        <v>1263</v>
      </c>
      <c r="B68" s="100">
        <v>2.2799999999999998</v>
      </c>
      <c r="C68" s="100">
        <v>14.61</v>
      </c>
      <c r="D68" s="100">
        <v>9.4700000000000006</v>
      </c>
      <c r="E68" s="100">
        <v>7.76</v>
      </c>
      <c r="F68" s="100">
        <v>3.39</v>
      </c>
      <c r="G68" s="100">
        <v>70.819999999999993</v>
      </c>
      <c r="H68" s="100">
        <v>39.96</v>
      </c>
      <c r="I68" s="100">
        <v>9.58</v>
      </c>
      <c r="J68" s="100">
        <v>0.36</v>
      </c>
      <c r="K68" s="100">
        <v>18.170000000000002</v>
      </c>
      <c r="L68" s="100">
        <v>14.53</v>
      </c>
      <c r="M68" s="100">
        <v>16.72</v>
      </c>
      <c r="N68" s="100">
        <v>59</v>
      </c>
      <c r="O68" s="100">
        <v>0</v>
      </c>
      <c r="P68" s="100">
        <v>0.69</v>
      </c>
      <c r="Q68" s="100">
        <v>9.32</v>
      </c>
      <c r="R68" s="6"/>
      <c r="S68" s="6"/>
      <c r="T68" s="156"/>
      <c r="U68" s="6"/>
    </row>
    <row r="69" spans="1:21" customFormat="1">
      <c r="A69" s="201" t="s">
        <v>1264</v>
      </c>
      <c r="B69" s="100">
        <v>2.2599999999999998</v>
      </c>
      <c r="C69" s="100">
        <v>14.51</v>
      </c>
      <c r="D69" s="100">
        <v>9.39</v>
      </c>
      <c r="E69" s="100">
        <v>8.15</v>
      </c>
      <c r="F69" s="100">
        <v>4.3099999999999996</v>
      </c>
      <c r="G69" s="100">
        <v>70.819999999999993</v>
      </c>
      <c r="H69" s="100">
        <v>39.96</v>
      </c>
      <c r="I69" s="100">
        <v>9.41</v>
      </c>
      <c r="J69" s="100">
        <v>0.34</v>
      </c>
      <c r="K69" s="100">
        <v>341.44</v>
      </c>
      <c r="L69" s="100">
        <v>19.399999999999999</v>
      </c>
      <c r="M69" s="100">
        <v>29.38</v>
      </c>
      <c r="N69" s="100">
        <v>35.799999999999997</v>
      </c>
      <c r="O69" s="100">
        <v>0</v>
      </c>
      <c r="P69" s="100">
        <v>0.68</v>
      </c>
      <c r="Q69" s="100">
        <v>9.32</v>
      </c>
      <c r="R69" s="6"/>
      <c r="S69" s="6"/>
      <c r="T69" s="156"/>
      <c r="U69" s="6"/>
    </row>
    <row r="70" spans="1:21" customFormat="1">
      <c r="A70" s="201" t="s">
        <v>1265</v>
      </c>
      <c r="B70" s="100">
        <v>2.1800000000000002</v>
      </c>
      <c r="C70" s="100">
        <v>14.62</v>
      </c>
      <c r="D70" s="100">
        <v>9.39</v>
      </c>
      <c r="E70" s="100">
        <v>7.99</v>
      </c>
      <c r="F70" s="100">
        <v>6.73</v>
      </c>
      <c r="G70" s="100">
        <v>68.209999999999994</v>
      </c>
      <c r="H70" s="100">
        <v>37.07</v>
      </c>
      <c r="I70" s="100">
        <v>9.23</v>
      </c>
      <c r="J70" s="100">
        <v>0.25</v>
      </c>
      <c r="K70" s="100">
        <v>14.95</v>
      </c>
      <c r="L70" s="100">
        <v>14.6</v>
      </c>
      <c r="M70" s="100">
        <v>17.53</v>
      </c>
      <c r="N70" s="100">
        <v>31.6</v>
      </c>
      <c r="O70" s="100">
        <v>0</v>
      </c>
      <c r="P70" s="100">
        <v>0.65</v>
      </c>
      <c r="Q70" s="100">
        <v>9.32</v>
      </c>
      <c r="R70" s="6"/>
      <c r="S70" s="6"/>
      <c r="T70" s="156"/>
      <c r="U70" s="6"/>
    </row>
    <row r="71" spans="1:21" customFormat="1">
      <c r="A71" s="201" t="s">
        <v>1266</v>
      </c>
      <c r="B71" s="100">
        <v>2.2799999999999998</v>
      </c>
      <c r="C71" s="100">
        <v>15.09</v>
      </c>
      <c r="D71" s="100">
        <v>9.7100000000000009</v>
      </c>
      <c r="E71" s="100">
        <v>7.74</v>
      </c>
      <c r="F71" s="100">
        <v>3.15</v>
      </c>
      <c r="G71" s="100">
        <v>64.94</v>
      </c>
      <c r="H71" s="100">
        <v>35.119999999999997</v>
      </c>
      <c r="I71" s="100">
        <v>8.9700000000000006</v>
      </c>
      <c r="J71" s="100">
        <v>0.45</v>
      </c>
      <c r="K71" s="100">
        <v>31.85</v>
      </c>
      <c r="L71" s="100">
        <v>11.47</v>
      </c>
      <c r="M71" s="100">
        <v>9.74</v>
      </c>
      <c r="N71" s="100">
        <v>28.2</v>
      </c>
      <c r="O71" s="100">
        <v>0</v>
      </c>
      <c r="P71" s="100">
        <v>0.65</v>
      </c>
      <c r="Q71" s="100">
        <v>9.32</v>
      </c>
      <c r="R71" s="6"/>
      <c r="S71" s="6"/>
      <c r="T71" s="156"/>
      <c r="U71" s="6"/>
    </row>
    <row r="72" spans="1:21" customFormat="1">
      <c r="A72" s="201" t="s">
        <v>1267</v>
      </c>
      <c r="B72" s="100">
        <v>2.4</v>
      </c>
      <c r="C72" s="100">
        <v>15.26</v>
      </c>
      <c r="D72" s="100">
        <v>9.9</v>
      </c>
      <c r="E72" s="100">
        <v>7.45</v>
      </c>
      <c r="F72" s="100">
        <v>5.1100000000000003</v>
      </c>
      <c r="G72" s="100">
        <v>64.94</v>
      </c>
      <c r="H72" s="100">
        <v>35.119999999999997</v>
      </c>
      <c r="I72" s="100">
        <v>8.7100000000000009</v>
      </c>
      <c r="J72" s="100">
        <v>0.45</v>
      </c>
      <c r="K72" s="100">
        <v>32.5</v>
      </c>
      <c r="L72" s="100">
        <v>11.93</v>
      </c>
      <c r="M72" s="100">
        <v>10.29</v>
      </c>
      <c r="N72" s="100">
        <v>24.9</v>
      </c>
      <c r="O72" s="100">
        <v>0</v>
      </c>
      <c r="P72" s="100">
        <v>0.65</v>
      </c>
      <c r="Q72" s="100">
        <v>9.32</v>
      </c>
      <c r="R72" s="6"/>
      <c r="S72" s="6"/>
      <c r="T72" s="156"/>
      <c r="U72" s="6"/>
    </row>
    <row r="73" spans="1:21" customFormat="1">
      <c r="A73" s="201" t="s">
        <v>1268</v>
      </c>
      <c r="B73" s="100">
        <v>2.38</v>
      </c>
      <c r="C73" s="100">
        <v>15.26</v>
      </c>
      <c r="D73" s="100">
        <v>9.89</v>
      </c>
      <c r="E73" s="100">
        <v>7.48</v>
      </c>
      <c r="F73" s="100">
        <v>2.4700000000000002</v>
      </c>
      <c r="G73" s="100">
        <v>64.94</v>
      </c>
      <c r="H73" s="100">
        <v>35.119999999999997</v>
      </c>
      <c r="I73" s="100">
        <v>8.64</v>
      </c>
      <c r="J73" s="100">
        <v>0.28999999999999998</v>
      </c>
      <c r="K73" s="100">
        <v>12.59</v>
      </c>
      <c r="L73" s="100">
        <v>13.9</v>
      </c>
      <c r="M73" s="100">
        <v>16.59</v>
      </c>
      <c r="N73" s="100">
        <v>22.1</v>
      </c>
      <c r="O73" s="100">
        <v>0</v>
      </c>
      <c r="P73" s="100">
        <v>0.64</v>
      </c>
      <c r="Q73" s="100">
        <v>9.32</v>
      </c>
      <c r="R73" s="6"/>
      <c r="S73" s="6"/>
      <c r="T73" s="156"/>
      <c r="U73" s="6"/>
    </row>
    <row r="74" spans="1:21" customFormat="1">
      <c r="A74" s="201" t="s">
        <v>1269</v>
      </c>
      <c r="B74" s="100">
        <v>2.3199999999999998</v>
      </c>
      <c r="C74" s="100">
        <v>15.33</v>
      </c>
      <c r="D74" s="100">
        <v>9.8699999999999992</v>
      </c>
      <c r="E74" s="100">
        <v>7.53</v>
      </c>
      <c r="F74" s="100">
        <v>4.49</v>
      </c>
      <c r="G74" s="100">
        <v>63.52</v>
      </c>
      <c r="H74" s="100">
        <v>33.409999999999997</v>
      </c>
      <c r="I74" s="100">
        <v>8.48</v>
      </c>
      <c r="J74" s="100">
        <v>0.17</v>
      </c>
      <c r="K74" s="100">
        <v>26.98</v>
      </c>
      <c r="L74" s="100">
        <v>15.66</v>
      </c>
      <c r="M74" s="100">
        <v>20.47</v>
      </c>
      <c r="N74" s="100">
        <v>18.2</v>
      </c>
      <c r="O74" s="100">
        <v>0</v>
      </c>
      <c r="P74" s="100">
        <v>0.63</v>
      </c>
      <c r="Q74" s="100">
        <v>9.32</v>
      </c>
      <c r="R74" s="6"/>
      <c r="S74" s="6"/>
      <c r="T74" s="156"/>
      <c r="U74" s="6"/>
    </row>
    <row r="75" spans="1:21" customFormat="1">
      <c r="A75" s="201" t="s">
        <v>1270</v>
      </c>
      <c r="B75" s="100">
        <v>2.33</v>
      </c>
      <c r="C75" s="100">
        <v>15.16</v>
      </c>
      <c r="D75" s="100">
        <v>9.7899999999999991</v>
      </c>
      <c r="E75" s="100">
        <v>7.04</v>
      </c>
      <c r="F75" s="100">
        <v>2</v>
      </c>
      <c r="G75" s="100">
        <v>61.82</v>
      </c>
      <c r="H75" s="100">
        <v>32.26</v>
      </c>
      <c r="I75" s="100">
        <v>8.2899999999999991</v>
      </c>
      <c r="J75" s="100">
        <v>0.14000000000000001</v>
      </c>
      <c r="K75" s="100">
        <v>37.14</v>
      </c>
      <c r="L75" s="100">
        <v>14.02</v>
      </c>
      <c r="M75" s="100">
        <v>16.54</v>
      </c>
      <c r="N75" s="100">
        <v>14.2</v>
      </c>
      <c r="O75" s="100">
        <v>0</v>
      </c>
      <c r="P75" s="100">
        <v>0.63</v>
      </c>
      <c r="Q75" s="100">
        <v>9.32</v>
      </c>
      <c r="R75" s="6"/>
      <c r="S75" s="6"/>
      <c r="T75" s="156"/>
      <c r="U75" s="6"/>
    </row>
    <row r="76" spans="1:21" customFormat="1">
      <c r="A76" s="201" t="s">
        <v>1271</v>
      </c>
      <c r="B76" s="100">
        <v>2.41</v>
      </c>
      <c r="C76" s="100">
        <v>15.27</v>
      </c>
      <c r="D76" s="100">
        <v>9.91</v>
      </c>
      <c r="E76" s="100">
        <v>6.88</v>
      </c>
      <c r="F76" s="100">
        <v>2</v>
      </c>
      <c r="G76" s="100">
        <v>61.82</v>
      </c>
      <c r="H76" s="100">
        <v>32.26</v>
      </c>
      <c r="I76" s="100">
        <v>8.25</v>
      </c>
      <c r="J76" s="100">
        <v>0.15</v>
      </c>
      <c r="K76" s="100">
        <v>74.69</v>
      </c>
      <c r="L76" s="100">
        <v>9.57</v>
      </c>
      <c r="M76" s="100">
        <v>5.61</v>
      </c>
      <c r="N76" s="100">
        <v>10.1</v>
      </c>
      <c r="O76" s="100">
        <v>0</v>
      </c>
      <c r="P76" s="100">
        <v>0.64</v>
      </c>
      <c r="Q76" s="100">
        <v>9.32</v>
      </c>
      <c r="R76" s="6"/>
      <c r="S76" s="6"/>
      <c r="T76" s="156"/>
      <c r="U76" s="6"/>
    </row>
    <row r="77" spans="1:21" customFormat="1">
      <c r="A77" s="201" t="s">
        <v>1272</v>
      </c>
      <c r="B77" s="100">
        <v>2.4</v>
      </c>
      <c r="C77" s="100">
        <v>14.76</v>
      </c>
      <c r="D77" s="100">
        <v>9.64</v>
      </c>
      <c r="E77" s="100">
        <v>6.75</v>
      </c>
      <c r="F77" s="100">
        <v>2</v>
      </c>
      <c r="G77" s="100">
        <v>61.82</v>
      </c>
      <c r="H77" s="100">
        <v>32.26</v>
      </c>
      <c r="I77" s="100">
        <v>8.24</v>
      </c>
      <c r="J77" s="100">
        <v>0.26</v>
      </c>
      <c r="K77" s="100">
        <v>152.03</v>
      </c>
      <c r="L77" s="100">
        <v>14.8</v>
      </c>
      <c r="M77" s="100">
        <v>18.96</v>
      </c>
      <c r="N77" s="100">
        <v>6.4</v>
      </c>
      <c r="O77" s="100">
        <v>0</v>
      </c>
      <c r="P77" s="100">
        <v>0.63</v>
      </c>
      <c r="Q77" s="100">
        <v>9.32</v>
      </c>
      <c r="R77" s="6"/>
      <c r="S77" s="6"/>
      <c r="T77" s="156"/>
      <c r="U77" s="6"/>
    </row>
    <row r="78" spans="1:21" customFormat="1">
      <c r="A78" s="201" t="s">
        <v>1273</v>
      </c>
      <c r="B78" s="100">
        <v>2.56</v>
      </c>
      <c r="C78" s="100">
        <v>14.69</v>
      </c>
      <c r="D78" s="100">
        <v>9.7200000000000006</v>
      </c>
      <c r="E78" s="100">
        <v>6.5</v>
      </c>
      <c r="F78" s="100">
        <v>2</v>
      </c>
      <c r="G78" s="100">
        <v>63.82</v>
      </c>
      <c r="H78" s="100">
        <v>32.92</v>
      </c>
      <c r="I78" s="100">
        <v>8.6199999999999992</v>
      </c>
      <c r="J78" s="100">
        <v>0.32</v>
      </c>
      <c r="K78" s="100">
        <v>156.78</v>
      </c>
      <c r="L78" s="100">
        <v>15.25</v>
      </c>
      <c r="M78" s="100">
        <v>20.059999999999999</v>
      </c>
      <c r="N78" s="100">
        <v>3.8</v>
      </c>
      <c r="O78" s="100">
        <v>0</v>
      </c>
      <c r="P78" s="100">
        <v>0.63</v>
      </c>
      <c r="Q78" s="100">
        <v>9.32</v>
      </c>
      <c r="R78" s="6"/>
      <c r="S78" s="6"/>
      <c r="T78" s="156"/>
      <c r="U78" s="6"/>
    </row>
    <row r="79" spans="1:21" customFormat="1">
      <c r="A79" s="201" t="s">
        <v>1274</v>
      </c>
      <c r="B79" s="100">
        <v>2.67</v>
      </c>
      <c r="C79" s="100">
        <v>14.15</v>
      </c>
      <c r="D79" s="100">
        <v>9.5399999999999991</v>
      </c>
      <c r="E79" s="100">
        <v>6.38</v>
      </c>
      <c r="F79" s="100">
        <v>2</v>
      </c>
      <c r="G79" s="100">
        <v>66.209999999999994</v>
      </c>
      <c r="H79" s="100">
        <v>33.369999999999997</v>
      </c>
      <c r="I79" s="100">
        <v>8.83</v>
      </c>
      <c r="J79" s="100">
        <v>0.3</v>
      </c>
      <c r="K79" s="100">
        <v>159.28</v>
      </c>
      <c r="L79" s="100">
        <v>15.47</v>
      </c>
      <c r="M79" s="100">
        <v>20.67</v>
      </c>
      <c r="N79" s="100">
        <v>2.8</v>
      </c>
      <c r="O79" s="100">
        <v>0</v>
      </c>
      <c r="P79" s="100">
        <v>0.63</v>
      </c>
      <c r="Q79" s="100">
        <v>9.32</v>
      </c>
      <c r="R79" s="6"/>
      <c r="S79" s="6"/>
      <c r="T79" s="156"/>
      <c r="U79" s="6"/>
    </row>
    <row r="80" spans="1:21" customFormat="1">
      <c r="A80" s="201" t="s">
        <v>1275</v>
      </c>
      <c r="B80" s="100">
        <v>2.8</v>
      </c>
      <c r="C80" s="100">
        <v>13.82</v>
      </c>
      <c r="D80" s="100">
        <v>9.4700000000000006</v>
      </c>
      <c r="E80" s="100">
        <v>6.69</v>
      </c>
      <c r="F80" s="100">
        <v>2</v>
      </c>
      <c r="G80" s="100">
        <v>66.209999999999994</v>
      </c>
      <c r="H80" s="100">
        <v>33.369999999999997</v>
      </c>
      <c r="I80" s="100">
        <v>8.6300000000000008</v>
      </c>
      <c r="J80" s="100">
        <v>0.22</v>
      </c>
      <c r="K80" s="100">
        <v>180.69</v>
      </c>
      <c r="L80" s="100">
        <v>17.47</v>
      </c>
      <c r="M80" s="100">
        <v>25.7</v>
      </c>
      <c r="N80" s="100">
        <v>2.6</v>
      </c>
      <c r="O80" s="100">
        <v>0</v>
      </c>
      <c r="P80" s="100">
        <v>0.64</v>
      </c>
      <c r="Q80" s="100">
        <v>9.32</v>
      </c>
      <c r="R80" s="6"/>
      <c r="S80" s="6"/>
      <c r="T80" s="156"/>
      <c r="U80" s="6"/>
    </row>
    <row r="81" spans="1:21" customFormat="1">
      <c r="A81" s="201" t="s">
        <v>1276</v>
      </c>
      <c r="B81" s="100">
        <v>2.92</v>
      </c>
      <c r="C81" s="100">
        <v>13.57</v>
      </c>
      <c r="D81" s="100">
        <v>9.44</v>
      </c>
      <c r="E81" s="100">
        <v>4.3600000000000003</v>
      </c>
      <c r="F81" s="100">
        <v>2</v>
      </c>
      <c r="G81" s="100">
        <v>66.209999999999994</v>
      </c>
      <c r="H81" s="100">
        <v>33.369999999999997</v>
      </c>
      <c r="I81" s="100">
        <v>8.64</v>
      </c>
      <c r="J81" s="100">
        <v>0.17</v>
      </c>
      <c r="K81" s="100">
        <v>185.46</v>
      </c>
      <c r="L81" s="100">
        <v>17.71</v>
      </c>
      <c r="M81" s="100">
        <v>26.36</v>
      </c>
      <c r="N81" s="100">
        <v>2.5</v>
      </c>
      <c r="O81" s="100">
        <v>0</v>
      </c>
      <c r="P81" s="100">
        <v>0.64</v>
      </c>
      <c r="Q81" s="100">
        <v>9.32</v>
      </c>
      <c r="R81" s="6"/>
      <c r="S81" s="6"/>
      <c r="T81" s="156"/>
      <c r="U81" s="6"/>
    </row>
    <row r="82" spans="1:21" customFormat="1">
      <c r="A82" s="201" t="s">
        <v>1277</v>
      </c>
      <c r="B82" s="100">
        <v>3.03</v>
      </c>
      <c r="C82" s="100">
        <v>13.36</v>
      </c>
      <c r="D82" s="100">
        <v>9.41</v>
      </c>
      <c r="E82" s="100">
        <v>5.48</v>
      </c>
      <c r="F82" s="100">
        <v>2</v>
      </c>
      <c r="G82" s="100">
        <v>72.900000000000006</v>
      </c>
      <c r="H82" s="100">
        <v>34.14</v>
      </c>
      <c r="I82" s="100">
        <v>8.67</v>
      </c>
      <c r="J82" s="100">
        <v>0.3</v>
      </c>
      <c r="K82" s="100">
        <v>158.97999999999999</v>
      </c>
      <c r="L82" s="100">
        <v>15.62</v>
      </c>
      <c r="M82" s="100">
        <v>21.11</v>
      </c>
      <c r="N82" s="100">
        <v>2.1</v>
      </c>
      <c r="O82" s="100">
        <v>0</v>
      </c>
      <c r="P82" s="100">
        <v>0.64</v>
      </c>
      <c r="Q82" s="100">
        <v>9.32</v>
      </c>
      <c r="R82" s="6"/>
      <c r="S82" s="6"/>
      <c r="T82" s="156"/>
      <c r="U82" s="6"/>
    </row>
    <row r="83" spans="1:21" customFormat="1">
      <c r="A83" s="201" t="s">
        <v>1278</v>
      </c>
      <c r="B83" s="100">
        <v>3.14</v>
      </c>
      <c r="C83" s="100">
        <v>13.07</v>
      </c>
      <c r="D83" s="100">
        <v>9.35</v>
      </c>
      <c r="E83" s="100">
        <v>5.58</v>
      </c>
      <c r="F83" s="100">
        <v>2</v>
      </c>
      <c r="G83" s="100">
        <v>80.900000000000006</v>
      </c>
      <c r="H83" s="100">
        <v>34.65</v>
      </c>
      <c r="I83" s="100">
        <v>8.82</v>
      </c>
      <c r="J83" s="100">
        <v>0.19</v>
      </c>
      <c r="K83" s="100">
        <v>225.69</v>
      </c>
      <c r="L83" s="100">
        <v>21</v>
      </c>
      <c r="M83" s="100">
        <v>34.39</v>
      </c>
      <c r="N83" s="100">
        <v>2.2999999999999998</v>
      </c>
      <c r="O83" s="100">
        <v>0</v>
      </c>
      <c r="P83" s="100">
        <v>0.65</v>
      </c>
      <c r="Q83" s="100">
        <v>9.32</v>
      </c>
      <c r="R83" s="6"/>
      <c r="S83" s="6"/>
      <c r="T83" s="156"/>
      <c r="U83" s="6"/>
    </row>
    <row r="84" spans="1:21" customFormat="1">
      <c r="A84" s="201" t="s">
        <v>1279</v>
      </c>
      <c r="B84" s="100">
        <v>3.21</v>
      </c>
      <c r="C84" s="100">
        <v>12.72</v>
      </c>
      <c r="D84" s="100">
        <v>9.2200000000000006</v>
      </c>
      <c r="E84" s="100">
        <v>5.26</v>
      </c>
      <c r="F84" s="100">
        <v>2</v>
      </c>
      <c r="G84" s="100">
        <v>80.900000000000006</v>
      </c>
      <c r="H84" s="100">
        <v>34.65</v>
      </c>
      <c r="I84" s="100">
        <v>8.8800000000000008</v>
      </c>
      <c r="J84" s="100">
        <v>0.13</v>
      </c>
      <c r="K84" s="100">
        <v>159.07</v>
      </c>
      <c r="L84" s="100">
        <v>17.809999999999999</v>
      </c>
      <c r="M84" s="100">
        <v>26.56</v>
      </c>
      <c r="N84" s="100">
        <v>2.2000000000000002</v>
      </c>
      <c r="O84" s="100">
        <v>0</v>
      </c>
      <c r="P84" s="100">
        <v>0.65</v>
      </c>
      <c r="Q84" s="100">
        <v>9.32</v>
      </c>
      <c r="R84" s="6"/>
      <c r="S84" s="6"/>
      <c r="T84" s="156"/>
      <c r="U84" s="6"/>
    </row>
    <row r="85" spans="1:21" customFormat="1">
      <c r="A85" s="201" t="s">
        <v>1280</v>
      </c>
      <c r="B85" s="100">
        <v>3.35</v>
      </c>
      <c r="C85" s="100">
        <v>12.38</v>
      </c>
      <c r="D85" s="100">
        <v>9.15</v>
      </c>
      <c r="E85" s="100">
        <v>5.59</v>
      </c>
      <c r="F85" s="100">
        <v>2</v>
      </c>
      <c r="G85" s="100">
        <v>80.900000000000006</v>
      </c>
      <c r="H85" s="100">
        <v>34.65</v>
      </c>
      <c r="I85" s="100">
        <v>8.94</v>
      </c>
      <c r="J85" s="100">
        <v>0.21</v>
      </c>
      <c r="K85" s="100">
        <v>230.54</v>
      </c>
      <c r="L85" s="100">
        <v>19.760000000000002</v>
      </c>
      <c r="M85" s="100">
        <v>31.47</v>
      </c>
      <c r="N85" s="100">
        <v>2</v>
      </c>
      <c r="O85" s="100">
        <v>0</v>
      </c>
      <c r="P85" s="100">
        <v>0.66</v>
      </c>
      <c r="Q85" s="100">
        <v>9.32</v>
      </c>
      <c r="R85" s="6"/>
      <c r="S85" s="6"/>
      <c r="T85" s="156"/>
      <c r="U85" s="6"/>
    </row>
    <row r="86" spans="1:21" customFormat="1">
      <c r="A86" s="201" t="s">
        <v>1281</v>
      </c>
      <c r="B86" s="100">
        <v>3.63</v>
      </c>
      <c r="C86" s="100">
        <v>12.17</v>
      </c>
      <c r="D86" s="100">
        <v>9.27</v>
      </c>
      <c r="E86" s="100">
        <v>5.5</v>
      </c>
      <c r="F86" s="100">
        <v>2</v>
      </c>
      <c r="G86" s="100">
        <v>79.84</v>
      </c>
      <c r="H86" s="100">
        <v>34.18</v>
      </c>
      <c r="I86" s="100">
        <v>9.18</v>
      </c>
      <c r="J86" s="100">
        <v>0.2</v>
      </c>
      <c r="K86" s="100">
        <v>159.30000000000001</v>
      </c>
      <c r="L86" s="100">
        <v>15.92</v>
      </c>
      <c r="M86" s="100">
        <v>22.03</v>
      </c>
      <c r="N86" s="100">
        <v>1.9</v>
      </c>
      <c r="O86" s="100">
        <v>0</v>
      </c>
      <c r="P86" s="100">
        <v>0.68</v>
      </c>
      <c r="Q86" s="100">
        <v>9.32</v>
      </c>
      <c r="R86" s="6"/>
      <c r="S86" s="6"/>
      <c r="T86" s="156"/>
      <c r="U86" s="6"/>
    </row>
    <row r="87" spans="1:21" customFormat="1">
      <c r="A87" s="201" t="s">
        <v>1282</v>
      </c>
      <c r="B87" s="100">
        <v>4.04</v>
      </c>
      <c r="C87" s="100">
        <v>11.96</v>
      </c>
      <c r="D87" s="100">
        <v>9.49</v>
      </c>
      <c r="E87" s="100">
        <v>5.45</v>
      </c>
      <c r="F87" s="100">
        <v>2</v>
      </c>
      <c r="G87" s="100">
        <v>78.52</v>
      </c>
      <c r="H87" s="100">
        <v>33.39</v>
      </c>
      <c r="I87" s="100">
        <v>9.4499999999999993</v>
      </c>
      <c r="J87" s="100">
        <v>0.15</v>
      </c>
      <c r="K87" s="100">
        <v>154.63</v>
      </c>
      <c r="L87" s="100">
        <v>14.82</v>
      </c>
      <c r="M87" s="100">
        <v>19.34</v>
      </c>
      <c r="N87" s="100">
        <v>2</v>
      </c>
      <c r="O87" s="100">
        <v>0</v>
      </c>
      <c r="P87" s="100">
        <v>0.68</v>
      </c>
      <c r="Q87" s="100">
        <v>9.32</v>
      </c>
      <c r="R87" s="6"/>
      <c r="S87" s="6"/>
      <c r="T87" s="156"/>
      <c r="U87" s="6"/>
    </row>
    <row r="88" spans="1:21" customFormat="1">
      <c r="A88" s="201" t="s">
        <v>1283</v>
      </c>
      <c r="B88" s="100">
        <v>4.57</v>
      </c>
      <c r="C88" s="100">
        <v>12.07</v>
      </c>
      <c r="D88" s="100">
        <v>9.9700000000000006</v>
      </c>
      <c r="E88" s="100">
        <v>5.64</v>
      </c>
      <c r="F88" s="100">
        <v>2</v>
      </c>
      <c r="G88" s="100">
        <v>78.52</v>
      </c>
      <c r="H88" s="100">
        <v>33.39</v>
      </c>
      <c r="I88" s="100">
        <v>9.89</v>
      </c>
      <c r="J88" s="100">
        <v>0.15</v>
      </c>
      <c r="K88" s="100">
        <v>74.64</v>
      </c>
      <c r="L88" s="100">
        <v>12.12</v>
      </c>
      <c r="M88" s="100">
        <v>12.46</v>
      </c>
      <c r="N88" s="100">
        <v>1.7</v>
      </c>
      <c r="O88" s="100">
        <v>0</v>
      </c>
      <c r="P88" s="100">
        <v>0.68</v>
      </c>
      <c r="Q88" s="100">
        <v>9.32</v>
      </c>
      <c r="R88" s="6"/>
      <c r="S88" s="6"/>
      <c r="T88" s="156"/>
      <c r="U88" s="6"/>
    </row>
    <row r="89" spans="1:21" customFormat="1">
      <c r="A89" s="201" t="s">
        <v>1284</v>
      </c>
      <c r="B89" s="100">
        <v>6.06</v>
      </c>
      <c r="C89" s="100">
        <v>12.56</v>
      </c>
      <c r="D89" s="100">
        <v>11.43</v>
      </c>
      <c r="E89" s="100">
        <v>5.66</v>
      </c>
      <c r="F89" s="100">
        <v>2</v>
      </c>
      <c r="G89" s="100">
        <v>78.52</v>
      </c>
      <c r="H89" s="100">
        <v>33.39</v>
      </c>
      <c r="I89" s="100">
        <v>10.31</v>
      </c>
      <c r="J89" s="100">
        <v>0.22</v>
      </c>
      <c r="K89" s="100">
        <v>179.79</v>
      </c>
      <c r="L89" s="100">
        <v>17.010000000000002</v>
      </c>
      <c r="M89" s="100">
        <v>24.87</v>
      </c>
      <c r="N89" s="100">
        <v>2.1</v>
      </c>
      <c r="O89" s="100">
        <v>0</v>
      </c>
      <c r="P89" s="100">
        <v>0.71</v>
      </c>
      <c r="Q89" s="100">
        <v>9.32</v>
      </c>
      <c r="R89" s="6"/>
      <c r="S89" s="6"/>
      <c r="T89" s="156"/>
      <c r="U89" s="6"/>
    </row>
    <row r="90" spans="1:21" customFormat="1">
      <c r="A90" s="201" t="s">
        <v>1285</v>
      </c>
      <c r="B90" s="100">
        <v>7.12</v>
      </c>
      <c r="C90" s="100">
        <v>12.92</v>
      </c>
      <c r="D90" s="100">
        <v>12.46</v>
      </c>
      <c r="E90" s="100">
        <v>6.04</v>
      </c>
      <c r="F90" s="100">
        <v>2</v>
      </c>
      <c r="G90" s="100">
        <v>80.010000000000005</v>
      </c>
      <c r="H90" s="100">
        <v>36.24</v>
      </c>
      <c r="I90" s="100">
        <v>10.74</v>
      </c>
      <c r="J90" s="100">
        <v>0.14000000000000001</v>
      </c>
      <c r="K90" s="100">
        <v>204.48</v>
      </c>
      <c r="L90" s="100">
        <v>18.649999999999999</v>
      </c>
      <c r="M90" s="100">
        <v>28.93</v>
      </c>
      <c r="N90" s="100">
        <v>2.1</v>
      </c>
      <c r="O90" s="100">
        <v>0</v>
      </c>
      <c r="P90" s="100">
        <v>0.72</v>
      </c>
      <c r="Q90" s="100">
        <v>9.32</v>
      </c>
      <c r="R90" s="6"/>
      <c r="S90" s="6"/>
      <c r="T90" s="156"/>
      <c r="U90" s="6"/>
    </row>
    <row r="91" spans="1:21" customFormat="1">
      <c r="A91" s="201" t="s">
        <v>1286</v>
      </c>
      <c r="B91" s="100">
        <v>7.63</v>
      </c>
      <c r="C91" s="100">
        <v>12.95</v>
      </c>
      <c r="D91" s="100">
        <v>12.88</v>
      </c>
      <c r="E91" s="100">
        <v>5.95</v>
      </c>
      <c r="F91" s="100">
        <v>2</v>
      </c>
      <c r="G91" s="100">
        <v>81.78</v>
      </c>
      <c r="H91" s="100">
        <v>38.090000000000003</v>
      </c>
      <c r="I91" s="100">
        <v>11.18</v>
      </c>
      <c r="J91" s="100">
        <v>0.14000000000000001</v>
      </c>
      <c r="K91" s="100">
        <v>202.69</v>
      </c>
      <c r="L91" s="100">
        <v>18.64</v>
      </c>
      <c r="M91" s="100">
        <v>28.91</v>
      </c>
      <c r="N91" s="100">
        <v>2.1</v>
      </c>
      <c r="O91" s="100">
        <v>0</v>
      </c>
      <c r="P91" s="100">
        <v>0.73</v>
      </c>
      <c r="Q91" s="100">
        <v>9.32</v>
      </c>
      <c r="R91" s="6"/>
      <c r="S91" s="6"/>
      <c r="T91" s="156"/>
      <c r="U91" s="6"/>
    </row>
    <row r="92" spans="1:21" customFormat="1">
      <c r="A92" s="201" t="s">
        <v>1287</v>
      </c>
      <c r="B92" s="100">
        <v>7.92</v>
      </c>
      <c r="C92" s="100">
        <v>13.06</v>
      </c>
      <c r="D92" s="100">
        <v>13.17</v>
      </c>
      <c r="E92" s="100">
        <v>5.71</v>
      </c>
      <c r="F92" s="100">
        <v>2</v>
      </c>
      <c r="G92" s="100">
        <v>81.78</v>
      </c>
      <c r="H92" s="100">
        <v>38.090000000000003</v>
      </c>
      <c r="I92" s="100">
        <v>11.54</v>
      </c>
      <c r="J92" s="100">
        <v>0.12</v>
      </c>
      <c r="K92" s="100">
        <v>208.38</v>
      </c>
      <c r="L92" s="100">
        <v>19.72</v>
      </c>
      <c r="M92" s="100">
        <v>31.64</v>
      </c>
      <c r="N92" s="100">
        <v>1.9</v>
      </c>
      <c r="O92" s="100">
        <v>0</v>
      </c>
      <c r="P92" s="100">
        <v>0.73</v>
      </c>
      <c r="Q92" s="100">
        <v>9.32</v>
      </c>
      <c r="R92" s="6"/>
      <c r="S92" s="6"/>
      <c r="T92" s="156"/>
      <c r="U92" s="6"/>
    </row>
    <row r="93" spans="1:21" customFormat="1">
      <c r="A93" s="201" t="s">
        <v>1288</v>
      </c>
      <c r="B93" s="100">
        <v>8.15</v>
      </c>
      <c r="C93" s="100">
        <v>13.01</v>
      </c>
      <c r="D93" s="100">
        <v>13.33</v>
      </c>
      <c r="E93" s="100">
        <v>5.86</v>
      </c>
      <c r="F93" s="100">
        <v>2</v>
      </c>
      <c r="G93" s="100">
        <v>81.78</v>
      </c>
      <c r="H93" s="100">
        <v>38.090000000000003</v>
      </c>
      <c r="I93" s="100">
        <v>11.77</v>
      </c>
      <c r="J93" s="100">
        <v>0.17</v>
      </c>
      <c r="K93" s="100">
        <v>227.22</v>
      </c>
      <c r="L93" s="100">
        <v>19.940000000000001</v>
      </c>
      <c r="M93" s="100">
        <v>32.19</v>
      </c>
      <c r="N93" s="100">
        <v>2.1</v>
      </c>
      <c r="O93" s="100">
        <v>0</v>
      </c>
      <c r="P93" s="100">
        <v>0.73</v>
      </c>
      <c r="Q93" s="100">
        <v>9.32</v>
      </c>
      <c r="R93" s="6"/>
      <c r="S93" s="6"/>
      <c r="T93" s="156"/>
      <c r="U93" s="6"/>
    </row>
    <row r="94" spans="1:21" customFormat="1">
      <c r="A94" s="201" t="s">
        <v>1289</v>
      </c>
      <c r="B94" s="100">
        <v>8.34</v>
      </c>
      <c r="C94" s="100">
        <v>12.86</v>
      </c>
      <c r="D94" s="100">
        <v>13.41</v>
      </c>
      <c r="E94" s="100">
        <v>5.66</v>
      </c>
      <c r="F94" s="100">
        <v>2</v>
      </c>
      <c r="G94" s="100">
        <v>79.959999999999994</v>
      </c>
      <c r="H94" s="100">
        <v>35.85</v>
      </c>
      <c r="I94" s="100">
        <v>11.94</v>
      </c>
      <c r="J94" s="100">
        <v>0.12</v>
      </c>
      <c r="K94" s="100">
        <v>197.9</v>
      </c>
      <c r="L94" s="100">
        <v>18.12</v>
      </c>
      <c r="M94" s="100">
        <v>27.62</v>
      </c>
      <c r="N94" s="100">
        <v>2.1</v>
      </c>
      <c r="O94" s="100">
        <v>0</v>
      </c>
      <c r="P94" s="100">
        <v>0.75</v>
      </c>
      <c r="Q94" s="100">
        <v>9.32</v>
      </c>
      <c r="R94" s="6"/>
      <c r="S94" s="6"/>
      <c r="T94" s="156"/>
      <c r="U94" s="6"/>
    </row>
    <row r="95" spans="1:21" customFormat="1">
      <c r="A95" s="201" t="s">
        <v>1290</v>
      </c>
      <c r="B95" s="100">
        <v>8.52</v>
      </c>
      <c r="C95" s="100">
        <v>12.69</v>
      </c>
      <c r="D95" s="100">
        <v>13.46</v>
      </c>
      <c r="E95" s="100">
        <v>5.63</v>
      </c>
      <c r="F95" s="100">
        <v>2</v>
      </c>
      <c r="G95" s="100">
        <v>77.77</v>
      </c>
      <c r="H95" s="100">
        <v>34.340000000000003</v>
      </c>
      <c r="I95" s="100">
        <v>12.13</v>
      </c>
      <c r="J95" s="100">
        <v>0.16</v>
      </c>
      <c r="K95" s="100">
        <v>215.28</v>
      </c>
      <c r="L95" s="100">
        <v>19.47</v>
      </c>
      <c r="M95" s="100">
        <v>31.01</v>
      </c>
      <c r="N95" s="100">
        <v>1.9</v>
      </c>
      <c r="O95" s="100">
        <v>0</v>
      </c>
      <c r="P95" s="100">
        <v>0.74</v>
      </c>
      <c r="Q95" s="100">
        <v>9.32</v>
      </c>
      <c r="R95" s="6"/>
      <c r="S95" s="6"/>
      <c r="T95" s="156"/>
      <c r="U95" s="6"/>
    </row>
    <row r="96" spans="1:21" customFormat="1">
      <c r="A96" s="201" t="s">
        <v>1291</v>
      </c>
      <c r="B96" s="100">
        <v>8.65</v>
      </c>
      <c r="C96" s="100">
        <v>12.49</v>
      </c>
      <c r="D96" s="100">
        <v>13.47</v>
      </c>
      <c r="E96" s="100">
        <v>5.7</v>
      </c>
      <c r="F96" s="100">
        <v>2</v>
      </c>
      <c r="G96" s="100">
        <v>77.77</v>
      </c>
      <c r="H96" s="100">
        <v>34.340000000000003</v>
      </c>
      <c r="I96" s="100">
        <v>12.32</v>
      </c>
      <c r="J96" s="100">
        <v>0.12</v>
      </c>
      <c r="K96" s="100">
        <v>207.23</v>
      </c>
      <c r="L96" s="100">
        <v>19.649999999999999</v>
      </c>
      <c r="M96" s="100">
        <v>31.45</v>
      </c>
      <c r="N96" s="100">
        <v>2</v>
      </c>
      <c r="O96" s="100">
        <v>0</v>
      </c>
      <c r="P96" s="100">
        <v>0.75</v>
      </c>
      <c r="Q96" s="100">
        <v>9.32</v>
      </c>
      <c r="R96" s="6"/>
      <c r="S96" s="6"/>
      <c r="T96" s="156"/>
      <c r="U96" s="6"/>
    </row>
    <row r="97" spans="1:28" customFormat="1">
      <c r="A97" s="201" t="s">
        <v>1292</v>
      </c>
      <c r="B97" s="100">
        <v>8.81</v>
      </c>
      <c r="C97" s="100">
        <v>12.29</v>
      </c>
      <c r="D97" s="100">
        <v>13.48</v>
      </c>
      <c r="E97" s="100">
        <v>5.77</v>
      </c>
      <c r="F97" s="100">
        <v>2</v>
      </c>
      <c r="G97" s="100">
        <v>77.77</v>
      </c>
      <c r="H97" s="100">
        <v>34.340000000000003</v>
      </c>
      <c r="I97" s="100">
        <v>12.51</v>
      </c>
      <c r="J97" s="100">
        <v>0.18</v>
      </c>
      <c r="K97" s="100">
        <v>165.63</v>
      </c>
      <c r="L97" s="100">
        <v>15.54</v>
      </c>
      <c r="M97" s="100">
        <v>21.18</v>
      </c>
      <c r="N97" s="100">
        <v>1.9</v>
      </c>
      <c r="O97" s="100">
        <v>0</v>
      </c>
      <c r="P97" s="100">
        <v>0.75</v>
      </c>
      <c r="Q97" s="100">
        <v>9.32</v>
      </c>
      <c r="R97" s="6"/>
      <c r="S97" s="6"/>
      <c r="T97" s="156"/>
      <c r="U97" s="6"/>
    </row>
    <row r="98" spans="1:28" customFormat="1">
      <c r="A98" s="201" t="s">
        <v>1293</v>
      </c>
      <c r="B98" s="100">
        <v>8.9499999999999993</v>
      </c>
      <c r="C98" s="100">
        <v>12.2</v>
      </c>
      <c r="D98" s="100">
        <v>13.55</v>
      </c>
      <c r="E98" s="100">
        <v>5.79</v>
      </c>
      <c r="F98" s="100">
        <v>2</v>
      </c>
      <c r="G98" s="100">
        <v>76.23</v>
      </c>
      <c r="H98" s="100">
        <v>37.03</v>
      </c>
      <c r="I98" s="100">
        <v>12.71</v>
      </c>
      <c r="J98" s="100">
        <v>0.13</v>
      </c>
      <c r="K98" s="100">
        <v>161.21</v>
      </c>
      <c r="L98" s="100">
        <v>14.98</v>
      </c>
      <c r="M98" s="100">
        <v>19.77</v>
      </c>
      <c r="N98" s="100">
        <v>1.8</v>
      </c>
      <c r="O98" s="100">
        <v>0</v>
      </c>
      <c r="P98" s="100">
        <v>0.75</v>
      </c>
      <c r="Q98" s="100">
        <v>9.32</v>
      </c>
      <c r="R98" s="6"/>
      <c r="S98" s="6"/>
      <c r="T98" s="156"/>
      <c r="U98" s="6"/>
    </row>
    <row r="99" spans="1:28" customFormat="1">
      <c r="A99" s="201" t="s">
        <v>1294</v>
      </c>
      <c r="B99" s="100">
        <v>9.11</v>
      </c>
      <c r="C99" s="100">
        <v>12.2</v>
      </c>
      <c r="D99" s="100">
        <v>13.68</v>
      </c>
      <c r="E99" s="100">
        <v>5.65</v>
      </c>
      <c r="F99" s="100">
        <v>2</v>
      </c>
      <c r="G99" s="100">
        <v>74.290000000000006</v>
      </c>
      <c r="H99" s="100">
        <v>38.85</v>
      </c>
      <c r="I99" s="100">
        <v>12.82</v>
      </c>
      <c r="J99" s="100">
        <v>0.18</v>
      </c>
      <c r="K99" s="100">
        <v>306.39999999999998</v>
      </c>
      <c r="L99" s="100">
        <v>19.329999999999998</v>
      </c>
      <c r="M99" s="100">
        <v>30.57</v>
      </c>
      <c r="N99" s="100">
        <v>1.7</v>
      </c>
      <c r="O99" s="100">
        <v>0</v>
      </c>
      <c r="P99" s="100">
        <v>0.75</v>
      </c>
      <c r="Q99" s="100">
        <v>9.32</v>
      </c>
      <c r="R99" s="6"/>
      <c r="S99" s="6"/>
      <c r="T99" s="156"/>
      <c r="U99" s="6"/>
    </row>
    <row r="100" spans="1:28" customFormat="1">
      <c r="A100" s="201" t="s">
        <v>1295</v>
      </c>
      <c r="B100" s="100">
        <v>9.94</v>
      </c>
      <c r="C100" s="100">
        <v>12.49</v>
      </c>
      <c r="D100" s="100">
        <v>14.5</v>
      </c>
      <c r="E100" s="100">
        <v>5.57</v>
      </c>
      <c r="F100" s="100">
        <v>2</v>
      </c>
      <c r="G100" s="100">
        <v>74.290000000000006</v>
      </c>
      <c r="H100" s="100">
        <v>38.85</v>
      </c>
      <c r="I100" s="100">
        <v>12.85</v>
      </c>
      <c r="J100" s="100">
        <v>0.03</v>
      </c>
      <c r="K100" s="100">
        <v>128.5</v>
      </c>
      <c r="L100" s="100">
        <v>17</v>
      </c>
      <c r="M100" s="100">
        <v>24.73</v>
      </c>
      <c r="N100" s="100">
        <v>1.7</v>
      </c>
      <c r="O100" s="100">
        <v>0</v>
      </c>
      <c r="P100" s="100">
        <v>0.77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1296</v>
      </c>
      <c r="B101" s="100">
        <v>11.53</v>
      </c>
      <c r="C101" s="100">
        <v>13.12</v>
      </c>
      <c r="D101" s="100">
        <v>16.11</v>
      </c>
      <c r="E101" s="100">
        <v>5.75</v>
      </c>
      <c r="F101" s="100">
        <v>2</v>
      </c>
      <c r="G101" s="100">
        <v>74.290000000000006</v>
      </c>
      <c r="H101" s="100">
        <v>38.85</v>
      </c>
      <c r="I101" s="100">
        <v>12.92</v>
      </c>
      <c r="J101" s="100">
        <v>7.0000000000000007E-2</v>
      </c>
      <c r="K101" s="100">
        <v>149.37</v>
      </c>
      <c r="L101" s="100">
        <v>15.69</v>
      </c>
      <c r="M101" s="100">
        <v>21.52</v>
      </c>
      <c r="N101" s="100">
        <v>1.9</v>
      </c>
      <c r="O101" s="100">
        <v>0</v>
      </c>
      <c r="P101" s="100">
        <v>0.8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1297</v>
      </c>
      <c r="B102" s="100">
        <v>13.01</v>
      </c>
      <c r="C102" s="100">
        <v>13.78</v>
      </c>
      <c r="D102" s="100">
        <v>17.63</v>
      </c>
      <c r="E102" s="100">
        <v>5.87</v>
      </c>
      <c r="F102" s="100">
        <v>2</v>
      </c>
      <c r="G102" s="100">
        <v>77.8</v>
      </c>
      <c r="H102" s="100">
        <v>40.54</v>
      </c>
      <c r="I102" s="100">
        <v>13.14</v>
      </c>
      <c r="J102" s="100">
        <v>0.11</v>
      </c>
      <c r="K102" s="100">
        <v>190.42</v>
      </c>
      <c r="L102" s="100">
        <v>17.54</v>
      </c>
      <c r="M102" s="100">
        <v>26.19</v>
      </c>
      <c r="N102" s="100">
        <v>2</v>
      </c>
      <c r="O102" s="100">
        <v>0</v>
      </c>
      <c r="P102" s="100">
        <v>0.83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1298</v>
      </c>
      <c r="B103" s="100">
        <v>14.31</v>
      </c>
      <c r="C103" s="100">
        <v>14.21</v>
      </c>
      <c r="D103" s="100">
        <v>18.899999999999999</v>
      </c>
      <c r="E103" s="100">
        <v>5.98</v>
      </c>
      <c r="F103" s="100">
        <v>2</v>
      </c>
      <c r="G103" s="100">
        <v>81.98</v>
      </c>
      <c r="H103" s="100">
        <v>41.64</v>
      </c>
      <c r="I103" s="100">
        <v>13.61</v>
      </c>
      <c r="J103" s="100">
        <v>0.05</v>
      </c>
      <c r="K103" s="100">
        <v>83.18</v>
      </c>
      <c r="L103" s="100">
        <v>16.95</v>
      </c>
      <c r="M103" s="100">
        <v>24.65</v>
      </c>
      <c r="N103" s="100">
        <v>2.1</v>
      </c>
      <c r="O103" s="100">
        <v>0</v>
      </c>
      <c r="P103" s="100">
        <v>0.88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1299</v>
      </c>
      <c r="B104" s="100">
        <v>15.53</v>
      </c>
      <c r="C104" s="100">
        <v>14.43</v>
      </c>
      <c r="D104" s="100">
        <v>20</v>
      </c>
      <c r="E104" s="100">
        <v>5.97</v>
      </c>
      <c r="F104" s="100">
        <v>2</v>
      </c>
      <c r="G104" s="100">
        <v>81.98</v>
      </c>
      <c r="H104" s="100">
        <v>41.64</v>
      </c>
      <c r="I104" s="100">
        <v>14.2</v>
      </c>
      <c r="J104" s="100">
        <v>0.4</v>
      </c>
      <c r="K104" s="100">
        <v>42.12</v>
      </c>
      <c r="L104" s="100">
        <v>8.15</v>
      </c>
      <c r="M104" s="100">
        <v>2.36</v>
      </c>
      <c r="N104" s="100">
        <v>1.3</v>
      </c>
      <c r="O104" s="100">
        <v>0</v>
      </c>
      <c r="P104" s="100">
        <v>0.91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2.1800000000000002</v>
      </c>
      <c r="C106" s="158">
        <f>MIN(C9:C104)</f>
        <v>11.96</v>
      </c>
      <c r="D106" s="158">
        <f t="shared" ref="D106:Q106" si="0">MIN(D9:D104)</f>
        <v>9.15</v>
      </c>
      <c r="E106" s="158">
        <f t="shared" si="0"/>
        <v>4.3600000000000003</v>
      </c>
      <c r="F106" s="158">
        <f t="shared" si="0"/>
        <v>2</v>
      </c>
      <c r="G106" s="158">
        <f t="shared" si="0"/>
        <v>61.82</v>
      </c>
      <c r="H106" s="158">
        <f t="shared" si="0"/>
        <v>32.26</v>
      </c>
      <c r="I106" s="158">
        <f t="shared" si="0"/>
        <v>8.24</v>
      </c>
      <c r="J106" s="158">
        <f t="shared" si="0"/>
        <v>0.03</v>
      </c>
      <c r="K106" s="158">
        <f t="shared" si="0"/>
        <v>12.59</v>
      </c>
      <c r="L106" s="158">
        <f t="shared" si="0"/>
        <v>7.49</v>
      </c>
      <c r="M106" s="158">
        <f t="shared" si="0"/>
        <v>-1.26</v>
      </c>
      <c r="N106" s="158">
        <f t="shared" si="0"/>
        <v>1.3</v>
      </c>
      <c r="O106" s="158">
        <f t="shared" si="0"/>
        <v>0</v>
      </c>
      <c r="P106" s="158">
        <f t="shared" si="0"/>
        <v>0.63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25.25</v>
      </c>
      <c r="C107" s="157">
        <f t="shared" ref="C107:Q107" si="1">MAX(C9:C104)</f>
        <v>16.510000000000002</v>
      </c>
      <c r="D107" s="157">
        <f t="shared" si="1"/>
        <v>27.73</v>
      </c>
      <c r="E107" s="157">
        <f t="shared" si="1"/>
        <v>8.5399999999999991</v>
      </c>
      <c r="F107" s="157">
        <f t="shared" si="1"/>
        <v>8.27</v>
      </c>
      <c r="G107" s="157">
        <f t="shared" si="1"/>
        <v>114.34</v>
      </c>
      <c r="H107" s="157">
        <f t="shared" si="1"/>
        <v>58.75</v>
      </c>
      <c r="I107" s="157">
        <f t="shared" si="1"/>
        <v>14.73</v>
      </c>
      <c r="J107" s="157">
        <f t="shared" si="1"/>
        <v>0.74</v>
      </c>
      <c r="K107" s="157">
        <f t="shared" si="1"/>
        <v>358.98</v>
      </c>
      <c r="L107" s="157">
        <f t="shared" si="1"/>
        <v>29.92</v>
      </c>
      <c r="M107" s="157">
        <f t="shared" si="1"/>
        <v>46.11</v>
      </c>
      <c r="N107" s="157">
        <f t="shared" si="1"/>
        <v>611.29999999999995</v>
      </c>
      <c r="O107" s="157">
        <f t="shared" si="1"/>
        <v>0</v>
      </c>
      <c r="P107" s="157">
        <f t="shared" si="1"/>
        <v>1.07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12.779895833333335</v>
      </c>
      <c r="C108" s="158">
        <f t="shared" ref="C108:Q108" si="2">AVERAGE(C9:C104)</f>
        <v>14.262187500000001</v>
      </c>
      <c r="D108" s="158">
        <f t="shared" si="2"/>
        <v>17.700729166666683</v>
      </c>
      <c r="E108" s="158">
        <f t="shared" si="2"/>
        <v>6.5748958333333354</v>
      </c>
      <c r="F108" s="158">
        <f t="shared" si="2"/>
        <v>2.2627083333333338</v>
      </c>
      <c r="G108" s="158">
        <f t="shared" si="2"/>
        <v>88.678854166666667</v>
      </c>
      <c r="H108" s="158">
        <f t="shared" si="2"/>
        <v>45.167604166666671</v>
      </c>
      <c r="I108" s="158">
        <f t="shared" si="2"/>
        <v>11.900937499999998</v>
      </c>
      <c r="J108" s="158">
        <f t="shared" si="2"/>
        <v>0.24354166666666668</v>
      </c>
      <c r="K108" s="158">
        <f t="shared" si="2"/>
        <v>145.5690625</v>
      </c>
      <c r="L108" s="158">
        <f t="shared" si="2"/>
        <v>16.437500000000004</v>
      </c>
      <c r="M108" s="158">
        <f t="shared" si="2"/>
        <v>20.3321875</v>
      </c>
      <c r="N108" s="158">
        <f t="shared" si="2"/>
        <v>123.96875000000004</v>
      </c>
      <c r="O108" s="158">
        <f t="shared" si="2"/>
        <v>0</v>
      </c>
      <c r="P108" s="158">
        <f t="shared" si="2"/>
        <v>0.8371875000000002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8.2392629326442446</v>
      </c>
      <c r="C109" s="158">
        <f t="shared" ref="C109:Q109" si="3">STDEV(C9:C104)</f>
        <v>1.150951279891643</v>
      </c>
      <c r="D109" s="158">
        <f t="shared" si="3"/>
        <v>6.703096730505087</v>
      </c>
      <c r="E109" s="158">
        <f t="shared" si="3"/>
        <v>0.72712120873549524</v>
      </c>
      <c r="F109" s="158">
        <f t="shared" si="3"/>
        <v>0.95020937212658141</v>
      </c>
      <c r="G109" s="158">
        <f t="shared" si="3"/>
        <v>15.501641058783292</v>
      </c>
      <c r="H109" s="158">
        <f t="shared" si="3"/>
        <v>8.6064501814556902</v>
      </c>
      <c r="I109" s="158">
        <f t="shared" si="3"/>
        <v>2.0050001066412975</v>
      </c>
      <c r="J109" s="158">
        <f t="shared" si="3"/>
        <v>0.1657326900807547</v>
      </c>
      <c r="K109" s="158">
        <f t="shared" si="3"/>
        <v>94.157126650678137</v>
      </c>
      <c r="L109" s="158">
        <f t="shared" si="3"/>
        <v>4.0926411495447947</v>
      </c>
      <c r="M109" s="158">
        <f t="shared" si="3"/>
        <v>10.292820206146256</v>
      </c>
      <c r="N109" s="158">
        <f t="shared" si="3"/>
        <v>204.5475023004887</v>
      </c>
      <c r="O109" s="158">
        <f t="shared" si="3"/>
        <v>0</v>
      </c>
      <c r="P109" s="158">
        <f t="shared" si="3"/>
        <v>0.14249434430143024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75" activePane="bottomRight" state="frozen"/>
      <selection pane="topRight"/>
      <selection pane="bottomLeft"/>
      <selection pane="bottomRight" activeCell="E12" sqref="E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1300</v>
      </c>
      <c r="B9" s="100">
        <v>16.920000000000002</v>
      </c>
      <c r="C9" s="100">
        <v>14.84</v>
      </c>
      <c r="D9" s="100">
        <v>21.32</v>
      </c>
      <c r="E9" s="100">
        <v>6.05</v>
      </c>
      <c r="F9" s="100">
        <v>2</v>
      </c>
      <c r="G9" s="100">
        <v>81.98</v>
      </c>
      <c r="H9" s="100">
        <v>41.64</v>
      </c>
      <c r="I9" s="100">
        <v>14.87</v>
      </c>
      <c r="J9" s="100">
        <v>0.2</v>
      </c>
      <c r="K9" s="100">
        <v>21.96</v>
      </c>
      <c r="L9" s="100">
        <v>9.1300000000000008</v>
      </c>
      <c r="M9" s="100">
        <v>4.67</v>
      </c>
      <c r="N9" s="100">
        <v>1.6</v>
      </c>
      <c r="O9" s="100">
        <v>0</v>
      </c>
      <c r="P9" s="100">
        <v>0.94</v>
      </c>
      <c r="Q9" s="100">
        <v>9.32</v>
      </c>
      <c r="R9" s="6"/>
      <c r="S9" s="6"/>
      <c r="T9" s="156"/>
      <c r="U9" s="6"/>
    </row>
    <row r="10" spans="1:21" customFormat="1">
      <c r="A10" s="201" t="s">
        <v>1301</v>
      </c>
      <c r="B10" s="100">
        <v>17.45</v>
      </c>
      <c r="C10" s="100">
        <v>15.1</v>
      </c>
      <c r="D10" s="100">
        <v>21.89</v>
      </c>
      <c r="E10" s="100">
        <v>6.35</v>
      </c>
      <c r="F10" s="100">
        <v>2</v>
      </c>
      <c r="G10" s="100">
        <v>90.81</v>
      </c>
      <c r="H10" s="100">
        <v>47.05</v>
      </c>
      <c r="I10" s="100">
        <v>15.54</v>
      </c>
      <c r="J10" s="100">
        <v>0.14000000000000001</v>
      </c>
      <c r="K10" s="100">
        <v>202.47</v>
      </c>
      <c r="L10" s="100">
        <v>19.39</v>
      </c>
      <c r="M10" s="100">
        <v>30.55</v>
      </c>
      <c r="N10" s="100">
        <v>2.2000000000000002</v>
      </c>
      <c r="O10" s="100">
        <v>0</v>
      </c>
      <c r="P10" s="100">
        <v>0.94</v>
      </c>
      <c r="Q10" s="100">
        <v>9.32</v>
      </c>
      <c r="R10" s="6"/>
      <c r="S10" s="6"/>
      <c r="T10" s="156"/>
      <c r="U10" s="6"/>
    </row>
    <row r="11" spans="1:21" customFormat="1">
      <c r="A11" s="201" t="s">
        <v>1302</v>
      </c>
      <c r="B11" s="100">
        <v>17.7</v>
      </c>
      <c r="C11" s="100">
        <v>15.21</v>
      </c>
      <c r="D11" s="100">
        <v>22.14</v>
      </c>
      <c r="E11" s="100">
        <v>6.25</v>
      </c>
      <c r="F11" s="100">
        <v>2</v>
      </c>
      <c r="G11" s="100">
        <v>101.36</v>
      </c>
      <c r="H11" s="100">
        <v>50.71</v>
      </c>
      <c r="I11" s="100">
        <v>15.89</v>
      </c>
      <c r="J11" s="100">
        <v>0.17</v>
      </c>
      <c r="K11" s="100">
        <v>211.53</v>
      </c>
      <c r="L11" s="100">
        <v>19.579999999999998</v>
      </c>
      <c r="M11" s="100">
        <v>30.96</v>
      </c>
      <c r="N11" s="100">
        <v>2.4</v>
      </c>
      <c r="O11" s="100">
        <v>0</v>
      </c>
      <c r="P11" s="100">
        <v>0.96</v>
      </c>
      <c r="Q11" s="100">
        <v>9.32</v>
      </c>
      <c r="R11" s="6"/>
      <c r="S11" s="6"/>
      <c r="T11" s="156"/>
      <c r="U11" s="6"/>
    </row>
    <row r="12" spans="1:21" customFormat="1">
      <c r="A12" s="201" t="s">
        <v>1303</v>
      </c>
      <c r="B12" s="100">
        <v>17.579999999999998</v>
      </c>
      <c r="C12" s="100">
        <v>15.13</v>
      </c>
      <c r="D12" s="100">
        <v>22</v>
      </c>
      <c r="E12" s="100">
        <v>6.32</v>
      </c>
      <c r="F12" s="100">
        <v>2</v>
      </c>
      <c r="G12" s="100">
        <v>101.36</v>
      </c>
      <c r="H12" s="100">
        <v>50.71</v>
      </c>
      <c r="I12" s="100">
        <v>16.02</v>
      </c>
      <c r="J12" s="100">
        <v>0.1</v>
      </c>
      <c r="K12" s="100">
        <v>176.37</v>
      </c>
      <c r="L12" s="100">
        <v>17.73</v>
      </c>
      <c r="M12" s="100">
        <v>26.37</v>
      </c>
      <c r="N12" s="100">
        <v>2.1</v>
      </c>
      <c r="O12" s="100">
        <v>0</v>
      </c>
      <c r="P12" s="100">
        <v>0.96</v>
      </c>
      <c r="Q12" s="100">
        <v>9.32</v>
      </c>
      <c r="R12" s="6"/>
      <c r="S12" s="6"/>
      <c r="T12" s="156"/>
      <c r="U12" s="6"/>
    </row>
    <row r="13" spans="1:21" customFormat="1">
      <c r="A13" s="201" t="s">
        <v>1304</v>
      </c>
      <c r="B13" s="100">
        <v>17.399999999999999</v>
      </c>
      <c r="C13" s="100">
        <v>15</v>
      </c>
      <c r="D13" s="100">
        <v>21.79</v>
      </c>
      <c r="E13" s="100">
        <v>6.39</v>
      </c>
      <c r="F13" s="100">
        <v>2</v>
      </c>
      <c r="G13" s="100">
        <v>101.36</v>
      </c>
      <c r="H13" s="100">
        <v>50.71</v>
      </c>
      <c r="I13" s="100">
        <v>16.13</v>
      </c>
      <c r="J13" s="100">
        <v>0.1</v>
      </c>
      <c r="K13" s="100">
        <v>134.94</v>
      </c>
      <c r="L13" s="100">
        <v>14.38</v>
      </c>
      <c r="M13" s="100">
        <v>18.03</v>
      </c>
      <c r="N13" s="100">
        <v>2</v>
      </c>
      <c r="O13" s="100">
        <v>0</v>
      </c>
      <c r="P13" s="100">
        <v>0.98</v>
      </c>
      <c r="Q13" s="100">
        <v>9.32</v>
      </c>
      <c r="R13" s="6"/>
      <c r="S13" s="6"/>
      <c r="T13" s="156"/>
      <c r="U13" s="6"/>
    </row>
    <row r="14" spans="1:21" customFormat="1">
      <c r="A14" s="201" t="s">
        <v>1305</v>
      </c>
      <c r="B14" s="100">
        <v>17.21</v>
      </c>
      <c r="C14" s="100">
        <v>14.83</v>
      </c>
      <c r="D14" s="100">
        <v>21.55</v>
      </c>
      <c r="E14" s="100">
        <v>6.37</v>
      </c>
      <c r="F14" s="100">
        <v>2</v>
      </c>
      <c r="G14" s="100">
        <v>106.23</v>
      </c>
      <c r="H14" s="100">
        <v>52.48</v>
      </c>
      <c r="I14" s="100">
        <v>16.309999999999999</v>
      </c>
      <c r="J14" s="100">
        <v>0.08</v>
      </c>
      <c r="K14" s="100">
        <v>173.34</v>
      </c>
      <c r="L14" s="100">
        <v>17.05</v>
      </c>
      <c r="M14" s="100">
        <v>24.72</v>
      </c>
      <c r="N14" s="100">
        <v>2.1</v>
      </c>
      <c r="O14" s="100">
        <v>0</v>
      </c>
      <c r="P14" s="100">
        <v>1.01</v>
      </c>
      <c r="Q14" s="100">
        <v>9.32</v>
      </c>
      <c r="R14" s="6"/>
      <c r="S14" s="6"/>
      <c r="T14" s="156"/>
      <c r="U14" s="6"/>
    </row>
    <row r="15" spans="1:21" customFormat="1">
      <c r="A15" s="201" t="s">
        <v>1306</v>
      </c>
      <c r="B15" s="100">
        <v>17.579999999999998</v>
      </c>
      <c r="C15" s="100">
        <v>14.7</v>
      </c>
      <c r="D15" s="100">
        <v>21.78</v>
      </c>
      <c r="E15" s="100">
        <v>6.3</v>
      </c>
      <c r="F15" s="100">
        <v>2</v>
      </c>
      <c r="G15" s="100">
        <v>112.31</v>
      </c>
      <c r="H15" s="100">
        <v>55.47</v>
      </c>
      <c r="I15" s="100">
        <v>16.55</v>
      </c>
      <c r="J15" s="100">
        <v>0.15</v>
      </c>
      <c r="K15" s="100">
        <v>145.47999999999999</v>
      </c>
      <c r="L15" s="100">
        <v>14.16</v>
      </c>
      <c r="M15" s="100">
        <v>17.399999999999999</v>
      </c>
      <c r="N15" s="100">
        <v>1.9</v>
      </c>
      <c r="O15" s="100">
        <v>0</v>
      </c>
      <c r="P15" s="100">
        <v>1.01</v>
      </c>
      <c r="Q15" s="100">
        <v>9.32</v>
      </c>
      <c r="R15" s="6"/>
      <c r="S15" s="6"/>
      <c r="T15" s="156"/>
      <c r="U15" s="6"/>
    </row>
    <row r="16" spans="1:21" customFormat="1">
      <c r="A16" s="201" t="s">
        <v>1307</v>
      </c>
      <c r="B16" s="100">
        <v>17.79</v>
      </c>
      <c r="C16" s="100">
        <v>14.69</v>
      </c>
      <c r="D16" s="100">
        <v>21.94</v>
      </c>
      <c r="E16" s="100">
        <v>6.49</v>
      </c>
      <c r="F16" s="100">
        <v>2</v>
      </c>
      <c r="G16" s="100">
        <v>112.31</v>
      </c>
      <c r="H16" s="100">
        <v>55.47</v>
      </c>
      <c r="I16" s="100">
        <v>16.739999999999998</v>
      </c>
      <c r="J16" s="100">
        <v>0.13</v>
      </c>
      <c r="K16" s="100">
        <v>152.04</v>
      </c>
      <c r="L16" s="100">
        <v>14.72</v>
      </c>
      <c r="M16" s="100">
        <v>18.88</v>
      </c>
      <c r="N16" s="100">
        <v>1.8</v>
      </c>
      <c r="O16" s="100">
        <v>0</v>
      </c>
      <c r="P16" s="100">
        <v>1.02</v>
      </c>
      <c r="Q16" s="100">
        <v>9.32</v>
      </c>
      <c r="R16" s="6"/>
      <c r="S16" s="6"/>
      <c r="T16" s="156"/>
      <c r="U16" s="6"/>
    </row>
    <row r="17" spans="1:21" customFormat="1">
      <c r="A17" s="201" t="s">
        <v>1308</v>
      </c>
      <c r="B17" s="100">
        <v>17.559999999999999</v>
      </c>
      <c r="C17" s="100">
        <v>14.42</v>
      </c>
      <c r="D17" s="100">
        <v>21.61</v>
      </c>
      <c r="E17" s="100">
        <v>5.79</v>
      </c>
      <c r="F17" s="100">
        <v>2</v>
      </c>
      <c r="G17" s="100">
        <v>112.31</v>
      </c>
      <c r="H17" s="100">
        <v>55.47</v>
      </c>
      <c r="I17" s="100">
        <v>16.91</v>
      </c>
      <c r="J17" s="100">
        <v>0.1</v>
      </c>
      <c r="K17" s="100">
        <v>153.5</v>
      </c>
      <c r="L17" s="100">
        <v>15.24</v>
      </c>
      <c r="M17" s="100">
        <v>20.22</v>
      </c>
      <c r="N17" s="100">
        <v>1.9</v>
      </c>
      <c r="O17" s="100">
        <v>0</v>
      </c>
      <c r="P17" s="100">
        <v>1.03</v>
      </c>
      <c r="Q17" s="100">
        <v>9.32</v>
      </c>
      <c r="R17" s="6"/>
      <c r="S17" s="6"/>
      <c r="T17" s="156"/>
      <c r="U17" s="6"/>
    </row>
    <row r="18" spans="1:21" customFormat="1">
      <c r="A18" s="201" t="s">
        <v>1309</v>
      </c>
      <c r="B18" s="100">
        <v>17.309999999999999</v>
      </c>
      <c r="C18" s="100">
        <v>14.16</v>
      </c>
      <c r="D18" s="100">
        <v>21.28</v>
      </c>
      <c r="E18" s="100">
        <v>6.53</v>
      </c>
      <c r="F18" s="100">
        <v>2</v>
      </c>
      <c r="G18" s="100">
        <v>109.6</v>
      </c>
      <c r="H18" s="100">
        <v>53.84</v>
      </c>
      <c r="I18" s="100">
        <v>17.05</v>
      </c>
      <c r="J18" s="100">
        <v>0.09</v>
      </c>
      <c r="K18" s="100">
        <v>168.39</v>
      </c>
      <c r="L18" s="100">
        <v>16.59</v>
      </c>
      <c r="M18" s="100">
        <v>23.57</v>
      </c>
      <c r="N18" s="100">
        <v>1.9</v>
      </c>
      <c r="O18" s="100">
        <v>0</v>
      </c>
      <c r="P18" s="100">
        <v>1.03</v>
      </c>
      <c r="Q18" s="100">
        <v>9.32</v>
      </c>
      <c r="R18" s="6"/>
      <c r="S18" s="6"/>
      <c r="T18" s="156"/>
      <c r="U18" s="6"/>
    </row>
    <row r="19" spans="1:21" customFormat="1">
      <c r="A19" s="201" t="s">
        <v>1310</v>
      </c>
      <c r="B19" s="100">
        <v>17.190000000000001</v>
      </c>
      <c r="C19" s="100">
        <v>13.85</v>
      </c>
      <c r="D19" s="100">
        <v>21.02</v>
      </c>
      <c r="E19" s="100">
        <v>7.04</v>
      </c>
      <c r="F19" s="100">
        <v>2</v>
      </c>
      <c r="G19" s="100">
        <v>106.21</v>
      </c>
      <c r="H19" s="100">
        <v>52.74</v>
      </c>
      <c r="I19" s="100">
        <v>17.14</v>
      </c>
      <c r="J19" s="100">
        <v>0.08</v>
      </c>
      <c r="K19" s="100">
        <v>227.93</v>
      </c>
      <c r="L19" s="100">
        <v>19.399999999999999</v>
      </c>
      <c r="M19" s="100">
        <v>30.56</v>
      </c>
      <c r="N19" s="100">
        <v>2</v>
      </c>
      <c r="O19" s="100">
        <v>0</v>
      </c>
      <c r="P19" s="100">
        <v>1.04</v>
      </c>
      <c r="Q19" s="100">
        <v>9.32</v>
      </c>
      <c r="R19" s="6"/>
      <c r="S19" s="6"/>
      <c r="T19" s="156"/>
      <c r="U19" s="6"/>
    </row>
    <row r="20" spans="1:21" customFormat="1">
      <c r="A20" s="201" t="s">
        <v>1311</v>
      </c>
      <c r="B20" s="100">
        <v>17.02</v>
      </c>
      <c r="C20" s="100">
        <v>13.61</v>
      </c>
      <c r="D20" s="100">
        <v>20.76</v>
      </c>
      <c r="E20" s="100">
        <v>6.95</v>
      </c>
      <c r="F20" s="100">
        <v>2</v>
      </c>
      <c r="G20" s="100">
        <v>106.21</v>
      </c>
      <c r="H20" s="100">
        <v>52.74</v>
      </c>
      <c r="I20" s="100">
        <v>17.170000000000002</v>
      </c>
      <c r="J20" s="100">
        <v>0.1</v>
      </c>
      <c r="K20" s="100">
        <v>197.23</v>
      </c>
      <c r="L20" s="100">
        <v>19.04</v>
      </c>
      <c r="M20" s="100">
        <v>29.71</v>
      </c>
      <c r="N20" s="100">
        <v>1.8</v>
      </c>
      <c r="O20" s="100">
        <v>0</v>
      </c>
      <c r="P20" s="100">
        <v>1.04</v>
      </c>
      <c r="Q20" s="100">
        <v>9.32</v>
      </c>
      <c r="R20" s="6"/>
      <c r="S20" s="6"/>
      <c r="T20" s="156"/>
      <c r="U20" s="6"/>
    </row>
    <row r="21" spans="1:21" customFormat="1">
      <c r="A21" s="201" t="s">
        <v>1312</v>
      </c>
      <c r="B21" s="100">
        <v>16.989999999999998</v>
      </c>
      <c r="C21" s="100">
        <v>13.4</v>
      </c>
      <c r="D21" s="100">
        <v>20.63</v>
      </c>
      <c r="E21" s="100">
        <v>6.73</v>
      </c>
      <c r="F21" s="100">
        <v>2</v>
      </c>
      <c r="G21" s="100">
        <v>106.21</v>
      </c>
      <c r="H21" s="100">
        <v>52.74</v>
      </c>
      <c r="I21" s="100">
        <v>17.25</v>
      </c>
      <c r="J21" s="100">
        <v>0.13</v>
      </c>
      <c r="K21" s="100">
        <v>202.02</v>
      </c>
      <c r="L21" s="100">
        <v>19.010000000000002</v>
      </c>
      <c r="M21" s="100">
        <v>29.64</v>
      </c>
      <c r="N21" s="100">
        <v>1.8</v>
      </c>
      <c r="O21" s="100">
        <v>0</v>
      </c>
      <c r="P21" s="100">
        <v>1.05</v>
      </c>
      <c r="Q21" s="100">
        <v>9.33</v>
      </c>
      <c r="R21" s="6"/>
      <c r="S21" s="6"/>
      <c r="T21" s="156"/>
      <c r="U21" s="6"/>
    </row>
    <row r="22" spans="1:21" customFormat="1">
      <c r="A22" s="201" t="s">
        <v>1313</v>
      </c>
      <c r="B22" s="100">
        <v>16.87</v>
      </c>
      <c r="C22" s="100">
        <v>13.05</v>
      </c>
      <c r="D22" s="100">
        <v>20.350000000000001</v>
      </c>
      <c r="E22" s="100">
        <v>6.64</v>
      </c>
      <c r="F22" s="100">
        <v>2</v>
      </c>
      <c r="G22" s="100">
        <v>102.45</v>
      </c>
      <c r="H22" s="100">
        <v>54.09</v>
      </c>
      <c r="I22" s="100">
        <v>17.350000000000001</v>
      </c>
      <c r="J22" s="100">
        <v>0.09</v>
      </c>
      <c r="K22" s="100">
        <v>197.47</v>
      </c>
      <c r="L22" s="100">
        <v>18.03</v>
      </c>
      <c r="M22" s="100">
        <v>27.18</v>
      </c>
      <c r="N22" s="100">
        <v>1.9</v>
      </c>
      <c r="O22" s="100">
        <v>0</v>
      </c>
      <c r="P22" s="100">
        <v>1.05</v>
      </c>
      <c r="Q22" s="100">
        <v>9.32</v>
      </c>
      <c r="R22" s="6"/>
      <c r="S22" s="6"/>
      <c r="T22" s="156"/>
      <c r="U22" s="6"/>
    </row>
    <row r="23" spans="1:21" customFormat="1">
      <c r="A23" s="201" t="s">
        <v>1314</v>
      </c>
      <c r="B23" s="100">
        <v>16.649999999999999</v>
      </c>
      <c r="C23" s="100">
        <v>12.83</v>
      </c>
      <c r="D23" s="100">
        <v>20.059999999999999</v>
      </c>
      <c r="E23" s="100">
        <v>6.64</v>
      </c>
      <c r="F23" s="100">
        <v>2</v>
      </c>
      <c r="G23" s="100">
        <v>97.74</v>
      </c>
      <c r="H23" s="100">
        <v>55</v>
      </c>
      <c r="I23" s="100">
        <v>17.420000000000002</v>
      </c>
      <c r="J23" s="100">
        <v>0.08</v>
      </c>
      <c r="K23" s="100">
        <v>195.98</v>
      </c>
      <c r="L23" s="100">
        <v>17.66</v>
      </c>
      <c r="M23" s="100">
        <v>26.24</v>
      </c>
      <c r="N23" s="100">
        <v>2</v>
      </c>
      <c r="O23" s="100">
        <v>0</v>
      </c>
      <c r="P23" s="100">
        <v>1.05</v>
      </c>
      <c r="Q23" s="100">
        <v>9.69</v>
      </c>
      <c r="R23" s="6"/>
      <c r="S23" s="6"/>
      <c r="T23" s="156"/>
      <c r="U23" s="6"/>
    </row>
    <row r="24" spans="1:21" customFormat="1">
      <c r="A24" s="201" t="s">
        <v>1315</v>
      </c>
      <c r="B24" s="100">
        <v>16.440000000000001</v>
      </c>
      <c r="C24" s="100">
        <v>12.58</v>
      </c>
      <c r="D24" s="100">
        <v>19.760000000000002</v>
      </c>
      <c r="E24" s="100">
        <v>6.71</v>
      </c>
      <c r="F24" s="100">
        <v>2</v>
      </c>
      <c r="G24" s="100">
        <v>97.74</v>
      </c>
      <c r="H24" s="100">
        <v>55</v>
      </c>
      <c r="I24" s="100">
        <v>17.43</v>
      </c>
      <c r="J24" s="100">
        <v>0.11</v>
      </c>
      <c r="K24" s="100">
        <v>221.64</v>
      </c>
      <c r="L24" s="100">
        <v>20.25</v>
      </c>
      <c r="M24" s="100">
        <v>32.69</v>
      </c>
      <c r="N24" s="100">
        <v>1.9</v>
      </c>
      <c r="O24" s="100">
        <v>0</v>
      </c>
      <c r="P24" s="100">
        <v>1.06</v>
      </c>
      <c r="Q24" s="100">
        <v>11.44</v>
      </c>
      <c r="R24" s="6"/>
      <c r="S24" s="6"/>
      <c r="T24" s="156"/>
      <c r="U24" s="6"/>
    </row>
    <row r="25" spans="1:21" customFormat="1">
      <c r="A25" s="201" t="s">
        <v>1316</v>
      </c>
      <c r="B25" s="100">
        <v>16.32</v>
      </c>
      <c r="C25" s="100">
        <v>12.48</v>
      </c>
      <c r="D25" s="100">
        <v>19.61</v>
      </c>
      <c r="E25" s="100">
        <v>6.72</v>
      </c>
      <c r="F25" s="100">
        <v>2</v>
      </c>
      <c r="G25" s="100">
        <v>97.74</v>
      </c>
      <c r="H25" s="100">
        <v>55</v>
      </c>
      <c r="I25" s="100">
        <v>17.510000000000002</v>
      </c>
      <c r="J25" s="100">
        <v>0.1</v>
      </c>
      <c r="K25" s="100">
        <v>232.68</v>
      </c>
      <c r="L25" s="100">
        <v>20.93</v>
      </c>
      <c r="M25" s="100">
        <v>34.42</v>
      </c>
      <c r="N25" s="100">
        <v>1.9</v>
      </c>
      <c r="O25" s="100">
        <v>0</v>
      </c>
      <c r="P25" s="100">
        <v>1.05</v>
      </c>
      <c r="Q25" s="100">
        <v>26.05</v>
      </c>
      <c r="R25" s="6"/>
      <c r="S25" s="6"/>
      <c r="T25" s="156"/>
      <c r="U25" s="6"/>
    </row>
    <row r="26" spans="1:21" customFormat="1">
      <c r="A26" s="201" t="s">
        <v>1317</v>
      </c>
      <c r="B26" s="100">
        <v>16.690000000000001</v>
      </c>
      <c r="C26" s="100">
        <v>12.54</v>
      </c>
      <c r="D26" s="100">
        <v>19.93</v>
      </c>
      <c r="E26" s="100">
        <v>6.74</v>
      </c>
      <c r="F26" s="100">
        <v>2</v>
      </c>
      <c r="G26" s="100">
        <v>95.57</v>
      </c>
      <c r="H26" s="100">
        <v>53.8</v>
      </c>
      <c r="I26" s="100">
        <v>17.559999999999999</v>
      </c>
      <c r="J26" s="100">
        <v>0.13</v>
      </c>
      <c r="K26" s="100">
        <v>186.03</v>
      </c>
      <c r="L26" s="100">
        <v>17.79</v>
      </c>
      <c r="M26" s="100">
        <v>26.61</v>
      </c>
      <c r="N26" s="100">
        <v>1.6</v>
      </c>
      <c r="O26" s="100">
        <v>0</v>
      </c>
      <c r="P26" s="100">
        <v>1.06</v>
      </c>
      <c r="Q26" s="100">
        <v>12.33</v>
      </c>
      <c r="R26" s="6"/>
      <c r="S26" s="6"/>
      <c r="T26" s="156"/>
      <c r="U26" s="6"/>
    </row>
    <row r="27" spans="1:21" customFormat="1">
      <c r="A27" s="201" t="s">
        <v>1318</v>
      </c>
      <c r="B27" s="100">
        <v>17.97</v>
      </c>
      <c r="C27" s="100">
        <v>12.72</v>
      </c>
      <c r="D27" s="100">
        <v>21.05</v>
      </c>
      <c r="E27" s="100">
        <v>6.8</v>
      </c>
      <c r="F27" s="100">
        <v>2</v>
      </c>
      <c r="G27" s="100">
        <v>92.85</v>
      </c>
      <c r="H27" s="100">
        <v>52.99</v>
      </c>
      <c r="I27" s="100">
        <v>17.52</v>
      </c>
      <c r="J27" s="100">
        <v>0.14000000000000001</v>
      </c>
      <c r="K27" s="100">
        <v>171.06</v>
      </c>
      <c r="L27" s="100">
        <v>16.14</v>
      </c>
      <c r="M27" s="100">
        <v>22.49</v>
      </c>
      <c r="N27" s="100">
        <v>1.7</v>
      </c>
      <c r="O27" s="100">
        <v>0</v>
      </c>
      <c r="P27" s="100">
        <v>1.06</v>
      </c>
      <c r="Q27" s="100">
        <v>10.74</v>
      </c>
      <c r="R27" s="6"/>
      <c r="S27" s="6"/>
      <c r="T27" s="156"/>
      <c r="U27" s="6"/>
    </row>
    <row r="28" spans="1:21" customFormat="1">
      <c r="A28" s="201" t="s">
        <v>1319</v>
      </c>
      <c r="B28" s="100">
        <v>18.91</v>
      </c>
      <c r="C28" s="100">
        <v>12.99</v>
      </c>
      <c r="D28" s="100">
        <v>21.95</v>
      </c>
      <c r="E28" s="100">
        <v>6.81</v>
      </c>
      <c r="F28" s="100">
        <v>2</v>
      </c>
      <c r="G28" s="100">
        <v>92.85</v>
      </c>
      <c r="H28" s="100">
        <v>52.99</v>
      </c>
      <c r="I28" s="100">
        <v>17.5</v>
      </c>
      <c r="J28" s="100">
        <v>0.1</v>
      </c>
      <c r="K28" s="100">
        <v>217.57</v>
      </c>
      <c r="L28" s="100">
        <v>19.8</v>
      </c>
      <c r="M28" s="100">
        <v>31.64</v>
      </c>
      <c r="N28" s="100">
        <v>1.8</v>
      </c>
      <c r="O28" s="100">
        <v>0</v>
      </c>
      <c r="P28" s="100">
        <v>1.06</v>
      </c>
      <c r="Q28" s="100">
        <v>9.32</v>
      </c>
      <c r="R28" s="6"/>
      <c r="S28" s="6"/>
      <c r="T28" s="156"/>
      <c r="U28" s="6"/>
    </row>
    <row r="29" spans="1:21" customFormat="1">
      <c r="A29" s="201" t="s">
        <v>1320</v>
      </c>
      <c r="B29" s="100">
        <v>19.18</v>
      </c>
      <c r="C29" s="100">
        <v>13.01</v>
      </c>
      <c r="D29" s="100">
        <v>22.18</v>
      </c>
      <c r="E29" s="100">
        <v>6.83</v>
      </c>
      <c r="F29" s="100">
        <v>2</v>
      </c>
      <c r="G29" s="100">
        <v>92.85</v>
      </c>
      <c r="H29" s="100">
        <v>52.99</v>
      </c>
      <c r="I29" s="100">
        <v>17.53</v>
      </c>
      <c r="J29" s="100">
        <v>0.13</v>
      </c>
      <c r="K29" s="100">
        <v>190.55</v>
      </c>
      <c r="L29" s="100">
        <v>17.77</v>
      </c>
      <c r="M29" s="100">
        <v>26.71</v>
      </c>
      <c r="N29" s="100">
        <v>1.9</v>
      </c>
      <c r="O29" s="100">
        <v>0</v>
      </c>
      <c r="P29" s="100">
        <v>1.07</v>
      </c>
      <c r="Q29" s="100">
        <v>9.32</v>
      </c>
      <c r="R29" s="6"/>
      <c r="S29" s="6"/>
      <c r="T29" s="156"/>
      <c r="U29" s="6"/>
    </row>
    <row r="30" spans="1:21" customFormat="1">
      <c r="A30" s="201" t="s">
        <v>1321</v>
      </c>
      <c r="B30" s="100">
        <v>19.05</v>
      </c>
      <c r="C30" s="100">
        <v>13.06</v>
      </c>
      <c r="D30" s="100">
        <v>22.1</v>
      </c>
      <c r="E30" s="100">
        <v>6.94</v>
      </c>
      <c r="F30" s="100">
        <v>2</v>
      </c>
      <c r="G30" s="100">
        <v>89.8</v>
      </c>
      <c r="H30" s="100">
        <v>51.79</v>
      </c>
      <c r="I30" s="100">
        <v>17.579999999999998</v>
      </c>
      <c r="J30" s="100">
        <v>0.4</v>
      </c>
      <c r="K30" s="100">
        <v>166.18</v>
      </c>
      <c r="L30" s="100">
        <v>16.190000000000001</v>
      </c>
      <c r="M30" s="100">
        <v>22.83</v>
      </c>
      <c r="N30" s="100">
        <v>1.9</v>
      </c>
      <c r="O30" s="100">
        <v>0</v>
      </c>
      <c r="P30" s="100">
        <v>1.08</v>
      </c>
      <c r="Q30" s="100">
        <v>9.32</v>
      </c>
      <c r="R30" s="6"/>
      <c r="S30" s="6"/>
      <c r="T30" s="156"/>
      <c r="U30" s="6"/>
    </row>
    <row r="31" spans="1:21" customFormat="1">
      <c r="A31" s="201" t="s">
        <v>1322</v>
      </c>
      <c r="B31" s="100">
        <v>18.84</v>
      </c>
      <c r="C31" s="100">
        <v>12.95</v>
      </c>
      <c r="D31" s="100">
        <v>21.87</v>
      </c>
      <c r="E31" s="100">
        <v>6.44</v>
      </c>
      <c r="F31" s="100">
        <v>2</v>
      </c>
      <c r="G31" s="100">
        <v>85.99</v>
      </c>
      <c r="H31" s="100">
        <v>50.98</v>
      </c>
      <c r="I31" s="100">
        <v>17.579999999999998</v>
      </c>
      <c r="J31" s="100">
        <v>7.0000000000000007E-2</v>
      </c>
      <c r="K31" s="100">
        <v>184.45</v>
      </c>
      <c r="L31" s="100">
        <v>17.600000000000001</v>
      </c>
      <c r="M31" s="100">
        <v>26.3</v>
      </c>
      <c r="N31" s="100">
        <v>2.1</v>
      </c>
      <c r="O31" s="100">
        <v>0</v>
      </c>
      <c r="P31" s="100">
        <v>1.07</v>
      </c>
      <c r="Q31" s="100">
        <v>9.5399999999999991</v>
      </c>
      <c r="R31" s="6"/>
      <c r="S31" s="6"/>
      <c r="T31" s="156"/>
      <c r="U31" s="6"/>
    </row>
    <row r="32" spans="1:21" customFormat="1">
      <c r="A32" s="201" t="s">
        <v>1323</v>
      </c>
      <c r="B32" s="100">
        <v>18.54</v>
      </c>
      <c r="C32" s="100">
        <v>12.98</v>
      </c>
      <c r="D32" s="100">
        <v>21.65</v>
      </c>
      <c r="E32" s="100">
        <v>6.44</v>
      </c>
      <c r="F32" s="100">
        <v>2</v>
      </c>
      <c r="G32" s="100">
        <v>85.99</v>
      </c>
      <c r="H32" s="100">
        <v>50.98</v>
      </c>
      <c r="I32" s="100">
        <v>17.559999999999999</v>
      </c>
      <c r="J32" s="100">
        <v>7.0000000000000007E-2</v>
      </c>
      <c r="K32" s="100">
        <v>203.2</v>
      </c>
      <c r="L32" s="100">
        <v>18.920000000000002</v>
      </c>
      <c r="M32" s="100">
        <v>29.6</v>
      </c>
      <c r="N32" s="100">
        <v>2.1</v>
      </c>
      <c r="O32" s="100">
        <v>0</v>
      </c>
      <c r="P32" s="100">
        <v>1.07</v>
      </c>
      <c r="Q32" s="100">
        <v>9.32</v>
      </c>
      <c r="R32" s="6"/>
      <c r="S32" s="6"/>
      <c r="T32" s="156"/>
      <c r="U32" s="6"/>
    </row>
    <row r="33" spans="1:21" customFormat="1">
      <c r="A33" s="201" t="s">
        <v>1324</v>
      </c>
      <c r="B33" s="100">
        <v>18.23</v>
      </c>
      <c r="C33" s="100">
        <v>12.98</v>
      </c>
      <c r="D33" s="100">
        <v>21.4</v>
      </c>
      <c r="E33" s="100">
        <v>6.6</v>
      </c>
      <c r="F33" s="100">
        <v>2</v>
      </c>
      <c r="G33" s="100">
        <v>85.99</v>
      </c>
      <c r="H33" s="100">
        <v>50.98</v>
      </c>
      <c r="I33" s="100">
        <v>17.579999999999998</v>
      </c>
      <c r="J33" s="100">
        <v>0.11</v>
      </c>
      <c r="K33" s="100">
        <v>143.35</v>
      </c>
      <c r="L33" s="100">
        <v>13.68</v>
      </c>
      <c r="M33" s="100">
        <v>16.46</v>
      </c>
      <c r="N33" s="100">
        <v>2.8</v>
      </c>
      <c r="O33" s="100">
        <v>0</v>
      </c>
      <c r="P33" s="100">
        <v>1.06</v>
      </c>
      <c r="Q33" s="100">
        <v>9.32</v>
      </c>
      <c r="R33" s="6"/>
      <c r="S33" s="6"/>
      <c r="T33" s="156"/>
      <c r="U33" s="6"/>
    </row>
    <row r="34" spans="1:21" customFormat="1">
      <c r="A34" s="201" t="s">
        <v>1325</v>
      </c>
      <c r="B34" s="100">
        <v>18.27</v>
      </c>
      <c r="C34" s="100">
        <v>13.03</v>
      </c>
      <c r="D34" s="100">
        <v>21.46</v>
      </c>
      <c r="E34" s="100">
        <v>6.77</v>
      </c>
      <c r="F34" s="100">
        <v>2</v>
      </c>
      <c r="G34" s="100">
        <v>85.52</v>
      </c>
      <c r="H34" s="100">
        <v>50.4</v>
      </c>
      <c r="I34" s="100">
        <v>17.579999999999998</v>
      </c>
      <c r="J34" s="100">
        <v>7.0000000000000007E-2</v>
      </c>
      <c r="K34" s="100">
        <v>165.93</v>
      </c>
      <c r="L34" s="100">
        <v>16.46</v>
      </c>
      <c r="M34" s="100">
        <v>23.37</v>
      </c>
      <c r="N34" s="100">
        <v>6.8</v>
      </c>
      <c r="O34" s="100">
        <v>0</v>
      </c>
      <c r="P34" s="100">
        <v>1.05</v>
      </c>
      <c r="Q34" s="100">
        <v>9.32</v>
      </c>
      <c r="R34" s="6"/>
      <c r="S34" s="6"/>
      <c r="T34" s="156"/>
      <c r="U34" s="6"/>
    </row>
    <row r="35" spans="1:21" customFormat="1">
      <c r="A35" s="201" t="s">
        <v>1326</v>
      </c>
      <c r="B35" s="100">
        <v>18.510000000000002</v>
      </c>
      <c r="C35" s="100">
        <v>13.04</v>
      </c>
      <c r="D35" s="100">
        <v>21.65</v>
      </c>
      <c r="E35" s="100">
        <v>6.53</v>
      </c>
      <c r="F35" s="100">
        <v>2</v>
      </c>
      <c r="G35" s="100">
        <v>84.93</v>
      </c>
      <c r="H35" s="100">
        <v>50</v>
      </c>
      <c r="I35" s="100">
        <v>17.55</v>
      </c>
      <c r="J35" s="100">
        <v>0.09</v>
      </c>
      <c r="K35" s="100">
        <v>191.45</v>
      </c>
      <c r="L35" s="100">
        <v>18.170000000000002</v>
      </c>
      <c r="M35" s="100">
        <v>27.5</v>
      </c>
      <c r="N35" s="100">
        <v>13.5</v>
      </c>
      <c r="O35" s="100">
        <v>0</v>
      </c>
      <c r="P35" s="100">
        <v>1.05</v>
      </c>
      <c r="Q35" s="100">
        <v>9.32</v>
      </c>
      <c r="R35" s="6"/>
      <c r="S35" s="6"/>
      <c r="T35" s="156"/>
      <c r="U35" s="6"/>
    </row>
    <row r="36" spans="1:21" customFormat="1">
      <c r="A36" s="201" t="s">
        <v>1327</v>
      </c>
      <c r="B36" s="100">
        <v>18.61</v>
      </c>
      <c r="C36" s="100">
        <v>12.85</v>
      </c>
      <c r="D36" s="100">
        <v>21.63</v>
      </c>
      <c r="E36" s="100">
        <v>6.36</v>
      </c>
      <c r="F36" s="100">
        <v>2</v>
      </c>
      <c r="G36" s="100">
        <v>84.93</v>
      </c>
      <c r="H36" s="100">
        <v>50</v>
      </c>
      <c r="I36" s="100">
        <v>17.54</v>
      </c>
      <c r="J36" s="100">
        <v>0.11</v>
      </c>
      <c r="K36" s="100">
        <v>168.61</v>
      </c>
      <c r="L36" s="100">
        <v>16.61</v>
      </c>
      <c r="M36" s="100">
        <v>23.39</v>
      </c>
      <c r="N36" s="100">
        <v>22.5</v>
      </c>
      <c r="O36" s="100">
        <v>0</v>
      </c>
      <c r="P36" s="100">
        <v>1.04</v>
      </c>
      <c r="Q36" s="100">
        <v>9.32</v>
      </c>
      <c r="R36" s="6"/>
      <c r="S36" s="6"/>
      <c r="T36" s="156"/>
      <c r="U36" s="6"/>
    </row>
    <row r="37" spans="1:21" customFormat="1">
      <c r="A37" s="201" t="s">
        <v>1328</v>
      </c>
      <c r="B37" s="100">
        <v>18.510000000000002</v>
      </c>
      <c r="C37" s="100">
        <v>12.8</v>
      </c>
      <c r="D37" s="100">
        <v>21.53</v>
      </c>
      <c r="E37" s="100">
        <v>6.38</v>
      </c>
      <c r="F37" s="100">
        <v>2</v>
      </c>
      <c r="G37" s="100">
        <v>84.93</v>
      </c>
      <c r="H37" s="100">
        <v>50</v>
      </c>
      <c r="I37" s="100">
        <v>17.5</v>
      </c>
      <c r="J37" s="100">
        <v>0.1</v>
      </c>
      <c r="K37" s="100">
        <v>207.16</v>
      </c>
      <c r="L37" s="100">
        <v>18.13</v>
      </c>
      <c r="M37" s="100">
        <v>26.88</v>
      </c>
      <c r="N37" s="100">
        <v>34.9</v>
      </c>
      <c r="O37" s="100">
        <v>0</v>
      </c>
      <c r="P37" s="100">
        <v>1.04</v>
      </c>
      <c r="Q37" s="100">
        <v>9.32</v>
      </c>
      <c r="R37" s="6"/>
      <c r="S37" s="6"/>
      <c r="T37" s="156"/>
      <c r="U37" s="6"/>
    </row>
    <row r="38" spans="1:21" customFormat="1">
      <c r="A38" s="201" t="s">
        <v>1329</v>
      </c>
      <c r="B38" s="100">
        <v>18.98</v>
      </c>
      <c r="C38" s="100">
        <v>13.03</v>
      </c>
      <c r="D38" s="100">
        <v>22.03</v>
      </c>
      <c r="E38" s="100">
        <v>6.46</v>
      </c>
      <c r="F38" s="100">
        <v>2</v>
      </c>
      <c r="G38" s="100">
        <v>83.15</v>
      </c>
      <c r="H38" s="100">
        <v>49.11</v>
      </c>
      <c r="I38" s="100">
        <v>17.43</v>
      </c>
      <c r="J38" s="100">
        <v>0.05</v>
      </c>
      <c r="K38" s="100">
        <v>247.47</v>
      </c>
      <c r="L38" s="100">
        <v>19.23</v>
      </c>
      <c r="M38" s="100">
        <v>29</v>
      </c>
      <c r="N38" s="100">
        <v>51.5</v>
      </c>
      <c r="O38" s="100">
        <v>0</v>
      </c>
      <c r="P38" s="100">
        <v>1.04</v>
      </c>
      <c r="Q38" s="100">
        <v>9.32</v>
      </c>
      <c r="R38" s="6"/>
      <c r="S38" s="6"/>
      <c r="T38" s="156"/>
      <c r="U38" s="6"/>
    </row>
    <row r="39" spans="1:21" customFormat="1">
      <c r="A39" s="201" t="s">
        <v>1330</v>
      </c>
      <c r="B39" s="100">
        <v>20.05</v>
      </c>
      <c r="C39" s="100">
        <v>13.45</v>
      </c>
      <c r="D39" s="100">
        <v>23.1</v>
      </c>
      <c r="E39" s="100">
        <v>6.64</v>
      </c>
      <c r="F39" s="100">
        <v>2</v>
      </c>
      <c r="G39" s="100">
        <v>80.92</v>
      </c>
      <c r="H39" s="100">
        <v>47.71</v>
      </c>
      <c r="I39" s="100">
        <v>17.37</v>
      </c>
      <c r="J39" s="100">
        <v>0.03</v>
      </c>
      <c r="K39" s="100">
        <v>0.12</v>
      </c>
      <c r="L39" s="100">
        <v>16.920000000000002</v>
      </c>
      <c r="M39" s="100">
        <v>22.65</v>
      </c>
      <c r="N39" s="100">
        <v>74</v>
      </c>
      <c r="O39" s="100">
        <v>0</v>
      </c>
      <c r="P39" s="100">
        <v>1.04</v>
      </c>
      <c r="Q39" s="100">
        <v>9.32</v>
      </c>
      <c r="R39" s="6"/>
      <c r="S39" s="6"/>
      <c r="T39" s="156"/>
      <c r="U39" s="6"/>
    </row>
    <row r="40" spans="1:21" customFormat="1">
      <c r="A40" s="201" t="s">
        <v>1331</v>
      </c>
      <c r="B40" s="100">
        <v>20.5</v>
      </c>
      <c r="C40" s="100">
        <v>13.9</v>
      </c>
      <c r="D40" s="100">
        <v>23.69</v>
      </c>
      <c r="E40" s="100">
        <v>6.59</v>
      </c>
      <c r="F40" s="100">
        <v>2</v>
      </c>
      <c r="G40" s="100">
        <v>80.92</v>
      </c>
      <c r="H40" s="100">
        <v>47.71</v>
      </c>
      <c r="I40" s="100">
        <v>17.350000000000001</v>
      </c>
      <c r="J40" s="100">
        <v>0.23</v>
      </c>
      <c r="K40" s="100">
        <v>24.71</v>
      </c>
      <c r="L40" s="100">
        <v>14.05</v>
      </c>
      <c r="M40" s="100">
        <v>12.94</v>
      </c>
      <c r="N40" s="100">
        <v>181</v>
      </c>
      <c r="O40" s="100">
        <v>0</v>
      </c>
      <c r="P40" s="100">
        <v>1.04</v>
      </c>
      <c r="Q40" s="100">
        <v>9.32</v>
      </c>
      <c r="R40" s="6"/>
      <c r="S40" s="6"/>
      <c r="T40" s="156"/>
      <c r="U40" s="6"/>
    </row>
    <row r="41" spans="1:21" customFormat="1">
      <c r="A41" s="201" t="s">
        <v>1332</v>
      </c>
      <c r="B41" s="100">
        <v>20.39</v>
      </c>
      <c r="C41" s="100">
        <v>14.53</v>
      </c>
      <c r="D41" s="100">
        <v>23.95</v>
      </c>
      <c r="E41" s="100">
        <v>6.32</v>
      </c>
      <c r="F41" s="100">
        <v>2</v>
      </c>
      <c r="G41" s="100">
        <v>80.92</v>
      </c>
      <c r="H41" s="100">
        <v>47.71</v>
      </c>
      <c r="I41" s="100">
        <v>17.37</v>
      </c>
      <c r="J41" s="100">
        <v>0.36</v>
      </c>
      <c r="K41" s="100">
        <v>32.72</v>
      </c>
      <c r="L41" s="100">
        <v>13.72</v>
      </c>
      <c r="M41" s="100">
        <v>11.18</v>
      </c>
      <c r="N41" s="100">
        <v>218.4</v>
      </c>
      <c r="O41" s="100">
        <v>0</v>
      </c>
      <c r="P41" s="100">
        <v>1.03</v>
      </c>
      <c r="Q41" s="100">
        <v>9.2200000000000006</v>
      </c>
      <c r="R41" s="6"/>
      <c r="S41" s="6"/>
      <c r="T41" s="156"/>
      <c r="U41" s="6"/>
    </row>
    <row r="42" spans="1:21" customFormat="1">
      <c r="A42" s="201" t="s">
        <v>1333</v>
      </c>
      <c r="B42" s="100">
        <v>19.989999999999998</v>
      </c>
      <c r="C42" s="100">
        <v>14.83</v>
      </c>
      <c r="D42" s="100">
        <v>23.78</v>
      </c>
      <c r="E42" s="100">
        <v>6.52</v>
      </c>
      <c r="F42" s="100">
        <v>2</v>
      </c>
      <c r="G42" s="100">
        <v>82.87</v>
      </c>
      <c r="H42" s="100">
        <v>48.18</v>
      </c>
      <c r="I42" s="100">
        <v>17.28</v>
      </c>
      <c r="J42" s="100">
        <v>0.44</v>
      </c>
      <c r="K42" s="100">
        <v>34.590000000000003</v>
      </c>
      <c r="L42" s="100">
        <v>12.32</v>
      </c>
      <c r="M42" s="100">
        <v>6.77</v>
      </c>
      <c r="N42" s="100">
        <v>258.60000000000002</v>
      </c>
      <c r="O42" s="100">
        <v>0</v>
      </c>
      <c r="P42" s="100">
        <v>1.02</v>
      </c>
      <c r="Q42" s="100">
        <v>9.31</v>
      </c>
      <c r="R42" s="6"/>
      <c r="S42" s="6"/>
      <c r="T42" s="156"/>
      <c r="U42" s="6"/>
    </row>
    <row r="43" spans="1:21" customFormat="1">
      <c r="A43" s="201" t="s">
        <v>1334</v>
      </c>
      <c r="B43" s="100">
        <v>19.440000000000001</v>
      </c>
      <c r="C43" s="100">
        <v>15.03</v>
      </c>
      <c r="D43" s="100">
        <v>23.44</v>
      </c>
      <c r="E43" s="100">
        <v>6.15</v>
      </c>
      <c r="F43" s="100">
        <v>2</v>
      </c>
      <c r="G43" s="100">
        <v>85.31</v>
      </c>
      <c r="H43" s="100">
        <v>48.5</v>
      </c>
      <c r="I43" s="100">
        <v>17.100000000000001</v>
      </c>
      <c r="J43" s="100">
        <v>0.37</v>
      </c>
      <c r="K43" s="100">
        <v>31.27</v>
      </c>
      <c r="L43" s="100">
        <v>13.14</v>
      </c>
      <c r="M43" s="100">
        <v>7.84</v>
      </c>
      <c r="N43" s="100">
        <v>298.8</v>
      </c>
      <c r="O43" s="100">
        <v>0</v>
      </c>
      <c r="P43" s="100">
        <v>1.01</v>
      </c>
      <c r="Q43" s="100">
        <v>9.32</v>
      </c>
      <c r="R43" s="6"/>
      <c r="S43" s="6"/>
      <c r="T43" s="156"/>
      <c r="U43" s="6"/>
    </row>
    <row r="44" spans="1:21" customFormat="1">
      <c r="A44" s="201" t="s">
        <v>1335</v>
      </c>
      <c r="B44" s="100">
        <v>18.88</v>
      </c>
      <c r="C44" s="100">
        <v>15.17</v>
      </c>
      <c r="D44" s="100">
        <v>23.07</v>
      </c>
      <c r="E44" s="100">
        <v>6.51</v>
      </c>
      <c r="F44" s="100">
        <v>2</v>
      </c>
      <c r="G44" s="100">
        <v>85.31</v>
      </c>
      <c r="H44" s="100">
        <v>48.5</v>
      </c>
      <c r="I44" s="100">
        <v>16.97</v>
      </c>
      <c r="J44" s="100">
        <v>0.34</v>
      </c>
      <c r="K44" s="100">
        <v>51.03</v>
      </c>
      <c r="L44" s="100">
        <v>11.31</v>
      </c>
      <c r="M44" s="100">
        <v>2.42</v>
      </c>
      <c r="N44" s="100">
        <v>339.2</v>
      </c>
      <c r="O44" s="100">
        <v>0</v>
      </c>
      <c r="P44" s="100">
        <v>1.01</v>
      </c>
      <c r="Q44" s="100">
        <v>9.32</v>
      </c>
      <c r="R44" s="6"/>
      <c r="S44" s="6"/>
      <c r="T44" s="156"/>
      <c r="U44" s="6"/>
    </row>
    <row r="45" spans="1:21" customFormat="1">
      <c r="A45" s="201" t="s">
        <v>1336</v>
      </c>
      <c r="B45" s="100">
        <v>18.21</v>
      </c>
      <c r="C45" s="100">
        <v>15.25</v>
      </c>
      <c r="D45" s="100">
        <v>22.57</v>
      </c>
      <c r="E45" s="100">
        <v>6.33</v>
      </c>
      <c r="F45" s="100">
        <v>2</v>
      </c>
      <c r="G45" s="100">
        <v>85.31</v>
      </c>
      <c r="H45" s="100">
        <v>48.5</v>
      </c>
      <c r="I45" s="100">
        <v>16.829999999999998</v>
      </c>
      <c r="J45" s="100">
        <v>0.28000000000000003</v>
      </c>
      <c r="K45" s="100">
        <v>61.88</v>
      </c>
      <c r="L45" s="100">
        <v>14</v>
      </c>
      <c r="M45" s="100">
        <v>8.07</v>
      </c>
      <c r="N45" s="100">
        <v>386.8</v>
      </c>
      <c r="O45" s="100">
        <v>0</v>
      </c>
      <c r="P45" s="100">
        <v>0.99</v>
      </c>
      <c r="Q45" s="100">
        <v>9.32</v>
      </c>
      <c r="R45" s="6"/>
      <c r="S45" s="6"/>
      <c r="T45" s="156"/>
      <c r="U45" s="6"/>
    </row>
    <row r="46" spans="1:21" customFormat="1">
      <c r="A46" s="201" t="s">
        <v>1337</v>
      </c>
      <c r="B46" s="100">
        <v>17.440000000000001</v>
      </c>
      <c r="C46" s="100">
        <v>15.27</v>
      </c>
      <c r="D46" s="100">
        <v>21.96</v>
      </c>
      <c r="E46" s="100">
        <v>6.58</v>
      </c>
      <c r="F46" s="100">
        <v>2</v>
      </c>
      <c r="G46" s="100">
        <v>87.34</v>
      </c>
      <c r="H46" s="100">
        <v>47.71</v>
      </c>
      <c r="I46" s="100">
        <v>16.66</v>
      </c>
      <c r="J46" s="100">
        <v>0.33</v>
      </c>
      <c r="K46" s="100">
        <v>62.45</v>
      </c>
      <c r="L46" s="100">
        <v>14.63</v>
      </c>
      <c r="M46" s="100">
        <v>8.82</v>
      </c>
      <c r="N46" s="100">
        <v>422.4</v>
      </c>
      <c r="O46" s="100">
        <v>0</v>
      </c>
      <c r="P46" s="100">
        <v>0.98</v>
      </c>
      <c r="Q46" s="100">
        <v>9.32</v>
      </c>
      <c r="R46" s="6"/>
      <c r="S46" s="6"/>
      <c r="T46" s="156"/>
      <c r="U46" s="6"/>
    </row>
    <row r="47" spans="1:21" customFormat="1">
      <c r="A47" s="201" t="s">
        <v>1338</v>
      </c>
      <c r="B47" s="100">
        <v>16.579999999999998</v>
      </c>
      <c r="C47" s="100">
        <v>15.24</v>
      </c>
      <c r="D47" s="100">
        <v>21.26</v>
      </c>
      <c r="E47" s="100">
        <v>4.25</v>
      </c>
      <c r="F47" s="100">
        <v>2</v>
      </c>
      <c r="G47" s="100">
        <v>89.87</v>
      </c>
      <c r="H47" s="100">
        <v>47.17</v>
      </c>
      <c r="I47" s="100">
        <v>16.48</v>
      </c>
      <c r="J47" s="100">
        <v>0.3</v>
      </c>
      <c r="K47" s="100">
        <v>66.44</v>
      </c>
      <c r="L47" s="100">
        <v>12.62</v>
      </c>
      <c r="M47" s="100">
        <v>6.99</v>
      </c>
      <c r="N47" s="100">
        <v>284.10000000000002</v>
      </c>
      <c r="O47" s="100">
        <v>0</v>
      </c>
      <c r="P47" s="100">
        <v>0.97</v>
      </c>
      <c r="Q47" s="100">
        <v>9.32</v>
      </c>
      <c r="R47" s="6"/>
      <c r="S47" s="6"/>
      <c r="T47" s="156"/>
      <c r="U47" s="6"/>
    </row>
    <row r="48" spans="1:21" customFormat="1">
      <c r="A48" s="201" t="s">
        <v>1339</v>
      </c>
      <c r="B48" s="100">
        <v>15.4</v>
      </c>
      <c r="C48" s="100">
        <v>15.36</v>
      </c>
      <c r="D48" s="100">
        <v>20.37</v>
      </c>
      <c r="E48" s="100">
        <v>5.69</v>
      </c>
      <c r="F48" s="100">
        <v>2</v>
      </c>
      <c r="G48" s="100">
        <v>89.87</v>
      </c>
      <c r="H48" s="100">
        <v>47.17</v>
      </c>
      <c r="I48" s="100">
        <v>16.28</v>
      </c>
      <c r="J48" s="100">
        <v>0.2</v>
      </c>
      <c r="K48" s="100">
        <v>21.64</v>
      </c>
      <c r="L48" s="100">
        <v>19.68</v>
      </c>
      <c r="M48" s="100">
        <v>22.45</v>
      </c>
      <c r="N48" s="100">
        <v>375.6</v>
      </c>
      <c r="O48" s="100">
        <v>0</v>
      </c>
      <c r="P48" s="100">
        <v>0.96</v>
      </c>
      <c r="Q48" s="100">
        <v>9.32</v>
      </c>
      <c r="R48" s="6"/>
      <c r="S48" s="6"/>
      <c r="T48" s="156"/>
      <c r="U48" s="6"/>
    </row>
    <row r="49" spans="1:21" customFormat="1">
      <c r="A49" s="201" t="s">
        <v>1340</v>
      </c>
      <c r="B49" s="100">
        <v>14.06</v>
      </c>
      <c r="C49" s="100">
        <v>15.82</v>
      </c>
      <c r="D49" s="100">
        <v>19.53</v>
      </c>
      <c r="E49" s="100">
        <v>5.26</v>
      </c>
      <c r="F49" s="100">
        <v>2</v>
      </c>
      <c r="G49" s="100">
        <v>89.87</v>
      </c>
      <c r="H49" s="100">
        <v>47.17</v>
      </c>
      <c r="I49" s="100">
        <v>15.98</v>
      </c>
      <c r="J49" s="100">
        <v>0.28000000000000003</v>
      </c>
      <c r="K49" s="100">
        <v>66.709999999999994</v>
      </c>
      <c r="L49" s="100">
        <v>15.72</v>
      </c>
      <c r="M49" s="100">
        <v>9.68</v>
      </c>
      <c r="N49" s="100">
        <v>495.9</v>
      </c>
      <c r="O49" s="100">
        <v>0</v>
      </c>
      <c r="P49" s="100">
        <v>0.94</v>
      </c>
      <c r="Q49" s="100">
        <v>9.32</v>
      </c>
      <c r="R49" s="6"/>
      <c r="S49" s="6"/>
      <c r="T49" s="156"/>
      <c r="U49" s="6"/>
    </row>
    <row r="50" spans="1:21" customFormat="1">
      <c r="A50" s="201" t="s">
        <v>1341</v>
      </c>
      <c r="B50" s="100">
        <v>11.31</v>
      </c>
      <c r="C50" s="100">
        <v>17.670000000000002</v>
      </c>
      <c r="D50" s="100">
        <v>18.309999999999999</v>
      </c>
      <c r="E50" s="100">
        <v>7.2</v>
      </c>
      <c r="F50" s="100">
        <v>2.02</v>
      </c>
      <c r="G50" s="100">
        <v>88.83</v>
      </c>
      <c r="H50" s="100">
        <v>45.61</v>
      </c>
      <c r="I50" s="100">
        <v>15.59</v>
      </c>
      <c r="J50" s="100">
        <v>0.42</v>
      </c>
      <c r="K50" s="100">
        <v>22.62</v>
      </c>
      <c r="L50" s="100">
        <v>18.2</v>
      </c>
      <c r="M50" s="100">
        <v>14.67</v>
      </c>
      <c r="N50" s="100">
        <v>513.29999999999995</v>
      </c>
      <c r="O50" s="100">
        <v>0</v>
      </c>
      <c r="P50" s="100">
        <v>0.89</v>
      </c>
      <c r="Q50" s="100">
        <v>9.32</v>
      </c>
      <c r="R50" s="6"/>
      <c r="S50" s="6"/>
      <c r="T50" s="156"/>
      <c r="U50" s="6"/>
    </row>
    <row r="51" spans="1:21" customFormat="1">
      <c r="A51" s="201" t="s">
        <v>1342</v>
      </c>
      <c r="B51" s="100">
        <v>6.19</v>
      </c>
      <c r="C51" s="100">
        <v>21.33</v>
      </c>
      <c r="D51" s="100">
        <v>16.11</v>
      </c>
      <c r="E51" s="100">
        <v>6.9</v>
      </c>
      <c r="F51" s="100">
        <v>2</v>
      </c>
      <c r="G51" s="100">
        <v>87.52</v>
      </c>
      <c r="H51" s="100">
        <v>44.52</v>
      </c>
      <c r="I51" s="100">
        <v>15.1</v>
      </c>
      <c r="J51" s="100">
        <v>0.46</v>
      </c>
      <c r="K51" s="100">
        <v>58.31</v>
      </c>
      <c r="L51" s="100">
        <v>14.03</v>
      </c>
      <c r="M51" s="100">
        <v>4.38</v>
      </c>
      <c r="N51" s="100">
        <v>540.1</v>
      </c>
      <c r="O51" s="100">
        <v>0</v>
      </c>
      <c r="P51" s="100">
        <v>0.87</v>
      </c>
      <c r="Q51" s="100">
        <v>16.13</v>
      </c>
      <c r="R51" s="6"/>
      <c r="S51" s="6"/>
      <c r="T51" s="156"/>
      <c r="U51" s="6"/>
    </row>
    <row r="52" spans="1:21" customFormat="1">
      <c r="A52" s="201" t="s">
        <v>1343</v>
      </c>
      <c r="B52" s="100">
        <v>4.01</v>
      </c>
      <c r="C52" s="100">
        <v>21.18</v>
      </c>
      <c r="D52" s="100">
        <v>14.28</v>
      </c>
      <c r="E52" s="100">
        <v>6.57</v>
      </c>
      <c r="F52" s="100">
        <v>2</v>
      </c>
      <c r="G52" s="100">
        <v>87.52</v>
      </c>
      <c r="H52" s="100">
        <v>44.52</v>
      </c>
      <c r="I52" s="100">
        <v>14.16</v>
      </c>
      <c r="J52" s="100">
        <v>0.44</v>
      </c>
      <c r="K52" s="100">
        <v>72.42</v>
      </c>
      <c r="L52" s="100">
        <v>14.05</v>
      </c>
      <c r="M52" s="100">
        <v>5.08</v>
      </c>
      <c r="N52" s="100">
        <v>516.1</v>
      </c>
      <c r="O52" s="100">
        <v>0</v>
      </c>
      <c r="P52" s="100">
        <v>0.74</v>
      </c>
      <c r="Q52" s="100">
        <v>9.32</v>
      </c>
      <c r="R52" s="6"/>
      <c r="S52" s="6"/>
      <c r="T52" s="156"/>
      <c r="U52" s="6"/>
    </row>
    <row r="53" spans="1:21" customFormat="1">
      <c r="A53" s="201" t="s">
        <v>1344</v>
      </c>
      <c r="B53" s="100">
        <v>2.66</v>
      </c>
      <c r="C53" s="100">
        <v>20.85</v>
      </c>
      <c r="D53" s="100">
        <v>13.03</v>
      </c>
      <c r="E53" s="100">
        <v>7.44</v>
      </c>
      <c r="F53" s="100">
        <v>2.1800000000000002</v>
      </c>
      <c r="G53" s="100">
        <v>87.52</v>
      </c>
      <c r="H53" s="100">
        <v>44.52</v>
      </c>
      <c r="I53" s="100">
        <v>13.3</v>
      </c>
      <c r="J53" s="100">
        <v>0.66</v>
      </c>
      <c r="K53" s="100">
        <v>36.770000000000003</v>
      </c>
      <c r="L53" s="100">
        <v>14.75</v>
      </c>
      <c r="M53" s="100">
        <v>5.68</v>
      </c>
      <c r="N53" s="100">
        <v>554.1</v>
      </c>
      <c r="O53" s="100">
        <v>0</v>
      </c>
      <c r="P53" s="100">
        <v>0.62</v>
      </c>
      <c r="Q53" s="100">
        <v>9.32</v>
      </c>
      <c r="R53" s="6"/>
      <c r="S53" s="6"/>
      <c r="T53" s="156"/>
      <c r="U53" s="6"/>
    </row>
    <row r="54" spans="1:21" customFormat="1">
      <c r="A54" s="201" t="s">
        <v>1345</v>
      </c>
      <c r="B54" s="100">
        <v>2.12</v>
      </c>
      <c r="C54" s="100">
        <v>21.64</v>
      </c>
      <c r="D54" s="100">
        <v>13.01</v>
      </c>
      <c r="E54" s="100">
        <v>7.99</v>
      </c>
      <c r="F54" s="100">
        <v>5.4</v>
      </c>
      <c r="G54" s="100">
        <v>87.52</v>
      </c>
      <c r="H54" s="100">
        <v>44.52</v>
      </c>
      <c r="I54" s="100">
        <v>12.77</v>
      </c>
      <c r="J54" s="100">
        <v>0.35</v>
      </c>
      <c r="K54" s="100">
        <v>51.37</v>
      </c>
      <c r="L54" s="100">
        <v>16.29</v>
      </c>
      <c r="M54" s="100">
        <v>8.89</v>
      </c>
      <c r="N54" s="100">
        <v>581.6</v>
      </c>
      <c r="O54" s="100">
        <v>0</v>
      </c>
      <c r="P54" s="100">
        <v>0.57999999999999996</v>
      </c>
      <c r="Q54" s="100">
        <v>9.32</v>
      </c>
      <c r="R54" s="6"/>
      <c r="S54" s="6"/>
      <c r="T54" s="156"/>
      <c r="U54" s="6"/>
    </row>
    <row r="55" spans="1:21" customFormat="1">
      <c r="A55" s="201" t="s">
        <v>1346</v>
      </c>
      <c r="B55" s="100">
        <v>1.74</v>
      </c>
      <c r="C55" s="100">
        <v>19.91</v>
      </c>
      <c r="D55" s="100">
        <v>11.8</v>
      </c>
      <c r="E55" s="100">
        <v>8.08</v>
      </c>
      <c r="F55" s="100">
        <v>10.59</v>
      </c>
      <c r="G55" s="100">
        <v>87.52</v>
      </c>
      <c r="H55" s="100">
        <v>44.52</v>
      </c>
      <c r="I55" s="100">
        <v>12.01</v>
      </c>
      <c r="J55" s="100">
        <v>0.47</v>
      </c>
      <c r="K55" s="100">
        <v>46.1</v>
      </c>
      <c r="L55" s="100">
        <v>16.579999999999998</v>
      </c>
      <c r="M55" s="100">
        <v>9</v>
      </c>
      <c r="N55" s="100">
        <v>604.70000000000005</v>
      </c>
      <c r="O55" s="100">
        <v>0</v>
      </c>
      <c r="P55" s="100">
        <v>0.54</v>
      </c>
      <c r="Q55" s="100">
        <v>9.32</v>
      </c>
      <c r="R55" s="6"/>
      <c r="S55" s="6"/>
      <c r="T55" s="156"/>
      <c r="U55" s="6"/>
    </row>
    <row r="56" spans="1:21" customFormat="1">
      <c r="A56" s="201" t="s">
        <v>1347</v>
      </c>
      <c r="B56" s="100">
        <v>1.64</v>
      </c>
      <c r="C56" s="100">
        <v>19.100000000000001</v>
      </c>
      <c r="D56" s="100">
        <v>11.29</v>
      </c>
      <c r="E56" s="100">
        <v>7.99</v>
      </c>
      <c r="F56" s="100">
        <v>8.15</v>
      </c>
      <c r="G56" s="100">
        <v>87.52</v>
      </c>
      <c r="H56" s="100">
        <v>44.52</v>
      </c>
      <c r="I56" s="100">
        <v>11.14</v>
      </c>
      <c r="J56" s="100">
        <v>0.31</v>
      </c>
      <c r="K56" s="100">
        <v>28.75</v>
      </c>
      <c r="L56" s="100">
        <v>20.34</v>
      </c>
      <c r="M56" s="100">
        <v>18.57</v>
      </c>
      <c r="N56" s="100">
        <v>587.29999999999995</v>
      </c>
      <c r="O56" s="100">
        <v>0</v>
      </c>
      <c r="P56" s="100">
        <v>0.52</v>
      </c>
      <c r="Q56" s="100">
        <v>9.32</v>
      </c>
      <c r="R56" s="6"/>
      <c r="S56" s="6"/>
      <c r="T56" s="156"/>
      <c r="U56" s="6"/>
    </row>
    <row r="57" spans="1:21" customFormat="1">
      <c r="A57" s="201" t="s">
        <v>1348</v>
      </c>
      <c r="B57" s="100">
        <v>1.66</v>
      </c>
      <c r="C57" s="100">
        <v>19.05</v>
      </c>
      <c r="D57" s="100">
        <v>11.29</v>
      </c>
      <c r="E57" s="100">
        <v>8.39</v>
      </c>
      <c r="F57" s="100">
        <v>16.11</v>
      </c>
      <c r="G57" s="100">
        <v>87.52</v>
      </c>
      <c r="H57" s="100">
        <v>44.52</v>
      </c>
      <c r="I57" s="100">
        <v>10.4</v>
      </c>
      <c r="J57" s="100">
        <v>0.35</v>
      </c>
      <c r="K57" s="100">
        <v>8.92</v>
      </c>
      <c r="L57" s="100">
        <v>20.97</v>
      </c>
      <c r="M57" s="100">
        <v>21.14</v>
      </c>
      <c r="N57" s="100">
        <v>576.29999999999995</v>
      </c>
      <c r="O57" s="100">
        <v>0</v>
      </c>
      <c r="P57" s="100">
        <v>0.49</v>
      </c>
      <c r="Q57" s="100">
        <v>9.32</v>
      </c>
      <c r="R57" s="6"/>
      <c r="S57" s="6"/>
      <c r="T57" s="156"/>
      <c r="U57" s="6"/>
    </row>
    <row r="58" spans="1:21" customFormat="1">
      <c r="A58" s="201" t="s">
        <v>1349</v>
      </c>
      <c r="B58" s="100">
        <v>1.74</v>
      </c>
      <c r="C58" s="100">
        <v>23</v>
      </c>
      <c r="D58" s="100">
        <v>13.42</v>
      </c>
      <c r="E58" s="100">
        <v>10.02</v>
      </c>
      <c r="F58" s="100">
        <v>45.75</v>
      </c>
      <c r="G58" s="100">
        <v>87.52</v>
      </c>
      <c r="H58" s="100">
        <v>44.52</v>
      </c>
      <c r="I58" s="100">
        <v>8.9600000000000009</v>
      </c>
      <c r="J58" s="100">
        <v>0.48</v>
      </c>
      <c r="K58" s="100">
        <v>339.88</v>
      </c>
      <c r="L58" s="100">
        <v>24.79</v>
      </c>
      <c r="M58" s="100">
        <v>29.99</v>
      </c>
      <c r="N58" s="100">
        <v>570.6</v>
      </c>
      <c r="O58" s="100">
        <v>0</v>
      </c>
      <c r="P58" s="100">
        <v>0.36</v>
      </c>
      <c r="Q58" s="100">
        <v>9.32</v>
      </c>
      <c r="R58" s="6"/>
      <c r="S58" s="6"/>
      <c r="T58" s="156"/>
      <c r="U58" s="6"/>
    </row>
    <row r="59" spans="1:21" customFormat="1">
      <c r="A59" s="201" t="s">
        <v>1350</v>
      </c>
      <c r="B59" s="100">
        <v>1.48</v>
      </c>
      <c r="C59" s="100">
        <v>21.76</v>
      </c>
      <c r="D59" s="100">
        <v>12.56</v>
      </c>
      <c r="E59" s="100">
        <v>8.3000000000000007</v>
      </c>
      <c r="F59" s="100">
        <v>21.28</v>
      </c>
      <c r="G59" s="100">
        <v>87.52</v>
      </c>
      <c r="H59" s="100">
        <v>44.52</v>
      </c>
      <c r="I59" s="100">
        <v>7.84</v>
      </c>
      <c r="J59" s="100">
        <v>0.2</v>
      </c>
      <c r="K59" s="100">
        <v>109.87</v>
      </c>
      <c r="L59" s="100">
        <v>18.100000000000001</v>
      </c>
      <c r="M59" s="100">
        <v>16.13</v>
      </c>
      <c r="N59" s="100">
        <v>455.3</v>
      </c>
      <c r="O59" s="100">
        <v>0</v>
      </c>
      <c r="P59" s="100">
        <v>0.35</v>
      </c>
      <c r="Q59" s="100">
        <v>9.32</v>
      </c>
      <c r="R59" s="6"/>
      <c r="S59" s="6"/>
      <c r="T59" s="156"/>
      <c r="U59" s="6"/>
    </row>
    <row r="60" spans="1:21" customFormat="1">
      <c r="A60" s="201" t="s">
        <v>1351</v>
      </c>
      <c r="B60" s="100">
        <v>1.5</v>
      </c>
      <c r="C60" s="100">
        <v>19.809999999999999</v>
      </c>
      <c r="D60" s="100">
        <v>11.55</v>
      </c>
      <c r="E60" s="100">
        <v>7.87</v>
      </c>
      <c r="F60" s="100">
        <v>14.01</v>
      </c>
      <c r="G60" s="100">
        <v>87.52</v>
      </c>
      <c r="H60" s="100">
        <v>44.52</v>
      </c>
      <c r="I60" s="100">
        <v>7.36</v>
      </c>
      <c r="J60" s="100">
        <v>0.69</v>
      </c>
      <c r="K60" s="100">
        <v>34.33</v>
      </c>
      <c r="L60" s="100">
        <v>18.57</v>
      </c>
      <c r="M60" s="100">
        <v>14.94</v>
      </c>
      <c r="N60" s="100">
        <v>567.9</v>
      </c>
      <c r="O60" s="100">
        <v>0</v>
      </c>
      <c r="P60" s="100">
        <v>0.36</v>
      </c>
      <c r="Q60" s="100">
        <v>9.32</v>
      </c>
      <c r="R60" s="6"/>
      <c r="S60" s="6"/>
      <c r="T60" s="156"/>
      <c r="U60" s="6"/>
    </row>
    <row r="61" spans="1:21" customFormat="1">
      <c r="A61" s="201" t="s">
        <v>1352</v>
      </c>
      <c r="B61" s="100">
        <v>1.63</v>
      </c>
      <c r="C61" s="100">
        <v>19.940000000000001</v>
      </c>
      <c r="D61" s="100">
        <v>11.73</v>
      </c>
      <c r="E61" s="100">
        <v>8.5500000000000007</v>
      </c>
      <c r="F61" s="100">
        <v>21.56</v>
      </c>
      <c r="G61" s="100">
        <v>87.52</v>
      </c>
      <c r="H61" s="100">
        <v>44.52</v>
      </c>
      <c r="I61" s="100">
        <v>6.73</v>
      </c>
      <c r="J61" s="100">
        <v>0.38</v>
      </c>
      <c r="K61" s="100">
        <v>54.74</v>
      </c>
      <c r="L61" s="100">
        <v>19.48</v>
      </c>
      <c r="M61" s="100">
        <v>17.350000000000001</v>
      </c>
      <c r="N61" s="100">
        <v>551.9</v>
      </c>
      <c r="O61" s="100">
        <v>0</v>
      </c>
      <c r="P61" s="100">
        <v>0.37</v>
      </c>
      <c r="Q61" s="100">
        <v>9.32</v>
      </c>
      <c r="R61" s="6"/>
      <c r="S61" s="6"/>
      <c r="T61" s="156"/>
      <c r="U61" s="6"/>
    </row>
    <row r="62" spans="1:21" customFormat="1">
      <c r="A62" s="201" t="s">
        <v>1353</v>
      </c>
      <c r="B62" s="100">
        <v>1.63</v>
      </c>
      <c r="C62" s="100">
        <v>20.190000000000001</v>
      </c>
      <c r="D62" s="100">
        <v>11.86</v>
      </c>
      <c r="E62" s="100">
        <v>8.58</v>
      </c>
      <c r="F62" s="100">
        <v>22.85</v>
      </c>
      <c r="G62" s="100">
        <v>87.52</v>
      </c>
      <c r="H62" s="100">
        <v>44.52</v>
      </c>
      <c r="I62" s="100">
        <v>6.78</v>
      </c>
      <c r="J62" s="100">
        <v>0.5</v>
      </c>
      <c r="K62" s="100">
        <v>332.84</v>
      </c>
      <c r="L62" s="100">
        <v>27.31</v>
      </c>
      <c r="M62" s="100">
        <v>36.380000000000003</v>
      </c>
      <c r="N62" s="100">
        <v>558</v>
      </c>
      <c r="O62" s="100">
        <v>0</v>
      </c>
      <c r="P62" s="100">
        <v>0.33</v>
      </c>
      <c r="Q62" s="100">
        <v>9.32</v>
      </c>
      <c r="R62" s="6"/>
      <c r="S62" s="6"/>
      <c r="T62" s="156"/>
      <c r="U62" s="6"/>
    </row>
    <row r="63" spans="1:21" customFormat="1">
      <c r="A63" s="201" t="s">
        <v>1354</v>
      </c>
      <c r="B63" s="100">
        <v>1.6</v>
      </c>
      <c r="C63" s="100">
        <v>19.079999999999998</v>
      </c>
      <c r="D63" s="100">
        <v>11.25</v>
      </c>
      <c r="E63" s="100">
        <v>9.1300000000000008</v>
      </c>
      <c r="F63" s="100">
        <v>31.43</v>
      </c>
      <c r="G63" s="100">
        <v>87.52</v>
      </c>
      <c r="H63" s="100">
        <v>44.52</v>
      </c>
      <c r="I63" s="100">
        <v>6.6</v>
      </c>
      <c r="J63" s="100">
        <v>0.22</v>
      </c>
      <c r="K63" s="100">
        <v>289</v>
      </c>
      <c r="L63" s="100">
        <v>26.43</v>
      </c>
      <c r="M63" s="100">
        <v>34.76</v>
      </c>
      <c r="N63" s="100">
        <v>532.1</v>
      </c>
      <c r="O63" s="100">
        <v>0</v>
      </c>
      <c r="P63" s="100">
        <v>0.31</v>
      </c>
      <c r="Q63" s="100">
        <v>9.32</v>
      </c>
      <c r="R63" s="6"/>
      <c r="S63" s="6"/>
      <c r="T63" s="156"/>
      <c r="U63" s="6"/>
    </row>
    <row r="64" spans="1:21" customFormat="1">
      <c r="A64" s="201" t="s">
        <v>1355</v>
      </c>
      <c r="B64" s="100">
        <v>1.66</v>
      </c>
      <c r="C64" s="100">
        <v>18.47</v>
      </c>
      <c r="D64" s="100">
        <v>10.98</v>
      </c>
      <c r="E64" s="100">
        <v>9.17</v>
      </c>
      <c r="F64" s="100">
        <v>33.51</v>
      </c>
      <c r="G64" s="100">
        <v>87.52</v>
      </c>
      <c r="H64" s="100">
        <v>44.52</v>
      </c>
      <c r="I64" s="100">
        <v>6.4</v>
      </c>
      <c r="J64" s="100">
        <v>0.61</v>
      </c>
      <c r="K64" s="100">
        <v>39.049999999999997</v>
      </c>
      <c r="L64" s="100">
        <v>14.38</v>
      </c>
      <c r="M64" s="100">
        <v>9.81</v>
      </c>
      <c r="N64" s="100">
        <v>321</v>
      </c>
      <c r="O64" s="100">
        <v>0</v>
      </c>
      <c r="P64" s="100">
        <v>0.32</v>
      </c>
      <c r="Q64" s="100">
        <v>9.07</v>
      </c>
      <c r="R64" s="6"/>
      <c r="S64" s="6"/>
      <c r="T64" s="156"/>
      <c r="U64" s="6"/>
    </row>
    <row r="65" spans="1:21" customFormat="1">
      <c r="A65" s="201" t="s">
        <v>1356</v>
      </c>
      <c r="B65" s="100">
        <v>2.23</v>
      </c>
      <c r="C65" s="100">
        <v>22.76</v>
      </c>
      <c r="D65" s="100">
        <v>13.68</v>
      </c>
      <c r="E65" s="100">
        <v>9.89</v>
      </c>
      <c r="F65" s="100">
        <v>38.380000000000003</v>
      </c>
      <c r="G65" s="100">
        <v>0</v>
      </c>
      <c r="H65" s="100">
        <v>0</v>
      </c>
      <c r="I65" s="100">
        <v>6.25</v>
      </c>
      <c r="J65" s="100">
        <v>0.56999999999999995</v>
      </c>
      <c r="K65" s="100">
        <v>23.11</v>
      </c>
      <c r="L65" s="100">
        <v>14.99</v>
      </c>
      <c r="M65" s="100">
        <v>14.89</v>
      </c>
      <c r="N65" s="100">
        <v>152.4</v>
      </c>
      <c r="O65" s="100">
        <v>0</v>
      </c>
      <c r="P65" s="100">
        <v>0.28999999999999998</v>
      </c>
      <c r="Q65" s="100">
        <v>9.32</v>
      </c>
      <c r="R65" s="6"/>
      <c r="S65" s="6"/>
      <c r="T65" s="156"/>
      <c r="U65" s="6"/>
    </row>
    <row r="66" spans="1:21" customFormat="1">
      <c r="A66" s="201" t="s">
        <v>1357</v>
      </c>
      <c r="B66" s="100">
        <v>1.71</v>
      </c>
      <c r="C66" s="100">
        <v>21.8</v>
      </c>
      <c r="D66" s="100">
        <v>12.76</v>
      </c>
      <c r="E66" s="100">
        <v>9.85</v>
      </c>
      <c r="F66" s="100">
        <v>37.81</v>
      </c>
      <c r="G66" s="100">
        <v>0</v>
      </c>
      <c r="H66" s="100">
        <v>0</v>
      </c>
      <c r="I66" s="100">
        <v>6.07</v>
      </c>
      <c r="J66" s="100">
        <v>0.08</v>
      </c>
      <c r="K66" s="100">
        <v>57.94</v>
      </c>
      <c r="L66" s="100">
        <v>17.46</v>
      </c>
      <c r="M66" s="100">
        <v>22.23</v>
      </c>
      <c r="N66" s="100">
        <v>104.2</v>
      </c>
      <c r="O66" s="100">
        <v>0</v>
      </c>
      <c r="P66" s="100">
        <v>0.31</v>
      </c>
      <c r="Q66" s="100">
        <v>9.32</v>
      </c>
      <c r="R66" s="6"/>
      <c r="S66" s="6"/>
      <c r="T66" s="156"/>
      <c r="U66" s="6"/>
    </row>
    <row r="67" spans="1:21" customFormat="1">
      <c r="A67" s="201" t="s">
        <v>1358</v>
      </c>
      <c r="B67" s="100">
        <v>1.3</v>
      </c>
      <c r="C67" s="100">
        <v>19.21</v>
      </c>
      <c r="D67" s="100">
        <v>11.08</v>
      </c>
      <c r="E67" s="100">
        <v>6.94</v>
      </c>
      <c r="F67" s="100">
        <v>11.25</v>
      </c>
      <c r="G67" s="100">
        <v>0</v>
      </c>
      <c r="H67" s="100">
        <v>0</v>
      </c>
      <c r="I67" s="100">
        <v>5.78</v>
      </c>
      <c r="J67" s="100">
        <v>0.52</v>
      </c>
      <c r="K67" s="100">
        <v>41.19</v>
      </c>
      <c r="L67" s="100">
        <v>13.42</v>
      </c>
      <c r="M67" s="100">
        <v>12.9</v>
      </c>
      <c r="N67" s="100">
        <v>92.2</v>
      </c>
      <c r="O67" s="100">
        <v>0</v>
      </c>
      <c r="P67" s="100">
        <v>0.35</v>
      </c>
      <c r="Q67" s="100">
        <v>9.32</v>
      </c>
      <c r="R67" s="6"/>
      <c r="S67" s="6"/>
      <c r="T67" s="156"/>
      <c r="U67" s="6"/>
    </row>
    <row r="68" spans="1:21" customFormat="1">
      <c r="A68" s="201" t="s">
        <v>1359</v>
      </c>
      <c r="B68" s="100">
        <v>1.41</v>
      </c>
      <c r="C68" s="100">
        <v>17.66</v>
      </c>
      <c r="D68" s="100">
        <v>10.35</v>
      </c>
      <c r="E68" s="100">
        <v>6.44</v>
      </c>
      <c r="F68" s="100">
        <v>3.73</v>
      </c>
      <c r="G68" s="100">
        <v>0</v>
      </c>
      <c r="H68" s="100">
        <v>0</v>
      </c>
      <c r="I68" s="100">
        <v>5.61</v>
      </c>
      <c r="J68" s="100">
        <v>0.25</v>
      </c>
      <c r="K68" s="100">
        <v>78.86</v>
      </c>
      <c r="L68" s="100">
        <v>13.44</v>
      </c>
      <c r="M68" s="100">
        <v>13.23</v>
      </c>
      <c r="N68" s="100">
        <v>96.6</v>
      </c>
      <c r="O68" s="100">
        <v>0</v>
      </c>
      <c r="P68" s="100">
        <v>0.35</v>
      </c>
      <c r="Q68" s="100">
        <v>9.32</v>
      </c>
      <c r="R68" s="6"/>
      <c r="S68" s="6"/>
      <c r="T68" s="156"/>
      <c r="U68" s="6"/>
    </row>
    <row r="69" spans="1:21" customFormat="1">
      <c r="A69" s="201" t="s">
        <v>1360</v>
      </c>
      <c r="B69" s="100">
        <v>1.44</v>
      </c>
      <c r="C69" s="100">
        <v>16.32</v>
      </c>
      <c r="D69" s="100">
        <v>9.68</v>
      </c>
      <c r="E69" s="100">
        <v>5.96</v>
      </c>
      <c r="F69" s="100">
        <v>6.16</v>
      </c>
      <c r="G69" s="100">
        <v>28.86</v>
      </c>
      <c r="H69" s="100">
        <v>9.68</v>
      </c>
      <c r="I69" s="100">
        <v>5.71</v>
      </c>
      <c r="J69" s="100">
        <v>0.38</v>
      </c>
      <c r="K69" s="100">
        <v>74.86</v>
      </c>
      <c r="L69" s="100">
        <v>12.24</v>
      </c>
      <c r="M69" s="100">
        <v>10.83</v>
      </c>
      <c r="N69" s="100">
        <v>74.099999999999994</v>
      </c>
      <c r="O69" s="100">
        <v>0</v>
      </c>
      <c r="P69" s="100">
        <v>0.35</v>
      </c>
      <c r="Q69" s="100">
        <v>9.32</v>
      </c>
      <c r="R69" s="6"/>
      <c r="S69" s="6"/>
      <c r="T69" s="156"/>
      <c r="U69" s="6"/>
    </row>
    <row r="70" spans="1:21" customFormat="1">
      <c r="A70" s="201" t="s">
        <v>1361</v>
      </c>
      <c r="B70" s="100">
        <v>1.64</v>
      </c>
      <c r="C70" s="100">
        <v>15.89</v>
      </c>
      <c r="D70" s="100">
        <v>9.6199999999999992</v>
      </c>
      <c r="E70" s="100">
        <v>5.62</v>
      </c>
      <c r="F70" s="100">
        <v>4.34</v>
      </c>
      <c r="G70" s="100">
        <v>72.14</v>
      </c>
      <c r="H70" s="100">
        <v>18.25</v>
      </c>
      <c r="I70" s="100">
        <v>5.07</v>
      </c>
      <c r="J70" s="100">
        <v>0.28999999999999998</v>
      </c>
      <c r="K70" s="100">
        <v>38.69</v>
      </c>
      <c r="L70" s="100">
        <v>14.7</v>
      </c>
      <c r="M70" s="100">
        <v>17.21</v>
      </c>
      <c r="N70" s="100">
        <v>64.8</v>
      </c>
      <c r="O70" s="100">
        <v>0</v>
      </c>
      <c r="P70" s="100">
        <v>0.36</v>
      </c>
      <c r="Q70" s="100">
        <v>9.32</v>
      </c>
      <c r="R70" s="6"/>
      <c r="S70" s="6"/>
      <c r="T70" s="156"/>
      <c r="U70" s="6"/>
    </row>
    <row r="71" spans="1:21" customFormat="1">
      <c r="A71" s="201" t="s">
        <v>1362</v>
      </c>
      <c r="B71" s="100">
        <v>1.81</v>
      </c>
      <c r="C71" s="100">
        <v>16.36</v>
      </c>
      <c r="D71" s="100">
        <v>10</v>
      </c>
      <c r="E71" s="100">
        <v>7.43</v>
      </c>
      <c r="F71" s="100">
        <v>16.149999999999999</v>
      </c>
      <c r="G71" s="100">
        <v>72.14</v>
      </c>
      <c r="H71" s="100">
        <v>18.25</v>
      </c>
      <c r="I71" s="100">
        <v>4.3099999999999996</v>
      </c>
      <c r="J71" s="100">
        <v>0.28000000000000003</v>
      </c>
      <c r="K71" s="100">
        <v>77.349999999999994</v>
      </c>
      <c r="L71" s="100">
        <v>11.27</v>
      </c>
      <c r="M71" s="100">
        <v>8.94</v>
      </c>
      <c r="N71" s="100">
        <v>57.5</v>
      </c>
      <c r="O71" s="100">
        <v>0</v>
      </c>
      <c r="P71" s="100">
        <v>0.35</v>
      </c>
      <c r="Q71" s="100">
        <v>9.32</v>
      </c>
      <c r="R71" s="6"/>
      <c r="S71" s="6"/>
      <c r="T71" s="156"/>
      <c r="U71" s="6"/>
    </row>
    <row r="72" spans="1:21" customFormat="1">
      <c r="A72" s="201" t="s">
        <v>1363</v>
      </c>
      <c r="B72" s="100">
        <v>1.72</v>
      </c>
      <c r="C72" s="100">
        <v>17.760000000000002</v>
      </c>
      <c r="D72" s="100">
        <v>10.66</v>
      </c>
      <c r="E72" s="100">
        <v>9.27</v>
      </c>
      <c r="F72" s="100">
        <v>14.4</v>
      </c>
      <c r="G72" s="100">
        <v>72.14</v>
      </c>
      <c r="H72" s="100">
        <v>18.25</v>
      </c>
      <c r="I72" s="100">
        <v>4.34</v>
      </c>
      <c r="J72" s="100">
        <v>0.21</v>
      </c>
      <c r="K72" s="100">
        <v>32.28</v>
      </c>
      <c r="L72" s="100">
        <v>15.18</v>
      </c>
      <c r="M72" s="100">
        <v>18.73</v>
      </c>
      <c r="N72" s="100">
        <v>50</v>
      </c>
      <c r="O72" s="100">
        <v>0</v>
      </c>
      <c r="P72" s="100">
        <v>0.36</v>
      </c>
      <c r="Q72" s="100">
        <v>9.32</v>
      </c>
      <c r="R72" s="6"/>
      <c r="S72" s="6"/>
      <c r="T72" s="156"/>
      <c r="U72" s="6"/>
    </row>
    <row r="73" spans="1:21" customFormat="1">
      <c r="A73" s="201" t="s">
        <v>1364</v>
      </c>
      <c r="B73" s="100">
        <v>1.79</v>
      </c>
      <c r="C73" s="100">
        <v>19.68</v>
      </c>
      <c r="D73" s="100">
        <v>11.72</v>
      </c>
      <c r="E73" s="100">
        <v>9.07</v>
      </c>
      <c r="F73" s="100">
        <v>13.77</v>
      </c>
      <c r="G73" s="100">
        <v>68.33</v>
      </c>
      <c r="H73" s="100">
        <v>20.86</v>
      </c>
      <c r="I73" s="100">
        <v>5.13</v>
      </c>
      <c r="J73" s="100">
        <v>0.3</v>
      </c>
      <c r="K73" s="100">
        <v>48.42</v>
      </c>
      <c r="L73" s="100">
        <v>11.03</v>
      </c>
      <c r="M73" s="100">
        <v>8.4600000000000009</v>
      </c>
      <c r="N73" s="100">
        <v>47.1</v>
      </c>
      <c r="O73" s="100">
        <v>0</v>
      </c>
      <c r="P73" s="100">
        <v>0.38</v>
      </c>
      <c r="Q73" s="100">
        <v>9.32</v>
      </c>
      <c r="R73" s="6"/>
      <c r="S73" s="6"/>
      <c r="T73" s="156"/>
      <c r="U73" s="6"/>
    </row>
    <row r="74" spans="1:21" customFormat="1">
      <c r="A74" s="201" t="s">
        <v>1365</v>
      </c>
      <c r="B74" s="100">
        <v>1.76</v>
      </c>
      <c r="C74" s="100">
        <v>21.32</v>
      </c>
      <c r="D74" s="100">
        <v>12.55</v>
      </c>
      <c r="E74" s="100">
        <v>9.9700000000000006</v>
      </c>
      <c r="F74" s="100">
        <v>12.58</v>
      </c>
      <c r="G74" s="100">
        <v>62.62</v>
      </c>
      <c r="H74" s="100">
        <v>23.17</v>
      </c>
      <c r="I74" s="100">
        <v>6</v>
      </c>
      <c r="J74" s="100">
        <v>0.27</v>
      </c>
      <c r="K74" s="100">
        <v>46.21</v>
      </c>
      <c r="L74" s="100">
        <v>12.98</v>
      </c>
      <c r="M74" s="100">
        <v>13.67</v>
      </c>
      <c r="N74" s="100">
        <v>33.9</v>
      </c>
      <c r="O74" s="100">
        <v>0</v>
      </c>
      <c r="P74" s="100">
        <v>0.4</v>
      </c>
      <c r="Q74" s="100">
        <v>9.32</v>
      </c>
      <c r="R74" s="6"/>
      <c r="S74" s="6"/>
      <c r="T74" s="156"/>
      <c r="U74" s="6"/>
    </row>
    <row r="75" spans="1:21" customFormat="1">
      <c r="A75" s="201" t="s">
        <v>1366</v>
      </c>
      <c r="B75" s="100">
        <v>1.82</v>
      </c>
      <c r="C75" s="100">
        <v>22.7</v>
      </c>
      <c r="D75" s="100">
        <v>13.32</v>
      </c>
      <c r="E75" s="100">
        <v>7.48</v>
      </c>
      <c r="F75" s="100">
        <v>5</v>
      </c>
      <c r="G75" s="100">
        <v>62.62</v>
      </c>
      <c r="H75" s="100">
        <v>23.17</v>
      </c>
      <c r="I75" s="100">
        <v>6.09</v>
      </c>
      <c r="J75" s="100">
        <v>0.13</v>
      </c>
      <c r="K75" s="100">
        <v>76.95</v>
      </c>
      <c r="L75" s="100">
        <v>13.19</v>
      </c>
      <c r="M75" s="100">
        <v>14.59</v>
      </c>
      <c r="N75" s="100">
        <v>25.6</v>
      </c>
      <c r="O75" s="100">
        <v>0</v>
      </c>
      <c r="P75" s="100">
        <v>0.41</v>
      </c>
      <c r="Q75" s="100">
        <v>9.32</v>
      </c>
      <c r="R75" s="6"/>
      <c r="S75" s="6"/>
      <c r="T75" s="156"/>
      <c r="U75" s="6"/>
    </row>
    <row r="76" spans="1:21" customFormat="1">
      <c r="A76" s="201" t="s">
        <v>1367</v>
      </c>
      <c r="B76" s="100">
        <v>1.87</v>
      </c>
      <c r="C76" s="100">
        <v>23.63</v>
      </c>
      <c r="D76" s="100">
        <v>13.85</v>
      </c>
      <c r="E76" s="100">
        <v>6.64</v>
      </c>
      <c r="F76" s="100">
        <v>2.79</v>
      </c>
      <c r="G76" s="100">
        <v>62.62</v>
      </c>
      <c r="H76" s="100">
        <v>23.17</v>
      </c>
      <c r="I76" s="100">
        <v>6.22</v>
      </c>
      <c r="J76" s="100">
        <v>0.05</v>
      </c>
      <c r="K76" s="100">
        <v>86.04</v>
      </c>
      <c r="L76" s="100">
        <v>16.41</v>
      </c>
      <c r="M76" s="100">
        <v>22.75</v>
      </c>
      <c r="N76" s="100">
        <v>16.899999999999999</v>
      </c>
      <c r="O76" s="100">
        <v>0</v>
      </c>
      <c r="P76" s="100">
        <v>0.43</v>
      </c>
      <c r="Q76" s="100">
        <v>9.32</v>
      </c>
      <c r="R76" s="6"/>
      <c r="S76" s="6"/>
      <c r="T76" s="156"/>
      <c r="U76" s="6"/>
    </row>
    <row r="77" spans="1:21" customFormat="1">
      <c r="A77" s="201" t="s">
        <v>1368</v>
      </c>
      <c r="B77" s="100">
        <v>1.96</v>
      </c>
      <c r="C77" s="100">
        <v>24.25</v>
      </c>
      <c r="D77" s="100">
        <v>14.25</v>
      </c>
      <c r="E77" s="100">
        <v>5.91</v>
      </c>
      <c r="F77" s="100">
        <v>2</v>
      </c>
      <c r="G77" s="100">
        <v>64.69</v>
      </c>
      <c r="H77" s="100">
        <v>24.22</v>
      </c>
      <c r="I77" s="100">
        <v>6.36</v>
      </c>
      <c r="J77" s="100">
        <v>0.11</v>
      </c>
      <c r="K77" s="100">
        <v>185.69</v>
      </c>
      <c r="L77" s="100">
        <v>17.2</v>
      </c>
      <c r="M77" s="100">
        <v>25.05</v>
      </c>
      <c r="N77" s="100">
        <v>8.6999999999999993</v>
      </c>
      <c r="O77" s="100">
        <v>0</v>
      </c>
      <c r="P77" s="100">
        <v>0.43</v>
      </c>
      <c r="Q77" s="100">
        <v>9.32</v>
      </c>
      <c r="R77" s="6"/>
      <c r="S77" s="6"/>
      <c r="T77" s="156"/>
      <c r="U77" s="6"/>
    </row>
    <row r="78" spans="1:21" customFormat="1">
      <c r="A78" s="201" t="s">
        <v>1369</v>
      </c>
      <c r="B78" s="100">
        <v>2.14</v>
      </c>
      <c r="C78" s="100">
        <v>26.57</v>
      </c>
      <c r="D78" s="100">
        <v>15.6</v>
      </c>
      <c r="E78" s="100">
        <v>5.56</v>
      </c>
      <c r="F78" s="100">
        <v>1.87</v>
      </c>
      <c r="G78" s="100">
        <v>67.8</v>
      </c>
      <c r="H78" s="100">
        <v>25.14</v>
      </c>
      <c r="I78" s="100">
        <v>6.58</v>
      </c>
      <c r="J78" s="100">
        <v>0.13</v>
      </c>
      <c r="K78" s="100">
        <v>150.30000000000001</v>
      </c>
      <c r="L78" s="100">
        <v>14.75</v>
      </c>
      <c r="M78" s="100">
        <v>18.989999999999998</v>
      </c>
      <c r="N78" s="100">
        <v>3.4</v>
      </c>
      <c r="O78" s="100">
        <v>0</v>
      </c>
      <c r="P78" s="100">
        <v>0.47</v>
      </c>
      <c r="Q78" s="100">
        <v>9.32</v>
      </c>
      <c r="R78" s="6"/>
      <c r="S78" s="6"/>
      <c r="T78" s="156"/>
      <c r="U78" s="6"/>
    </row>
    <row r="79" spans="1:21" customFormat="1">
      <c r="A79" s="201" t="s">
        <v>1370</v>
      </c>
      <c r="B79" s="100">
        <v>2.14</v>
      </c>
      <c r="C79" s="100">
        <v>28.22</v>
      </c>
      <c r="D79" s="100">
        <v>16.329999999999998</v>
      </c>
      <c r="E79" s="100">
        <v>6.17</v>
      </c>
      <c r="F79" s="100">
        <v>4.53</v>
      </c>
      <c r="G79" s="100">
        <v>67.8</v>
      </c>
      <c r="H79" s="100">
        <v>25.14</v>
      </c>
      <c r="I79" s="100">
        <v>6.96</v>
      </c>
      <c r="J79" s="100">
        <v>0.27</v>
      </c>
      <c r="K79" s="100">
        <v>171.38</v>
      </c>
      <c r="L79" s="100">
        <v>16.45</v>
      </c>
      <c r="M79" s="100">
        <v>23.42</v>
      </c>
      <c r="N79" s="100">
        <v>2.1</v>
      </c>
      <c r="O79" s="100">
        <v>0</v>
      </c>
      <c r="P79" s="100">
        <v>0.51</v>
      </c>
      <c r="Q79" s="100">
        <v>9.32</v>
      </c>
      <c r="R79" s="6"/>
      <c r="S79" s="6"/>
      <c r="T79" s="156"/>
      <c r="U79" s="6"/>
    </row>
    <row r="80" spans="1:21" customFormat="1">
      <c r="A80" s="201" t="s">
        <v>1371</v>
      </c>
      <c r="B80" s="100">
        <v>1.91</v>
      </c>
      <c r="C80" s="100">
        <v>28.58</v>
      </c>
      <c r="D80" s="100">
        <v>16.47</v>
      </c>
      <c r="E80" s="100">
        <v>5.78</v>
      </c>
      <c r="F80" s="100">
        <v>2.52</v>
      </c>
      <c r="G80" s="100">
        <v>67.8</v>
      </c>
      <c r="H80" s="100">
        <v>25.14</v>
      </c>
      <c r="I80" s="100">
        <v>7.45</v>
      </c>
      <c r="J80" s="100">
        <v>0.28000000000000003</v>
      </c>
      <c r="K80" s="100">
        <v>162.97999999999999</v>
      </c>
      <c r="L80" s="100">
        <v>15.75</v>
      </c>
      <c r="M80" s="100">
        <v>21.64</v>
      </c>
      <c r="N80" s="100">
        <v>1.9</v>
      </c>
      <c r="O80" s="100">
        <v>0</v>
      </c>
      <c r="P80" s="100">
        <v>0.53</v>
      </c>
      <c r="Q80" s="100">
        <v>9.32</v>
      </c>
      <c r="R80" s="6"/>
      <c r="S80" s="6"/>
      <c r="T80" s="156"/>
      <c r="U80" s="6"/>
    </row>
    <row r="81" spans="1:21" customFormat="1">
      <c r="A81" s="201" t="s">
        <v>1372</v>
      </c>
      <c r="B81" s="100">
        <v>2.14</v>
      </c>
      <c r="C81" s="100">
        <v>26.82</v>
      </c>
      <c r="D81" s="100">
        <v>15.73</v>
      </c>
      <c r="E81" s="100">
        <v>4.37</v>
      </c>
      <c r="F81" s="100">
        <v>2</v>
      </c>
      <c r="G81" s="100">
        <v>73.14</v>
      </c>
      <c r="H81" s="100">
        <v>27.99</v>
      </c>
      <c r="I81" s="100">
        <v>8.0399999999999991</v>
      </c>
      <c r="J81" s="100">
        <v>0.25</v>
      </c>
      <c r="K81" s="100">
        <v>167.03</v>
      </c>
      <c r="L81" s="100">
        <v>16.04</v>
      </c>
      <c r="M81" s="100">
        <v>22.39</v>
      </c>
      <c r="N81" s="100">
        <v>1.6</v>
      </c>
      <c r="O81" s="100">
        <v>0</v>
      </c>
      <c r="P81" s="100">
        <v>0.55000000000000004</v>
      </c>
      <c r="Q81" s="100">
        <v>9.32</v>
      </c>
      <c r="R81" s="6"/>
      <c r="S81" s="6"/>
      <c r="T81" s="156"/>
      <c r="U81" s="6"/>
    </row>
    <row r="82" spans="1:21" customFormat="1">
      <c r="A82" s="201" t="s">
        <v>1373</v>
      </c>
      <c r="B82" s="100">
        <v>2.79</v>
      </c>
      <c r="C82" s="100">
        <v>24.77</v>
      </c>
      <c r="D82" s="100">
        <v>15.17</v>
      </c>
      <c r="E82" s="100">
        <v>4.5999999999999996</v>
      </c>
      <c r="F82" s="100">
        <v>2</v>
      </c>
      <c r="G82" s="100">
        <v>81.16</v>
      </c>
      <c r="H82" s="100">
        <v>30.45</v>
      </c>
      <c r="I82" s="100">
        <v>7.52</v>
      </c>
      <c r="J82" s="100">
        <v>0.16</v>
      </c>
      <c r="K82" s="100">
        <v>169.82</v>
      </c>
      <c r="L82" s="100">
        <v>17.62</v>
      </c>
      <c r="M82" s="100">
        <v>26.32</v>
      </c>
      <c r="N82" s="100">
        <v>1.5</v>
      </c>
      <c r="O82" s="100">
        <v>0</v>
      </c>
      <c r="P82" s="100">
        <v>0.55000000000000004</v>
      </c>
      <c r="Q82" s="100">
        <v>9.32</v>
      </c>
      <c r="R82" s="6"/>
      <c r="S82" s="6"/>
      <c r="T82" s="156"/>
      <c r="U82" s="6"/>
    </row>
    <row r="83" spans="1:21" customFormat="1">
      <c r="A83" s="201" t="s">
        <v>1374</v>
      </c>
      <c r="B83" s="100">
        <v>3.55</v>
      </c>
      <c r="C83" s="100">
        <v>22.84</v>
      </c>
      <c r="D83" s="100">
        <v>14.78</v>
      </c>
      <c r="E83" s="100">
        <v>4.42</v>
      </c>
      <c r="F83" s="100">
        <v>2</v>
      </c>
      <c r="G83" s="100">
        <v>81.16</v>
      </c>
      <c r="H83" s="100">
        <v>30.45</v>
      </c>
      <c r="I83" s="100">
        <v>6.68</v>
      </c>
      <c r="J83" s="100">
        <v>0.28000000000000003</v>
      </c>
      <c r="K83" s="100">
        <v>171</v>
      </c>
      <c r="L83" s="100">
        <v>16.21</v>
      </c>
      <c r="M83" s="100">
        <v>22.81</v>
      </c>
      <c r="N83" s="100">
        <v>1.7</v>
      </c>
      <c r="O83" s="100">
        <v>0</v>
      </c>
      <c r="P83" s="100">
        <v>0.56000000000000005</v>
      </c>
      <c r="Q83" s="100">
        <v>9.32</v>
      </c>
      <c r="R83" s="6"/>
      <c r="S83" s="6"/>
      <c r="T83" s="156"/>
      <c r="U83" s="6"/>
    </row>
    <row r="84" spans="1:21" customFormat="1">
      <c r="A84" s="201" t="s">
        <v>1375</v>
      </c>
      <c r="B84" s="100">
        <v>4.07</v>
      </c>
      <c r="C84" s="100">
        <v>21.33</v>
      </c>
      <c r="D84" s="100">
        <v>14.41</v>
      </c>
      <c r="E84" s="100">
        <v>3.93</v>
      </c>
      <c r="F84" s="100">
        <v>2</v>
      </c>
      <c r="G84" s="100">
        <v>81.16</v>
      </c>
      <c r="H84" s="100">
        <v>30.45</v>
      </c>
      <c r="I84" s="100">
        <v>6.81</v>
      </c>
      <c r="J84" s="100">
        <v>0.21</v>
      </c>
      <c r="K84" s="100">
        <v>200.42</v>
      </c>
      <c r="L84" s="100">
        <v>18.309999999999999</v>
      </c>
      <c r="M84" s="100">
        <v>27.97</v>
      </c>
      <c r="N84" s="100">
        <v>1.7</v>
      </c>
      <c r="O84" s="100">
        <v>0</v>
      </c>
      <c r="P84" s="100">
        <v>0.57999999999999996</v>
      </c>
      <c r="Q84" s="100">
        <v>9.32</v>
      </c>
      <c r="R84" s="6"/>
      <c r="S84" s="6"/>
      <c r="T84" s="156"/>
      <c r="U84" s="6"/>
    </row>
    <row r="85" spans="1:21" customFormat="1">
      <c r="A85" s="201" t="s">
        <v>1376</v>
      </c>
      <c r="B85" s="100">
        <v>4.4400000000000004</v>
      </c>
      <c r="C85" s="100">
        <v>19.920000000000002</v>
      </c>
      <c r="D85" s="100">
        <v>13.97</v>
      </c>
      <c r="E85" s="100">
        <v>4.18</v>
      </c>
      <c r="F85" s="100">
        <v>2</v>
      </c>
      <c r="G85" s="100">
        <v>84.99</v>
      </c>
      <c r="H85" s="100">
        <v>34.340000000000003</v>
      </c>
      <c r="I85" s="100">
        <v>7.01</v>
      </c>
      <c r="J85" s="100">
        <v>0.16</v>
      </c>
      <c r="K85" s="100">
        <v>206.88</v>
      </c>
      <c r="L85" s="100">
        <v>18.73</v>
      </c>
      <c r="M85" s="100">
        <v>29.12</v>
      </c>
      <c r="N85" s="100">
        <v>1.7</v>
      </c>
      <c r="O85" s="100">
        <v>0</v>
      </c>
      <c r="P85" s="100">
        <v>0.59</v>
      </c>
      <c r="Q85" s="100">
        <v>9.32</v>
      </c>
      <c r="R85" s="6"/>
      <c r="S85" s="6"/>
      <c r="T85" s="156"/>
      <c r="U85" s="6"/>
    </row>
    <row r="86" spans="1:21" customFormat="1">
      <c r="A86" s="201" t="s">
        <v>1377</v>
      </c>
      <c r="B86" s="100">
        <v>4.78</v>
      </c>
      <c r="C86" s="100">
        <v>18.78</v>
      </c>
      <c r="D86" s="100">
        <v>13.65</v>
      </c>
      <c r="E86" s="100">
        <v>4.0999999999999996</v>
      </c>
      <c r="F86" s="100">
        <v>2</v>
      </c>
      <c r="G86" s="100">
        <v>90.74</v>
      </c>
      <c r="H86" s="100">
        <v>37.69</v>
      </c>
      <c r="I86" s="100">
        <v>8.15</v>
      </c>
      <c r="J86" s="100">
        <v>0.13</v>
      </c>
      <c r="K86" s="100">
        <v>192.23</v>
      </c>
      <c r="L86" s="100">
        <v>17.809999999999999</v>
      </c>
      <c r="M86" s="100">
        <v>26.84</v>
      </c>
      <c r="N86" s="100">
        <v>1.3</v>
      </c>
      <c r="O86" s="100">
        <v>0</v>
      </c>
      <c r="P86" s="100">
        <v>0.6</v>
      </c>
      <c r="Q86" s="100">
        <v>9.32</v>
      </c>
      <c r="R86" s="6"/>
      <c r="S86" s="6"/>
      <c r="T86" s="156"/>
      <c r="U86" s="6"/>
    </row>
    <row r="87" spans="1:21" customFormat="1">
      <c r="A87" s="201" t="s">
        <v>1378</v>
      </c>
      <c r="B87" s="100">
        <v>4.92</v>
      </c>
      <c r="C87" s="100">
        <v>17.77</v>
      </c>
      <c r="D87" s="100">
        <v>13.22</v>
      </c>
      <c r="E87" s="100">
        <v>4.0999999999999996</v>
      </c>
      <c r="F87" s="100">
        <v>2</v>
      </c>
      <c r="G87" s="100">
        <v>90.74</v>
      </c>
      <c r="H87" s="100">
        <v>37.69</v>
      </c>
      <c r="I87" s="100">
        <v>9.41</v>
      </c>
      <c r="J87" s="100">
        <v>0.16</v>
      </c>
      <c r="K87" s="100">
        <v>212.73</v>
      </c>
      <c r="L87" s="100">
        <v>19.28</v>
      </c>
      <c r="M87" s="100">
        <v>30.51</v>
      </c>
      <c r="N87" s="100">
        <v>1.3</v>
      </c>
      <c r="O87" s="100">
        <v>0</v>
      </c>
      <c r="P87" s="100">
        <v>0.59</v>
      </c>
      <c r="Q87" s="100">
        <v>9.32</v>
      </c>
      <c r="R87" s="6"/>
      <c r="S87" s="6"/>
      <c r="T87" s="156"/>
      <c r="U87" s="6"/>
    </row>
    <row r="88" spans="1:21" customFormat="1">
      <c r="A88" s="201" t="s">
        <v>1379</v>
      </c>
      <c r="B88" s="100">
        <v>4.9400000000000004</v>
      </c>
      <c r="C88" s="100">
        <v>16.84</v>
      </c>
      <c r="D88" s="100">
        <v>12.76</v>
      </c>
      <c r="E88" s="100">
        <v>3.83</v>
      </c>
      <c r="F88" s="100">
        <v>2</v>
      </c>
      <c r="G88" s="100">
        <v>90.74</v>
      </c>
      <c r="H88" s="100">
        <v>37.69</v>
      </c>
      <c r="I88" s="100">
        <v>9.7200000000000006</v>
      </c>
      <c r="J88" s="100">
        <v>0.16</v>
      </c>
      <c r="K88" s="100">
        <v>196.06</v>
      </c>
      <c r="L88" s="100">
        <v>17.93</v>
      </c>
      <c r="M88" s="100">
        <v>27.15</v>
      </c>
      <c r="N88" s="100">
        <v>1.2</v>
      </c>
      <c r="O88" s="100">
        <v>0</v>
      </c>
      <c r="P88" s="100">
        <v>0.57999999999999996</v>
      </c>
      <c r="Q88" s="100">
        <v>9.32</v>
      </c>
      <c r="R88" s="6"/>
      <c r="S88" s="6"/>
      <c r="T88" s="156"/>
      <c r="U88" s="6"/>
    </row>
    <row r="89" spans="1:21" customFormat="1">
      <c r="A89" s="201" t="s">
        <v>1380</v>
      </c>
      <c r="B89" s="100">
        <v>5</v>
      </c>
      <c r="C89" s="100">
        <v>16.05</v>
      </c>
      <c r="D89" s="100">
        <v>12.4</v>
      </c>
      <c r="E89" s="100">
        <v>4.01</v>
      </c>
      <c r="F89" s="100">
        <v>2</v>
      </c>
      <c r="G89" s="100">
        <v>89.72</v>
      </c>
      <c r="H89" s="100">
        <v>38.04</v>
      </c>
      <c r="I89" s="100">
        <v>9.94</v>
      </c>
      <c r="J89" s="100">
        <v>0.15</v>
      </c>
      <c r="K89" s="100">
        <v>203.17</v>
      </c>
      <c r="L89" s="100">
        <v>18.61</v>
      </c>
      <c r="M89" s="100">
        <v>28.89</v>
      </c>
      <c r="N89" s="100">
        <v>1.2</v>
      </c>
      <c r="O89" s="100">
        <v>0</v>
      </c>
      <c r="P89" s="100">
        <v>0.59</v>
      </c>
      <c r="Q89" s="100">
        <v>9.32</v>
      </c>
      <c r="R89" s="6"/>
      <c r="S89" s="6"/>
      <c r="T89" s="156"/>
      <c r="U89" s="6"/>
    </row>
    <row r="90" spans="1:21" customFormat="1">
      <c r="A90" s="201" t="s">
        <v>1381</v>
      </c>
      <c r="B90" s="100">
        <v>5.16</v>
      </c>
      <c r="C90" s="100">
        <v>15.31</v>
      </c>
      <c r="D90" s="100">
        <v>12.14</v>
      </c>
      <c r="E90" s="100">
        <v>4.2</v>
      </c>
      <c r="F90" s="100">
        <v>2</v>
      </c>
      <c r="G90" s="100">
        <v>88.2</v>
      </c>
      <c r="H90" s="100">
        <v>38.94</v>
      </c>
      <c r="I90" s="100">
        <v>10.050000000000001</v>
      </c>
      <c r="J90" s="100">
        <v>0.17</v>
      </c>
      <c r="K90" s="100">
        <v>183.1</v>
      </c>
      <c r="L90" s="100">
        <v>16.93</v>
      </c>
      <c r="M90" s="100">
        <v>24.66</v>
      </c>
      <c r="N90" s="100">
        <v>1.3</v>
      </c>
      <c r="O90" s="100">
        <v>0</v>
      </c>
      <c r="P90" s="100">
        <v>0.59</v>
      </c>
      <c r="Q90" s="100">
        <v>9.32</v>
      </c>
      <c r="R90" s="6"/>
      <c r="S90" s="6"/>
      <c r="T90" s="156"/>
      <c r="U90" s="6"/>
    </row>
    <row r="91" spans="1:21" customFormat="1">
      <c r="A91" s="201" t="s">
        <v>1382</v>
      </c>
      <c r="B91" s="100">
        <v>5.24</v>
      </c>
      <c r="C91" s="100">
        <v>14.99</v>
      </c>
      <c r="D91" s="100">
        <v>12.03</v>
      </c>
      <c r="E91" s="100">
        <v>4.34</v>
      </c>
      <c r="F91" s="100">
        <v>2</v>
      </c>
      <c r="G91" s="100">
        <v>88.2</v>
      </c>
      <c r="H91" s="100">
        <v>38.94</v>
      </c>
      <c r="I91" s="100">
        <v>10.14</v>
      </c>
      <c r="J91" s="100">
        <v>0.31</v>
      </c>
      <c r="K91" s="100">
        <v>183.21</v>
      </c>
      <c r="L91" s="100">
        <v>17.21</v>
      </c>
      <c r="M91" s="100">
        <v>25.41</v>
      </c>
      <c r="N91" s="100">
        <v>0.8</v>
      </c>
      <c r="O91" s="100">
        <v>0</v>
      </c>
      <c r="P91" s="100">
        <v>0.6</v>
      </c>
      <c r="Q91" s="100">
        <v>9.5299999999999994</v>
      </c>
      <c r="R91" s="6"/>
      <c r="S91" s="6"/>
      <c r="T91" s="156"/>
      <c r="U91" s="6"/>
    </row>
    <row r="92" spans="1:21" customFormat="1">
      <c r="A92" s="201" t="s">
        <v>1383</v>
      </c>
      <c r="B92" s="100">
        <v>5.32</v>
      </c>
      <c r="C92" s="100">
        <v>14.97</v>
      </c>
      <c r="D92" s="100">
        <v>12.09</v>
      </c>
      <c r="E92" s="100">
        <v>4.5</v>
      </c>
      <c r="F92" s="100">
        <v>2</v>
      </c>
      <c r="G92" s="100">
        <v>88.2</v>
      </c>
      <c r="H92" s="100">
        <v>38.94</v>
      </c>
      <c r="I92" s="100">
        <v>10.25</v>
      </c>
      <c r="J92" s="100">
        <v>0.3</v>
      </c>
      <c r="K92" s="100">
        <v>169.22</v>
      </c>
      <c r="L92" s="100">
        <v>16.05</v>
      </c>
      <c r="M92" s="100">
        <v>22.49</v>
      </c>
      <c r="N92" s="100">
        <v>1</v>
      </c>
      <c r="O92" s="100">
        <v>0</v>
      </c>
      <c r="P92" s="100">
        <v>0.61</v>
      </c>
      <c r="Q92" s="100">
        <v>9.32</v>
      </c>
      <c r="R92" s="6"/>
      <c r="S92" s="6"/>
      <c r="T92" s="156"/>
      <c r="U92" s="6"/>
    </row>
    <row r="93" spans="1:21" customFormat="1">
      <c r="A93" s="201" t="s">
        <v>1384</v>
      </c>
      <c r="B93" s="100">
        <v>5.42</v>
      </c>
      <c r="C93" s="100">
        <v>15.11</v>
      </c>
      <c r="D93" s="100">
        <v>12.24</v>
      </c>
      <c r="E93" s="100">
        <v>4.54</v>
      </c>
      <c r="F93" s="100">
        <v>2</v>
      </c>
      <c r="G93" s="100">
        <v>98.83</v>
      </c>
      <c r="H93" s="100">
        <v>41.63</v>
      </c>
      <c r="I93" s="100">
        <v>10.39</v>
      </c>
      <c r="J93" s="100">
        <v>0.18</v>
      </c>
      <c r="K93" s="100">
        <v>214.67</v>
      </c>
      <c r="L93" s="100">
        <v>19.29</v>
      </c>
      <c r="M93" s="100">
        <v>30.6</v>
      </c>
      <c r="N93" s="100">
        <v>1.5</v>
      </c>
      <c r="O93" s="100">
        <v>0</v>
      </c>
      <c r="P93" s="100">
        <v>0.62</v>
      </c>
      <c r="Q93" s="100">
        <v>9.32</v>
      </c>
      <c r="R93" s="6"/>
      <c r="S93" s="6"/>
      <c r="T93" s="156"/>
      <c r="U93" s="6"/>
    </row>
    <row r="94" spans="1:21" customFormat="1">
      <c r="A94" s="201" t="s">
        <v>1385</v>
      </c>
      <c r="B94" s="100">
        <v>5.61</v>
      </c>
      <c r="C94" s="100">
        <v>15</v>
      </c>
      <c r="D94" s="100">
        <v>12.33</v>
      </c>
      <c r="E94" s="100">
        <v>4.5999999999999996</v>
      </c>
      <c r="F94" s="100">
        <v>2</v>
      </c>
      <c r="G94" s="100">
        <v>114.78</v>
      </c>
      <c r="H94" s="100">
        <v>44.02</v>
      </c>
      <c r="I94" s="100">
        <v>10.56</v>
      </c>
      <c r="J94" s="100">
        <v>0.2</v>
      </c>
      <c r="K94" s="100">
        <v>239.78</v>
      </c>
      <c r="L94" s="100">
        <v>21.18</v>
      </c>
      <c r="M94" s="100">
        <v>35.28</v>
      </c>
      <c r="N94" s="100">
        <v>1.6</v>
      </c>
      <c r="O94" s="100">
        <v>0</v>
      </c>
      <c r="P94" s="100">
        <v>0.62</v>
      </c>
      <c r="Q94" s="100">
        <v>9.32</v>
      </c>
      <c r="R94" s="6"/>
      <c r="S94" s="6"/>
      <c r="T94" s="156"/>
      <c r="U94" s="6"/>
    </row>
    <row r="95" spans="1:21" customFormat="1">
      <c r="A95" s="201" t="s">
        <v>1386</v>
      </c>
      <c r="B95" s="100">
        <v>5.8</v>
      </c>
      <c r="C95" s="100">
        <v>14.82</v>
      </c>
      <c r="D95" s="100">
        <v>12.4</v>
      </c>
      <c r="E95" s="100">
        <v>4.9000000000000004</v>
      </c>
      <c r="F95" s="100">
        <v>2</v>
      </c>
      <c r="G95" s="100">
        <v>114.78</v>
      </c>
      <c r="H95" s="100">
        <v>44.02</v>
      </c>
      <c r="I95" s="100">
        <v>10.67</v>
      </c>
      <c r="J95" s="100">
        <v>0.17</v>
      </c>
      <c r="K95" s="100">
        <v>193.32</v>
      </c>
      <c r="L95" s="100">
        <v>17.649999999999999</v>
      </c>
      <c r="M95" s="100">
        <v>26.5</v>
      </c>
      <c r="N95" s="100">
        <v>1.4</v>
      </c>
      <c r="O95" s="100">
        <v>0</v>
      </c>
      <c r="P95" s="100">
        <v>0.64</v>
      </c>
      <c r="Q95" s="100">
        <v>9.32</v>
      </c>
      <c r="R95" s="6"/>
      <c r="S95" s="6"/>
      <c r="T95" s="156"/>
      <c r="U95" s="6"/>
    </row>
    <row r="96" spans="1:21" customFormat="1">
      <c r="A96" s="201" t="s">
        <v>1387</v>
      </c>
      <c r="B96" s="100">
        <v>5.91</v>
      </c>
      <c r="C96" s="100">
        <v>14.52</v>
      </c>
      <c r="D96" s="100">
        <v>12.32</v>
      </c>
      <c r="E96" s="100">
        <v>4.46</v>
      </c>
      <c r="F96" s="100">
        <v>2</v>
      </c>
      <c r="G96" s="100">
        <v>114.78</v>
      </c>
      <c r="H96" s="100">
        <v>44.02</v>
      </c>
      <c r="I96" s="100">
        <v>10.76</v>
      </c>
      <c r="J96" s="100">
        <v>0.16</v>
      </c>
      <c r="K96" s="100">
        <v>185.41</v>
      </c>
      <c r="L96" s="100">
        <v>17.29</v>
      </c>
      <c r="M96" s="100">
        <v>25.58</v>
      </c>
      <c r="N96" s="100">
        <v>1.1000000000000001</v>
      </c>
      <c r="O96" s="100">
        <v>0</v>
      </c>
      <c r="P96" s="100">
        <v>0.64</v>
      </c>
      <c r="Q96" s="100">
        <v>9.32</v>
      </c>
      <c r="R96" s="6"/>
      <c r="S96" s="6"/>
      <c r="T96" s="156"/>
      <c r="U96" s="6"/>
    </row>
    <row r="97" spans="1:28" customFormat="1">
      <c r="A97" s="201" t="s">
        <v>1388</v>
      </c>
      <c r="B97" s="100">
        <v>6</v>
      </c>
      <c r="C97" s="100">
        <v>14.26</v>
      </c>
      <c r="D97" s="100">
        <v>12.26</v>
      </c>
      <c r="E97" s="100">
        <v>4.57</v>
      </c>
      <c r="F97" s="100">
        <v>2</v>
      </c>
      <c r="G97" s="100">
        <v>116.12</v>
      </c>
      <c r="H97" s="100">
        <v>44.29</v>
      </c>
      <c r="I97" s="100">
        <v>10.84</v>
      </c>
      <c r="J97" s="100">
        <v>0.2</v>
      </c>
      <c r="K97" s="100">
        <v>176.11</v>
      </c>
      <c r="L97" s="100">
        <v>17.11</v>
      </c>
      <c r="M97" s="100">
        <v>25.13</v>
      </c>
      <c r="N97" s="100">
        <v>1.1000000000000001</v>
      </c>
      <c r="O97" s="100">
        <v>0</v>
      </c>
      <c r="P97" s="100">
        <v>0.64</v>
      </c>
      <c r="Q97" s="100">
        <v>9.32</v>
      </c>
      <c r="R97" s="6"/>
      <c r="S97" s="6"/>
      <c r="T97" s="156"/>
      <c r="U97" s="6"/>
    </row>
    <row r="98" spans="1:28" customFormat="1">
      <c r="A98" s="201" t="s">
        <v>1389</v>
      </c>
      <c r="B98" s="100">
        <v>6.07</v>
      </c>
      <c r="C98" s="100">
        <v>14.01</v>
      </c>
      <c r="D98" s="100">
        <v>12.19</v>
      </c>
      <c r="E98" s="100">
        <v>4.83</v>
      </c>
      <c r="F98" s="100">
        <v>2</v>
      </c>
      <c r="G98" s="100">
        <v>118.12</v>
      </c>
      <c r="H98" s="100">
        <v>44.53</v>
      </c>
      <c r="I98" s="100">
        <v>10.91</v>
      </c>
      <c r="J98" s="100">
        <v>0.14000000000000001</v>
      </c>
      <c r="K98" s="100">
        <v>218.63</v>
      </c>
      <c r="L98" s="100">
        <v>19.97</v>
      </c>
      <c r="M98" s="100">
        <v>32.29</v>
      </c>
      <c r="N98" s="100">
        <v>1.2</v>
      </c>
      <c r="O98" s="100">
        <v>0</v>
      </c>
      <c r="P98" s="100">
        <v>0.65</v>
      </c>
      <c r="Q98" s="100">
        <v>9.32</v>
      </c>
      <c r="R98" s="6"/>
      <c r="S98" s="6"/>
      <c r="T98" s="156"/>
      <c r="U98" s="6"/>
    </row>
    <row r="99" spans="1:28" customFormat="1">
      <c r="A99" s="201" t="s">
        <v>1390</v>
      </c>
      <c r="B99" s="100">
        <v>6.18</v>
      </c>
      <c r="C99" s="100">
        <v>13.76</v>
      </c>
      <c r="D99" s="100">
        <v>12.15</v>
      </c>
      <c r="E99" s="100">
        <v>4.58</v>
      </c>
      <c r="F99" s="100">
        <v>2</v>
      </c>
      <c r="G99" s="100">
        <v>118.12</v>
      </c>
      <c r="H99" s="100">
        <v>44.53</v>
      </c>
      <c r="I99" s="100">
        <v>10.98</v>
      </c>
      <c r="J99" s="100">
        <v>0.19</v>
      </c>
      <c r="K99" s="100">
        <v>237.89</v>
      </c>
      <c r="L99" s="100">
        <v>21.03</v>
      </c>
      <c r="M99" s="100">
        <v>34.93</v>
      </c>
      <c r="N99" s="100">
        <v>1.4</v>
      </c>
      <c r="O99" s="100">
        <v>0</v>
      </c>
      <c r="P99" s="100">
        <v>0.65</v>
      </c>
      <c r="Q99" s="100">
        <v>9.32</v>
      </c>
      <c r="R99" s="6"/>
      <c r="S99" s="6"/>
      <c r="T99" s="156"/>
      <c r="U99" s="6"/>
    </row>
    <row r="100" spans="1:28" customFormat="1">
      <c r="A100" s="201" t="s">
        <v>1391</v>
      </c>
      <c r="B100" s="100">
        <v>6.27</v>
      </c>
      <c r="C100" s="100">
        <v>13.63</v>
      </c>
      <c r="D100" s="100">
        <v>12.15</v>
      </c>
      <c r="E100" s="100">
        <v>4.88</v>
      </c>
      <c r="F100" s="100">
        <v>2</v>
      </c>
      <c r="G100" s="100">
        <v>118.12</v>
      </c>
      <c r="H100" s="100">
        <v>44.53</v>
      </c>
      <c r="I100" s="100">
        <v>11.06</v>
      </c>
      <c r="J100" s="100">
        <v>0.17</v>
      </c>
      <c r="K100" s="100">
        <v>219.44</v>
      </c>
      <c r="L100" s="100">
        <v>19.7</v>
      </c>
      <c r="M100" s="100">
        <v>31.6</v>
      </c>
      <c r="N100" s="100">
        <v>1.2</v>
      </c>
      <c r="O100" s="100">
        <v>0</v>
      </c>
      <c r="P100" s="100">
        <v>0.66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1392</v>
      </c>
      <c r="B101" s="100">
        <v>6.36</v>
      </c>
      <c r="C101" s="100">
        <v>13.45</v>
      </c>
      <c r="D101" s="100">
        <v>12.13</v>
      </c>
      <c r="E101" s="100">
        <v>4.88</v>
      </c>
      <c r="F101" s="100">
        <v>2</v>
      </c>
      <c r="G101" s="100">
        <v>114.27</v>
      </c>
      <c r="H101" s="100">
        <v>45.64</v>
      </c>
      <c r="I101" s="100">
        <v>11.15</v>
      </c>
      <c r="J101" s="100">
        <v>0.19</v>
      </c>
      <c r="K101" s="100">
        <v>219.83</v>
      </c>
      <c r="L101" s="100">
        <v>19.54</v>
      </c>
      <c r="M101" s="100">
        <v>31.22</v>
      </c>
      <c r="N101" s="100">
        <v>1</v>
      </c>
      <c r="O101" s="100">
        <v>0</v>
      </c>
      <c r="P101" s="100">
        <v>0.66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1393</v>
      </c>
      <c r="B102" s="100">
        <v>6.48</v>
      </c>
      <c r="C102" s="100">
        <v>13.28</v>
      </c>
      <c r="D102" s="100">
        <v>12.14</v>
      </c>
      <c r="E102" s="100">
        <v>5</v>
      </c>
      <c r="F102" s="100">
        <v>2</v>
      </c>
      <c r="G102" s="100">
        <v>108.5</v>
      </c>
      <c r="H102" s="100">
        <v>46.6</v>
      </c>
      <c r="I102" s="100">
        <v>11.29</v>
      </c>
      <c r="J102" s="100">
        <v>0.14000000000000001</v>
      </c>
      <c r="K102" s="100">
        <v>197.49</v>
      </c>
      <c r="L102" s="100">
        <v>17.84</v>
      </c>
      <c r="M102" s="100">
        <v>26.94</v>
      </c>
      <c r="N102" s="100">
        <v>1.3</v>
      </c>
      <c r="O102" s="100">
        <v>0</v>
      </c>
      <c r="P102" s="100">
        <v>0.68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1394</v>
      </c>
      <c r="B103" s="100">
        <v>6.68</v>
      </c>
      <c r="C103" s="100">
        <v>13.23</v>
      </c>
      <c r="D103" s="100">
        <v>12.27</v>
      </c>
      <c r="E103" s="100">
        <v>5.0199999999999996</v>
      </c>
      <c r="F103" s="100">
        <v>2</v>
      </c>
      <c r="G103" s="100">
        <v>108.5</v>
      </c>
      <c r="H103" s="100">
        <v>46.6</v>
      </c>
      <c r="I103" s="100">
        <v>11.45</v>
      </c>
      <c r="J103" s="100">
        <v>0.16</v>
      </c>
      <c r="K103" s="100">
        <v>216.46</v>
      </c>
      <c r="L103" s="100">
        <v>19.2</v>
      </c>
      <c r="M103" s="100">
        <v>30.44</v>
      </c>
      <c r="N103" s="100">
        <v>1</v>
      </c>
      <c r="O103" s="100">
        <v>0</v>
      </c>
      <c r="P103" s="100">
        <v>0.69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1395</v>
      </c>
      <c r="B104" s="100">
        <v>7.06</v>
      </c>
      <c r="C104" s="100">
        <v>13.34</v>
      </c>
      <c r="D104" s="100">
        <v>12.63</v>
      </c>
      <c r="E104" s="100">
        <v>5.13</v>
      </c>
      <c r="F104" s="100">
        <v>2</v>
      </c>
      <c r="G104" s="100">
        <v>108.5</v>
      </c>
      <c r="H104" s="100">
        <v>46.6</v>
      </c>
      <c r="I104" s="100">
        <v>11.63</v>
      </c>
      <c r="J104" s="100">
        <v>0.14000000000000001</v>
      </c>
      <c r="K104" s="100">
        <v>160.75</v>
      </c>
      <c r="L104" s="100">
        <v>15.04</v>
      </c>
      <c r="M104" s="100">
        <v>19.95</v>
      </c>
      <c r="N104" s="100">
        <v>1.1000000000000001</v>
      </c>
      <c r="O104" s="100">
        <v>0</v>
      </c>
      <c r="P104" s="100">
        <v>0.71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1.3</v>
      </c>
      <c r="C106" s="158">
        <f>MIN(C9:C104)</f>
        <v>12.48</v>
      </c>
      <c r="D106" s="158">
        <f t="shared" ref="D106:Q106" si="0">MIN(D9:D104)</f>
        <v>9.6199999999999992</v>
      </c>
      <c r="E106" s="158">
        <f t="shared" si="0"/>
        <v>3.83</v>
      </c>
      <c r="F106" s="158">
        <f t="shared" si="0"/>
        <v>1.87</v>
      </c>
      <c r="G106" s="158">
        <f t="shared" si="0"/>
        <v>0</v>
      </c>
      <c r="H106" s="158">
        <f t="shared" si="0"/>
        <v>0</v>
      </c>
      <c r="I106" s="158">
        <f t="shared" si="0"/>
        <v>4.3099999999999996</v>
      </c>
      <c r="J106" s="158">
        <f t="shared" si="0"/>
        <v>0.03</v>
      </c>
      <c r="K106" s="158">
        <f t="shared" si="0"/>
        <v>0.12</v>
      </c>
      <c r="L106" s="158">
        <f t="shared" si="0"/>
        <v>9.1300000000000008</v>
      </c>
      <c r="M106" s="158">
        <f t="shared" si="0"/>
        <v>2.42</v>
      </c>
      <c r="N106" s="158">
        <f t="shared" si="0"/>
        <v>0.8</v>
      </c>
      <c r="O106" s="158">
        <f t="shared" si="0"/>
        <v>0</v>
      </c>
      <c r="P106" s="158">
        <f t="shared" si="0"/>
        <v>0.28999999999999998</v>
      </c>
      <c r="Q106" s="158">
        <f t="shared" si="0"/>
        <v>9.07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20.5</v>
      </c>
      <c r="C107" s="157">
        <f t="shared" ref="C107:Q107" si="1">MAX(C9:C104)</f>
        <v>28.58</v>
      </c>
      <c r="D107" s="157">
        <f t="shared" si="1"/>
        <v>23.95</v>
      </c>
      <c r="E107" s="157">
        <f t="shared" si="1"/>
        <v>10.02</v>
      </c>
      <c r="F107" s="157">
        <f t="shared" si="1"/>
        <v>45.75</v>
      </c>
      <c r="G107" s="157">
        <f t="shared" si="1"/>
        <v>118.12</v>
      </c>
      <c r="H107" s="157">
        <f t="shared" si="1"/>
        <v>55.47</v>
      </c>
      <c r="I107" s="157">
        <f t="shared" si="1"/>
        <v>17.579999999999998</v>
      </c>
      <c r="J107" s="157">
        <f t="shared" si="1"/>
        <v>0.69</v>
      </c>
      <c r="K107" s="157">
        <f t="shared" si="1"/>
        <v>339.88</v>
      </c>
      <c r="L107" s="157">
        <f t="shared" si="1"/>
        <v>27.31</v>
      </c>
      <c r="M107" s="157">
        <f t="shared" si="1"/>
        <v>36.380000000000003</v>
      </c>
      <c r="N107" s="157">
        <f t="shared" si="1"/>
        <v>604.70000000000005</v>
      </c>
      <c r="O107" s="157">
        <f t="shared" si="1"/>
        <v>0</v>
      </c>
      <c r="P107" s="157">
        <f t="shared" si="1"/>
        <v>1.08</v>
      </c>
      <c r="Q107" s="157">
        <f t="shared" si="1"/>
        <v>26.05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9.6939583333333328</v>
      </c>
      <c r="C108" s="158">
        <f t="shared" ref="C108:Q108" si="2">AVERAGE(C9:C104)</f>
        <v>16.835416666666664</v>
      </c>
      <c r="D108" s="158">
        <f t="shared" si="2"/>
        <v>16.568645833333338</v>
      </c>
      <c r="E108" s="158">
        <f t="shared" si="2"/>
        <v>6.3681250000000018</v>
      </c>
      <c r="F108" s="158">
        <f t="shared" si="2"/>
        <v>5.6887499999999989</v>
      </c>
      <c r="G108" s="158">
        <f t="shared" si="2"/>
        <v>86.385729166666692</v>
      </c>
      <c r="H108" s="158">
        <f t="shared" si="2"/>
        <v>41.310937500000001</v>
      </c>
      <c r="I108" s="158">
        <f t="shared" si="2"/>
        <v>12.306666666666672</v>
      </c>
      <c r="J108" s="158">
        <f t="shared" si="2"/>
        <v>0.22729166666666675</v>
      </c>
      <c r="K108" s="158">
        <f t="shared" si="2"/>
        <v>140.86885416666661</v>
      </c>
      <c r="L108" s="158">
        <f t="shared" si="2"/>
        <v>16.949895833333333</v>
      </c>
      <c r="M108" s="158">
        <f t="shared" si="2"/>
        <v>21.43458333333334</v>
      </c>
      <c r="N108" s="158">
        <f t="shared" si="2"/>
        <v>129.22916666666671</v>
      </c>
      <c r="O108" s="158">
        <f t="shared" si="2"/>
        <v>0</v>
      </c>
      <c r="P108" s="158">
        <f t="shared" si="2"/>
        <v>0.73687500000000006</v>
      </c>
      <c r="Q108" s="158">
        <f t="shared" si="2"/>
        <v>9.6381250000000218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7.3484426533670764</v>
      </c>
      <c r="C109" s="158">
        <f t="shared" ref="C109:Q109" si="3">STDEV(C9:C104)</f>
        <v>4.0014494522982922</v>
      </c>
      <c r="D109" s="158">
        <f t="shared" si="3"/>
        <v>4.6399826723341562</v>
      </c>
      <c r="E109" s="158">
        <f t="shared" si="3"/>
        <v>1.4987182681773157</v>
      </c>
      <c r="F109" s="158">
        <f t="shared" si="3"/>
        <v>8.8617086685534758</v>
      </c>
      <c r="G109" s="158">
        <f t="shared" si="3"/>
        <v>23.451350527591735</v>
      </c>
      <c r="H109" s="158">
        <f t="shared" si="3"/>
        <v>13.365956447012008</v>
      </c>
      <c r="I109" s="158">
        <f t="shared" si="3"/>
        <v>4.6028411515787155</v>
      </c>
      <c r="J109" s="158">
        <f t="shared" si="3"/>
        <v>0.14522200186115516</v>
      </c>
      <c r="K109" s="158">
        <f t="shared" si="3"/>
        <v>79.893974990144926</v>
      </c>
      <c r="L109" s="158">
        <f t="shared" si="3"/>
        <v>3.0510120822240698</v>
      </c>
      <c r="M109" s="158">
        <f t="shared" si="3"/>
        <v>8.6339642558867098</v>
      </c>
      <c r="N109" s="158">
        <f t="shared" si="3"/>
        <v>205.02345586820147</v>
      </c>
      <c r="O109" s="158">
        <f t="shared" si="3"/>
        <v>0</v>
      </c>
      <c r="P109" s="158">
        <f t="shared" si="3"/>
        <v>0.27321598358114163</v>
      </c>
      <c r="Q109" s="158">
        <f t="shared" si="3"/>
        <v>1.8706218006460329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E14" sqref="E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1396</v>
      </c>
      <c r="B9" s="100">
        <v>7.32</v>
      </c>
      <c r="C9" s="100">
        <v>12.75</v>
      </c>
      <c r="D9" s="100">
        <v>12.53</v>
      </c>
      <c r="E9" s="100">
        <v>5.64</v>
      </c>
      <c r="F9" s="100">
        <v>2</v>
      </c>
      <c r="G9" s="100">
        <v>105.11</v>
      </c>
      <c r="H9" s="100">
        <v>45.74</v>
      </c>
      <c r="I9" s="100">
        <v>11.94</v>
      </c>
      <c r="J9" s="100">
        <v>0.16</v>
      </c>
      <c r="K9" s="100">
        <v>217.34</v>
      </c>
      <c r="L9" s="100">
        <v>19.649999999999999</v>
      </c>
      <c r="M9" s="100">
        <v>31.54</v>
      </c>
      <c r="N9" s="100">
        <v>0.9</v>
      </c>
      <c r="O9" s="100">
        <v>0</v>
      </c>
      <c r="P9" s="100">
        <v>0.74</v>
      </c>
      <c r="Q9" s="100">
        <v>9.2100000000000009</v>
      </c>
      <c r="R9" s="6"/>
      <c r="S9" s="6"/>
      <c r="T9" s="156"/>
      <c r="U9" s="6"/>
    </row>
    <row r="10" spans="1:21" customFormat="1">
      <c r="A10" s="201" t="s">
        <v>1397</v>
      </c>
      <c r="B10" s="100">
        <v>8</v>
      </c>
      <c r="C10" s="100">
        <v>13.21</v>
      </c>
      <c r="D10" s="100">
        <v>13.32</v>
      </c>
      <c r="E10" s="100">
        <v>5.39</v>
      </c>
      <c r="F10" s="100">
        <v>2</v>
      </c>
      <c r="G10" s="100">
        <v>100.03</v>
      </c>
      <c r="H10" s="100">
        <v>45.01</v>
      </c>
      <c r="I10" s="100">
        <v>12.29</v>
      </c>
      <c r="J10" s="100">
        <v>0.09</v>
      </c>
      <c r="K10" s="100">
        <v>26.58</v>
      </c>
      <c r="L10" s="100">
        <v>17.98</v>
      </c>
      <c r="M10" s="100">
        <v>27.18</v>
      </c>
      <c r="N10" s="100">
        <v>1.1000000000000001</v>
      </c>
      <c r="O10" s="100">
        <v>0</v>
      </c>
      <c r="P10" s="100">
        <v>0.76</v>
      </c>
      <c r="Q10" s="100">
        <v>9.32</v>
      </c>
      <c r="R10" s="6"/>
      <c r="S10" s="6"/>
      <c r="T10" s="156"/>
      <c r="U10" s="6"/>
    </row>
    <row r="11" spans="1:21" customFormat="1">
      <c r="A11" s="201" t="s">
        <v>1398</v>
      </c>
      <c r="B11" s="100">
        <v>10.199999999999999</v>
      </c>
      <c r="C11" s="100">
        <v>13.78</v>
      </c>
      <c r="D11" s="100">
        <v>15.38</v>
      </c>
      <c r="E11" s="100">
        <v>5.53</v>
      </c>
      <c r="F11" s="100">
        <v>2</v>
      </c>
      <c r="G11" s="100">
        <v>100.03</v>
      </c>
      <c r="H11" s="100">
        <v>45.01</v>
      </c>
      <c r="I11" s="100">
        <v>12.73</v>
      </c>
      <c r="J11" s="100">
        <v>0.09</v>
      </c>
      <c r="K11" s="100">
        <v>66.91</v>
      </c>
      <c r="L11" s="100">
        <v>13.12</v>
      </c>
      <c r="M11" s="100">
        <v>14.99</v>
      </c>
      <c r="N11" s="100">
        <v>1</v>
      </c>
      <c r="O11" s="100">
        <v>0</v>
      </c>
      <c r="P11" s="100">
        <v>0.81</v>
      </c>
      <c r="Q11" s="100">
        <v>9.32</v>
      </c>
      <c r="R11" s="6"/>
      <c r="S11" s="6"/>
      <c r="T11" s="156"/>
      <c r="U11" s="6"/>
    </row>
    <row r="12" spans="1:21" customFormat="1">
      <c r="A12" s="201" t="s">
        <v>1399</v>
      </c>
      <c r="B12" s="100">
        <v>12.45</v>
      </c>
      <c r="C12" s="100">
        <v>14.3</v>
      </c>
      <c r="D12" s="100">
        <v>17.45</v>
      </c>
      <c r="E12" s="100">
        <v>5.88</v>
      </c>
      <c r="F12" s="100">
        <v>2</v>
      </c>
      <c r="G12" s="100">
        <v>100.03</v>
      </c>
      <c r="H12" s="100">
        <v>45.01</v>
      </c>
      <c r="I12" s="100">
        <v>13.3</v>
      </c>
      <c r="J12" s="100">
        <v>0.14000000000000001</v>
      </c>
      <c r="K12" s="100">
        <v>95.2</v>
      </c>
      <c r="L12" s="100">
        <v>12.65</v>
      </c>
      <c r="M12" s="100">
        <v>13.88</v>
      </c>
      <c r="N12" s="100">
        <v>0.9</v>
      </c>
      <c r="O12" s="100">
        <v>0</v>
      </c>
      <c r="P12" s="100">
        <v>0.83</v>
      </c>
      <c r="Q12" s="100">
        <v>9.32</v>
      </c>
      <c r="R12" s="6"/>
      <c r="S12" s="6"/>
      <c r="T12" s="156"/>
      <c r="U12" s="6"/>
    </row>
    <row r="13" spans="1:21" customFormat="1">
      <c r="A13" s="201" t="s">
        <v>1400</v>
      </c>
      <c r="B13" s="100">
        <v>14.26</v>
      </c>
      <c r="C13" s="100">
        <v>14.58</v>
      </c>
      <c r="D13" s="100">
        <v>19.059999999999999</v>
      </c>
      <c r="E13" s="100">
        <v>5.58</v>
      </c>
      <c r="F13" s="100">
        <v>2</v>
      </c>
      <c r="G13" s="100">
        <v>106.11</v>
      </c>
      <c r="H13" s="100">
        <v>47.31</v>
      </c>
      <c r="I13" s="100">
        <v>13.85</v>
      </c>
      <c r="J13" s="100">
        <v>0.12</v>
      </c>
      <c r="K13" s="100">
        <v>199.07</v>
      </c>
      <c r="L13" s="100">
        <v>17.77</v>
      </c>
      <c r="M13" s="100">
        <v>26.8</v>
      </c>
      <c r="N13" s="100">
        <v>1.4</v>
      </c>
      <c r="O13" s="100">
        <v>0</v>
      </c>
      <c r="P13" s="100">
        <v>0.84</v>
      </c>
      <c r="Q13" s="100">
        <v>9.32</v>
      </c>
      <c r="R13" s="6"/>
      <c r="S13" s="6"/>
      <c r="T13" s="156"/>
      <c r="U13" s="6"/>
    </row>
    <row r="14" spans="1:21" customFormat="1">
      <c r="A14" s="201" t="s">
        <v>1401</v>
      </c>
      <c r="B14" s="100">
        <v>15.58</v>
      </c>
      <c r="C14" s="100">
        <v>14.88</v>
      </c>
      <c r="D14" s="100">
        <v>20.27</v>
      </c>
      <c r="E14" s="100">
        <v>5.8</v>
      </c>
      <c r="F14" s="100">
        <v>2</v>
      </c>
      <c r="G14" s="100">
        <v>115.21</v>
      </c>
      <c r="H14" s="100">
        <v>49.36</v>
      </c>
      <c r="I14" s="100">
        <v>14.37</v>
      </c>
      <c r="J14" s="100">
        <v>0.16</v>
      </c>
      <c r="K14" s="100">
        <v>208.83</v>
      </c>
      <c r="L14" s="100">
        <v>19.09</v>
      </c>
      <c r="M14" s="100">
        <v>30.12</v>
      </c>
      <c r="N14" s="100">
        <v>1.4</v>
      </c>
      <c r="O14" s="100">
        <v>0</v>
      </c>
      <c r="P14" s="100">
        <v>0.85</v>
      </c>
      <c r="Q14" s="100">
        <v>9.32</v>
      </c>
      <c r="R14" s="6"/>
      <c r="S14" s="6"/>
      <c r="T14" s="156"/>
      <c r="U14" s="6"/>
    </row>
    <row r="15" spans="1:21" customFormat="1">
      <c r="A15" s="201" t="s">
        <v>1402</v>
      </c>
      <c r="B15" s="100">
        <v>16.71</v>
      </c>
      <c r="C15" s="100">
        <v>15.14</v>
      </c>
      <c r="D15" s="100">
        <v>21.31</v>
      </c>
      <c r="E15" s="100">
        <v>5.77</v>
      </c>
      <c r="F15" s="100">
        <v>2</v>
      </c>
      <c r="G15" s="100">
        <v>115.21</v>
      </c>
      <c r="H15" s="100">
        <v>49.36</v>
      </c>
      <c r="I15" s="100">
        <v>14.72</v>
      </c>
      <c r="J15" s="100">
        <v>0.13</v>
      </c>
      <c r="K15" s="100">
        <v>187.38</v>
      </c>
      <c r="L15" s="100">
        <v>17.579999999999998</v>
      </c>
      <c r="M15" s="100">
        <v>26.36</v>
      </c>
      <c r="N15" s="100">
        <v>1.3</v>
      </c>
      <c r="O15" s="100">
        <v>0</v>
      </c>
      <c r="P15" s="100">
        <v>0.87</v>
      </c>
      <c r="Q15" s="100">
        <v>9.32</v>
      </c>
      <c r="R15" s="6"/>
      <c r="S15" s="6"/>
      <c r="T15" s="156"/>
      <c r="U15" s="6"/>
    </row>
    <row r="16" spans="1:21" customFormat="1">
      <c r="A16" s="201" t="s">
        <v>1403</v>
      </c>
      <c r="B16" s="100">
        <v>17.78</v>
      </c>
      <c r="C16" s="100">
        <v>15.25</v>
      </c>
      <c r="D16" s="100">
        <v>22.23</v>
      </c>
      <c r="E16" s="100">
        <v>5.93</v>
      </c>
      <c r="F16" s="100">
        <v>2</v>
      </c>
      <c r="G16" s="100">
        <v>115.21</v>
      </c>
      <c r="H16" s="100">
        <v>49.36</v>
      </c>
      <c r="I16" s="100">
        <v>14.93</v>
      </c>
      <c r="J16" s="100">
        <v>0.12</v>
      </c>
      <c r="K16" s="100">
        <v>148.35</v>
      </c>
      <c r="L16" s="100">
        <v>15.32</v>
      </c>
      <c r="M16" s="100">
        <v>20.67</v>
      </c>
      <c r="N16" s="100">
        <v>1.2</v>
      </c>
      <c r="O16" s="100">
        <v>0</v>
      </c>
      <c r="P16" s="100">
        <v>0.89</v>
      </c>
      <c r="Q16" s="100">
        <v>9.32</v>
      </c>
      <c r="R16" s="6"/>
      <c r="S16" s="6"/>
      <c r="T16" s="156"/>
      <c r="U16" s="6"/>
    </row>
    <row r="17" spans="1:21" customFormat="1">
      <c r="A17" s="201" t="s">
        <v>1404</v>
      </c>
      <c r="B17" s="100">
        <v>19.149999999999999</v>
      </c>
      <c r="C17" s="100">
        <v>15.38</v>
      </c>
      <c r="D17" s="100">
        <v>23.4</v>
      </c>
      <c r="E17" s="100">
        <v>5.92</v>
      </c>
      <c r="F17" s="100">
        <v>2</v>
      </c>
      <c r="G17" s="100">
        <v>116.22</v>
      </c>
      <c r="H17" s="100">
        <v>52.36</v>
      </c>
      <c r="I17" s="100">
        <v>15.25</v>
      </c>
      <c r="J17" s="100">
        <v>0.21</v>
      </c>
      <c r="K17" s="100">
        <v>187.88</v>
      </c>
      <c r="L17" s="100">
        <v>16.739999999999998</v>
      </c>
      <c r="M17" s="100">
        <v>24.29</v>
      </c>
      <c r="N17" s="100">
        <v>1</v>
      </c>
      <c r="O17" s="100">
        <v>0</v>
      </c>
      <c r="P17" s="100">
        <v>0.91</v>
      </c>
      <c r="Q17" s="100">
        <v>9.32</v>
      </c>
      <c r="R17" s="6"/>
      <c r="S17" s="6"/>
      <c r="T17" s="156"/>
      <c r="U17" s="6"/>
    </row>
    <row r="18" spans="1:21" customFormat="1">
      <c r="A18" s="201" t="s">
        <v>1405</v>
      </c>
      <c r="B18" s="100">
        <v>20.71</v>
      </c>
      <c r="C18" s="100">
        <v>15.4</v>
      </c>
      <c r="D18" s="100">
        <v>24.65</v>
      </c>
      <c r="E18" s="100">
        <v>7.32</v>
      </c>
      <c r="F18" s="100">
        <v>2</v>
      </c>
      <c r="G18" s="100">
        <v>117.73</v>
      </c>
      <c r="H18" s="100">
        <v>60.27</v>
      </c>
      <c r="I18" s="100">
        <v>15.62</v>
      </c>
      <c r="J18" s="100">
        <v>0.14000000000000001</v>
      </c>
      <c r="K18" s="100">
        <v>193.49</v>
      </c>
      <c r="L18" s="100">
        <v>16.41</v>
      </c>
      <c r="M18" s="100">
        <v>23.37</v>
      </c>
      <c r="N18" s="100">
        <v>1.3</v>
      </c>
      <c r="O18" s="100">
        <v>0</v>
      </c>
      <c r="P18" s="100">
        <v>0.93</v>
      </c>
      <c r="Q18" s="100">
        <v>9.32</v>
      </c>
      <c r="R18" s="6"/>
      <c r="S18" s="6"/>
      <c r="T18" s="156"/>
      <c r="U18" s="6"/>
    </row>
    <row r="19" spans="1:21" customFormat="1">
      <c r="A19" s="201" t="s">
        <v>1406</v>
      </c>
      <c r="B19" s="100">
        <v>21.49</v>
      </c>
      <c r="C19" s="100">
        <v>15.56</v>
      </c>
      <c r="D19" s="100">
        <v>25.36</v>
      </c>
      <c r="E19" s="100">
        <v>7.31</v>
      </c>
      <c r="F19" s="100">
        <v>2</v>
      </c>
      <c r="G19" s="100">
        <v>117.73</v>
      </c>
      <c r="H19" s="100">
        <v>60.27</v>
      </c>
      <c r="I19" s="100">
        <v>16</v>
      </c>
      <c r="J19" s="100">
        <v>0.17</v>
      </c>
      <c r="K19" s="100">
        <v>214.96</v>
      </c>
      <c r="L19" s="100">
        <v>18.010000000000002</v>
      </c>
      <c r="M19" s="100">
        <v>27.64</v>
      </c>
      <c r="N19" s="100">
        <v>1.5</v>
      </c>
      <c r="O19" s="100">
        <v>0</v>
      </c>
      <c r="P19" s="100">
        <v>0.94</v>
      </c>
      <c r="Q19" s="100">
        <v>9.32</v>
      </c>
      <c r="R19" s="6"/>
      <c r="S19" s="6"/>
      <c r="T19" s="156"/>
      <c r="U19" s="6"/>
    </row>
    <row r="20" spans="1:21" customFormat="1">
      <c r="A20" s="201" t="s">
        <v>1407</v>
      </c>
      <c r="B20" s="100">
        <v>21.87</v>
      </c>
      <c r="C20" s="100">
        <v>15.48</v>
      </c>
      <c r="D20" s="100">
        <v>25.62</v>
      </c>
      <c r="E20" s="100">
        <v>7.2</v>
      </c>
      <c r="F20" s="100">
        <v>2</v>
      </c>
      <c r="G20" s="100">
        <v>117.73</v>
      </c>
      <c r="H20" s="100">
        <v>60.27</v>
      </c>
      <c r="I20" s="100">
        <v>16.350000000000001</v>
      </c>
      <c r="J20" s="100">
        <v>0.17</v>
      </c>
      <c r="K20" s="100">
        <v>225.11</v>
      </c>
      <c r="L20" s="100">
        <v>18.52</v>
      </c>
      <c r="M20" s="100">
        <v>28.45</v>
      </c>
      <c r="N20" s="100">
        <v>1.3</v>
      </c>
      <c r="O20" s="100">
        <v>0</v>
      </c>
      <c r="P20" s="100">
        <v>0.96</v>
      </c>
      <c r="Q20" s="100">
        <v>9.32</v>
      </c>
      <c r="R20" s="6"/>
      <c r="S20" s="6"/>
      <c r="T20" s="156"/>
      <c r="U20" s="6"/>
    </row>
    <row r="21" spans="1:21" customFormat="1">
      <c r="A21" s="201" t="s">
        <v>1408</v>
      </c>
      <c r="B21" s="100">
        <v>22.03</v>
      </c>
      <c r="C21" s="100">
        <v>15.27</v>
      </c>
      <c r="D21" s="100">
        <v>25.64</v>
      </c>
      <c r="E21" s="100">
        <v>7.34</v>
      </c>
      <c r="F21" s="100">
        <v>2</v>
      </c>
      <c r="G21" s="100">
        <v>117.11</v>
      </c>
      <c r="H21" s="100">
        <v>60.6</v>
      </c>
      <c r="I21" s="100">
        <v>16.62</v>
      </c>
      <c r="J21" s="100">
        <v>0.19</v>
      </c>
      <c r="K21" s="100">
        <v>236.04</v>
      </c>
      <c r="L21" s="100">
        <v>21</v>
      </c>
      <c r="M21" s="100">
        <v>34.880000000000003</v>
      </c>
      <c r="N21" s="100">
        <v>1.2</v>
      </c>
      <c r="O21" s="100">
        <v>0</v>
      </c>
      <c r="P21" s="100">
        <v>0.96</v>
      </c>
      <c r="Q21" s="100">
        <v>9.32</v>
      </c>
      <c r="R21" s="6"/>
      <c r="S21" s="6"/>
      <c r="T21" s="156"/>
      <c r="U21" s="6"/>
    </row>
    <row r="22" spans="1:21" customFormat="1">
      <c r="A22" s="201" t="s">
        <v>1409</v>
      </c>
      <c r="B22" s="100">
        <v>22</v>
      </c>
      <c r="C22" s="100">
        <v>15.09</v>
      </c>
      <c r="D22" s="100">
        <v>25.53</v>
      </c>
      <c r="E22" s="100">
        <v>7.15</v>
      </c>
      <c r="F22" s="100">
        <v>2</v>
      </c>
      <c r="G22" s="100">
        <v>116.18</v>
      </c>
      <c r="H22" s="100">
        <v>60.88</v>
      </c>
      <c r="I22" s="100">
        <v>16.829999999999998</v>
      </c>
      <c r="J22" s="100">
        <v>0.06</v>
      </c>
      <c r="K22" s="100">
        <v>213.02</v>
      </c>
      <c r="L22" s="100">
        <v>17.73</v>
      </c>
      <c r="M22" s="100">
        <v>26.66</v>
      </c>
      <c r="N22" s="100">
        <v>1.4</v>
      </c>
      <c r="O22" s="100">
        <v>0</v>
      </c>
      <c r="P22" s="100">
        <v>0.96</v>
      </c>
      <c r="Q22" s="100">
        <v>9.32</v>
      </c>
      <c r="R22" s="6"/>
      <c r="S22" s="6"/>
      <c r="T22" s="156"/>
      <c r="U22" s="6"/>
    </row>
    <row r="23" spans="1:21" customFormat="1">
      <c r="A23" s="201" t="s">
        <v>1410</v>
      </c>
      <c r="B23" s="100">
        <v>21.89</v>
      </c>
      <c r="C23" s="100">
        <v>15.02</v>
      </c>
      <c r="D23" s="100">
        <v>25.4</v>
      </c>
      <c r="E23" s="100">
        <v>6.97</v>
      </c>
      <c r="F23" s="100">
        <v>2</v>
      </c>
      <c r="G23" s="100">
        <v>116.18</v>
      </c>
      <c r="H23" s="100">
        <v>60.88</v>
      </c>
      <c r="I23" s="100">
        <v>17.07</v>
      </c>
      <c r="J23" s="100">
        <v>0.08</v>
      </c>
      <c r="K23" s="100">
        <v>133.97999999999999</v>
      </c>
      <c r="L23" s="100">
        <v>15.29</v>
      </c>
      <c r="M23" s="100">
        <v>20.53</v>
      </c>
      <c r="N23" s="100">
        <v>1.2</v>
      </c>
      <c r="O23" s="100">
        <v>0</v>
      </c>
      <c r="P23" s="100">
        <v>0.97</v>
      </c>
      <c r="Q23" s="100">
        <v>9.32</v>
      </c>
      <c r="R23" s="6"/>
      <c r="S23" s="6"/>
      <c r="T23" s="156"/>
      <c r="U23" s="6"/>
    </row>
    <row r="24" spans="1:21" customFormat="1">
      <c r="A24" s="201" t="s">
        <v>1411</v>
      </c>
      <c r="B24" s="100">
        <v>22.01</v>
      </c>
      <c r="C24" s="100">
        <v>14.8</v>
      </c>
      <c r="D24" s="100">
        <v>25.38</v>
      </c>
      <c r="E24" s="100">
        <v>7.16</v>
      </c>
      <c r="F24" s="100">
        <v>2</v>
      </c>
      <c r="G24" s="100">
        <v>116.18</v>
      </c>
      <c r="H24" s="100">
        <v>60.88</v>
      </c>
      <c r="I24" s="100">
        <v>17.29</v>
      </c>
      <c r="J24" s="100">
        <v>0.1</v>
      </c>
      <c r="K24" s="100">
        <v>151.56</v>
      </c>
      <c r="L24" s="100">
        <v>14.57</v>
      </c>
      <c r="M24" s="100">
        <v>18.79</v>
      </c>
      <c r="N24" s="100">
        <v>1.2</v>
      </c>
      <c r="O24" s="100">
        <v>0</v>
      </c>
      <c r="P24" s="100">
        <v>0.98</v>
      </c>
      <c r="Q24" s="100">
        <v>9.32</v>
      </c>
      <c r="R24" s="6"/>
      <c r="S24" s="6"/>
      <c r="T24" s="156"/>
      <c r="U24" s="6"/>
    </row>
    <row r="25" spans="1:21" customFormat="1">
      <c r="A25" s="201" t="s">
        <v>1412</v>
      </c>
      <c r="B25" s="100">
        <v>23.11</v>
      </c>
      <c r="C25" s="100">
        <v>15.02</v>
      </c>
      <c r="D25" s="100">
        <v>26.38</v>
      </c>
      <c r="E25" s="100">
        <v>7.22</v>
      </c>
      <c r="F25" s="100">
        <v>2</v>
      </c>
      <c r="G25" s="100">
        <v>116.36</v>
      </c>
      <c r="H25" s="100">
        <v>60.77</v>
      </c>
      <c r="I25" s="100">
        <v>17.5</v>
      </c>
      <c r="J25" s="100">
        <v>0.12</v>
      </c>
      <c r="K25" s="100">
        <v>170.64</v>
      </c>
      <c r="L25" s="100">
        <v>16.190000000000001</v>
      </c>
      <c r="M25" s="100">
        <v>22.89</v>
      </c>
      <c r="N25" s="100">
        <v>0.9</v>
      </c>
      <c r="O25" s="100">
        <v>0</v>
      </c>
      <c r="P25" s="100">
        <v>1</v>
      </c>
      <c r="Q25" s="100">
        <v>9.32</v>
      </c>
      <c r="R25" s="6"/>
      <c r="S25" s="6"/>
      <c r="T25" s="156"/>
      <c r="U25" s="6"/>
    </row>
    <row r="26" spans="1:21" customFormat="1">
      <c r="A26" s="201" t="s">
        <v>1413</v>
      </c>
      <c r="B26" s="100">
        <v>25</v>
      </c>
      <c r="C26" s="100">
        <v>15.37</v>
      </c>
      <c r="D26" s="100">
        <v>28.08</v>
      </c>
      <c r="E26" s="100">
        <v>7.41</v>
      </c>
      <c r="F26" s="100">
        <v>2</v>
      </c>
      <c r="G26" s="100">
        <v>116.62</v>
      </c>
      <c r="H26" s="100">
        <v>60.67</v>
      </c>
      <c r="I26" s="100">
        <v>17.79</v>
      </c>
      <c r="J26" s="100">
        <v>0.12</v>
      </c>
      <c r="K26" s="100">
        <v>156.51</v>
      </c>
      <c r="L26" s="100">
        <v>14.76</v>
      </c>
      <c r="M26" s="100">
        <v>19.309999999999999</v>
      </c>
      <c r="N26" s="100">
        <v>1.1000000000000001</v>
      </c>
      <c r="O26" s="100">
        <v>0</v>
      </c>
      <c r="P26" s="100">
        <v>1.02</v>
      </c>
      <c r="Q26" s="100">
        <v>9.32</v>
      </c>
      <c r="R26" s="6"/>
      <c r="S26" s="6"/>
      <c r="T26" s="156"/>
      <c r="U26" s="6"/>
    </row>
    <row r="27" spans="1:21" customFormat="1">
      <c r="A27" s="201" t="s">
        <v>1414</v>
      </c>
      <c r="B27" s="100">
        <v>27.08</v>
      </c>
      <c r="C27" s="100">
        <v>15.58</v>
      </c>
      <c r="D27" s="100">
        <v>29.86</v>
      </c>
      <c r="E27" s="100">
        <v>5.37</v>
      </c>
      <c r="F27" s="100">
        <v>2</v>
      </c>
      <c r="G27" s="100">
        <v>116.62</v>
      </c>
      <c r="H27" s="100">
        <v>60.67</v>
      </c>
      <c r="I27" s="100">
        <v>18.09</v>
      </c>
      <c r="J27" s="100">
        <v>0.12</v>
      </c>
      <c r="K27" s="100">
        <v>154.51</v>
      </c>
      <c r="L27" s="100">
        <v>14.58</v>
      </c>
      <c r="M27" s="100">
        <v>18.87</v>
      </c>
      <c r="N27" s="100">
        <v>1.1000000000000001</v>
      </c>
      <c r="O27" s="100">
        <v>0</v>
      </c>
      <c r="P27" s="100">
        <v>1.03</v>
      </c>
      <c r="Q27" s="100">
        <v>9.32</v>
      </c>
      <c r="R27" s="6"/>
      <c r="S27" s="6"/>
      <c r="T27" s="156"/>
      <c r="U27" s="6"/>
    </row>
    <row r="28" spans="1:21" customFormat="1">
      <c r="A28" s="201" t="s">
        <v>1415</v>
      </c>
      <c r="B28" s="100">
        <v>29.06</v>
      </c>
      <c r="C28" s="100">
        <v>15.93</v>
      </c>
      <c r="D28" s="100">
        <v>31.62</v>
      </c>
      <c r="E28" s="100">
        <v>7.3</v>
      </c>
      <c r="F28" s="100">
        <v>2</v>
      </c>
      <c r="G28" s="100">
        <v>116.62</v>
      </c>
      <c r="H28" s="100">
        <v>60.67</v>
      </c>
      <c r="I28" s="100">
        <v>18.350000000000001</v>
      </c>
      <c r="J28" s="100">
        <v>0.11</v>
      </c>
      <c r="K28" s="100">
        <v>165.73</v>
      </c>
      <c r="L28" s="100">
        <v>15.71</v>
      </c>
      <c r="M28" s="100">
        <v>21.62</v>
      </c>
      <c r="N28" s="100">
        <v>1.2</v>
      </c>
      <c r="O28" s="100">
        <v>0</v>
      </c>
      <c r="P28" s="100">
        <v>1.04</v>
      </c>
      <c r="Q28" s="100">
        <v>9.32</v>
      </c>
      <c r="R28" s="6"/>
      <c r="S28" s="6"/>
      <c r="T28" s="156"/>
      <c r="U28" s="6"/>
    </row>
    <row r="29" spans="1:21" customFormat="1">
      <c r="A29" s="201" t="s">
        <v>1416</v>
      </c>
      <c r="B29" s="100">
        <v>31.29</v>
      </c>
      <c r="C29" s="100">
        <v>16.21</v>
      </c>
      <c r="D29" s="100">
        <v>33.56</v>
      </c>
      <c r="E29" s="100">
        <v>7.87</v>
      </c>
      <c r="F29" s="100">
        <v>2</v>
      </c>
      <c r="G29" s="100">
        <v>119.26</v>
      </c>
      <c r="H29" s="100">
        <v>62.86</v>
      </c>
      <c r="I29" s="100">
        <v>18.600000000000001</v>
      </c>
      <c r="J29" s="100">
        <v>0.13</v>
      </c>
      <c r="K29" s="100">
        <v>158.57</v>
      </c>
      <c r="L29" s="100">
        <v>15.17</v>
      </c>
      <c r="M29" s="100">
        <v>20.37</v>
      </c>
      <c r="N29" s="100">
        <v>1.1000000000000001</v>
      </c>
      <c r="O29" s="100">
        <v>0</v>
      </c>
      <c r="P29" s="100">
        <v>1.06</v>
      </c>
      <c r="Q29" s="100">
        <v>9.32</v>
      </c>
      <c r="R29" s="6"/>
      <c r="S29" s="6"/>
      <c r="T29" s="156"/>
      <c r="U29" s="6"/>
    </row>
    <row r="30" spans="1:21" customFormat="1">
      <c r="A30" s="201" t="s">
        <v>1417</v>
      </c>
      <c r="B30" s="100">
        <v>33.64</v>
      </c>
      <c r="C30" s="100">
        <v>16.59</v>
      </c>
      <c r="D30" s="100">
        <v>35.64</v>
      </c>
      <c r="E30" s="100">
        <v>7.46</v>
      </c>
      <c r="F30" s="100">
        <v>2</v>
      </c>
      <c r="G30" s="100">
        <v>123.23</v>
      </c>
      <c r="H30" s="100">
        <v>64.790000000000006</v>
      </c>
      <c r="I30" s="100">
        <v>18.84</v>
      </c>
      <c r="J30" s="100">
        <v>0.16</v>
      </c>
      <c r="K30" s="100">
        <v>144.84</v>
      </c>
      <c r="L30" s="100">
        <v>13.62</v>
      </c>
      <c r="M30" s="100">
        <v>16.43</v>
      </c>
      <c r="N30" s="100">
        <v>1.1000000000000001</v>
      </c>
      <c r="O30" s="100">
        <v>0</v>
      </c>
      <c r="P30" s="100">
        <v>1.07</v>
      </c>
      <c r="Q30" s="100">
        <v>9.32</v>
      </c>
      <c r="R30" s="6"/>
      <c r="S30" s="6"/>
      <c r="T30" s="156"/>
      <c r="U30" s="6"/>
    </row>
    <row r="31" spans="1:21" customFormat="1">
      <c r="A31" s="201" t="s">
        <v>1418</v>
      </c>
      <c r="B31" s="100">
        <v>36.119999999999997</v>
      </c>
      <c r="C31" s="100">
        <v>17.11</v>
      </c>
      <c r="D31" s="100">
        <v>37.9</v>
      </c>
      <c r="E31" s="100">
        <v>7.58</v>
      </c>
      <c r="F31" s="100">
        <v>2</v>
      </c>
      <c r="G31" s="100">
        <v>123.23</v>
      </c>
      <c r="H31" s="100">
        <v>64.790000000000006</v>
      </c>
      <c r="I31" s="100">
        <v>19.07</v>
      </c>
      <c r="J31" s="100">
        <v>0.15</v>
      </c>
      <c r="K31" s="100">
        <v>175.64</v>
      </c>
      <c r="L31" s="100">
        <v>16.47</v>
      </c>
      <c r="M31" s="100">
        <v>23.61</v>
      </c>
      <c r="N31" s="100">
        <v>1</v>
      </c>
      <c r="O31" s="100">
        <v>0</v>
      </c>
      <c r="P31" s="100">
        <v>1.0900000000000001</v>
      </c>
      <c r="Q31" s="100">
        <v>9.32</v>
      </c>
      <c r="R31" s="6"/>
      <c r="S31" s="6"/>
      <c r="T31" s="156"/>
      <c r="U31" s="6"/>
    </row>
    <row r="32" spans="1:21" customFormat="1">
      <c r="A32" s="201" t="s">
        <v>1419</v>
      </c>
      <c r="B32" s="100">
        <v>38.19</v>
      </c>
      <c r="C32" s="100">
        <v>17.46</v>
      </c>
      <c r="D32" s="100">
        <v>39.75</v>
      </c>
      <c r="E32" s="100">
        <v>7.72</v>
      </c>
      <c r="F32" s="100">
        <v>2</v>
      </c>
      <c r="G32" s="100">
        <v>123.23</v>
      </c>
      <c r="H32" s="100">
        <v>64.790000000000006</v>
      </c>
      <c r="I32" s="100">
        <v>19.329999999999998</v>
      </c>
      <c r="J32" s="100">
        <v>0.19</v>
      </c>
      <c r="K32" s="100">
        <v>161.71</v>
      </c>
      <c r="L32" s="100">
        <v>15.22</v>
      </c>
      <c r="M32" s="100">
        <v>20.45</v>
      </c>
      <c r="N32" s="100">
        <v>1.3</v>
      </c>
      <c r="O32" s="100">
        <v>0</v>
      </c>
      <c r="P32" s="100">
        <v>1.1100000000000001</v>
      </c>
      <c r="Q32" s="100">
        <v>9.32</v>
      </c>
      <c r="R32" s="6"/>
      <c r="S32" s="6"/>
      <c r="T32" s="156"/>
      <c r="U32" s="6"/>
    </row>
    <row r="33" spans="1:21" customFormat="1">
      <c r="A33" s="201" t="s">
        <v>1420</v>
      </c>
      <c r="B33" s="100">
        <v>39.42</v>
      </c>
      <c r="C33" s="100">
        <v>17.670000000000002</v>
      </c>
      <c r="D33" s="100">
        <v>40.85</v>
      </c>
      <c r="E33" s="100">
        <v>7.7</v>
      </c>
      <c r="F33" s="100">
        <v>2</v>
      </c>
      <c r="G33" s="100">
        <v>126.05</v>
      </c>
      <c r="H33" s="100">
        <v>66.58</v>
      </c>
      <c r="I33" s="100">
        <v>19.61</v>
      </c>
      <c r="J33" s="100">
        <v>0.18</v>
      </c>
      <c r="K33" s="100">
        <v>187.49</v>
      </c>
      <c r="L33" s="100">
        <v>17.64</v>
      </c>
      <c r="M33" s="100">
        <v>26.48</v>
      </c>
      <c r="N33" s="100">
        <v>3</v>
      </c>
      <c r="O33" s="100">
        <v>0</v>
      </c>
      <c r="P33" s="100">
        <v>1.1200000000000001</v>
      </c>
      <c r="Q33" s="100">
        <v>9.32</v>
      </c>
      <c r="R33" s="6"/>
      <c r="S33" s="6"/>
      <c r="T33" s="156"/>
      <c r="U33" s="6"/>
    </row>
    <row r="34" spans="1:21" customFormat="1">
      <c r="A34" s="201" t="s">
        <v>1421</v>
      </c>
      <c r="B34" s="100">
        <v>40.14</v>
      </c>
      <c r="C34" s="100">
        <v>17.66</v>
      </c>
      <c r="D34" s="100">
        <v>41.42</v>
      </c>
      <c r="E34" s="100">
        <v>7.71</v>
      </c>
      <c r="F34" s="100">
        <v>2</v>
      </c>
      <c r="G34" s="100">
        <v>130.29</v>
      </c>
      <c r="H34" s="100">
        <v>68.11</v>
      </c>
      <c r="I34" s="100">
        <v>18.079999999999998</v>
      </c>
      <c r="J34" s="100">
        <v>0.2</v>
      </c>
      <c r="K34" s="100">
        <v>238.27</v>
      </c>
      <c r="L34" s="100">
        <v>21.11</v>
      </c>
      <c r="M34" s="100">
        <v>35.03</v>
      </c>
      <c r="N34" s="100">
        <v>9.6</v>
      </c>
      <c r="O34" s="100">
        <v>0</v>
      </c>
      <c r="P34" s="100">
        <v>1.1299999999999999</v>
      </c>
      <c r="Q34" s="100">
        <v>9.32</v>
      </c>
      <c r="R34" s="6"/>
      <c r="S34" s="6"/>
      <c r="T34" s="156"/>
      <c r="U34" s="6"/>
    </row>
    <row r="35" spans="1:21" customFormat="1">
      <c r="A35" s="201" t="s">
        <v>1422</v>
      </c>
      <c r="B35" s="100">
        <v>40.619999999999997</v>
      </c>
      <c r="C35" s="100">
        <v>17.559999999999999</v>
      </c>
      <c r="D35" s="100">
        <v>41.75</v>
      </c>
      <c r="E35" s="100">
        <v>7.72</v>
      </c>
      <c r="F35" s="100">
        <v>2</v>
      </c>
      <c r="G35" s="100">
        <v>130.29</v>
      </c>
      <c r="H35" s="100">
        <v>68.11</v>
      </c>
      <c r="I35" s="100">
        <v>16.309999999999999</v>
      </c>
      <c r="J35" s="100">
        <v>0.17</v>
      </c>
      <c r="K35" s="100">
        <v>225.88</v>
      </c>
      <c r="L35" s="100">
        <v>19.38</v>
      </c>
      <c r="M35" s="100">
        <v>30.42</v>
      </c>
      <c r="N35" s="100">
        <v>20.2</v>
      </c>
      <c r="O35" s="100">
        <v>0</v>
      </c>
      <c r="P35" s="100">
        <v>1.1399999999999999</v>
      </c>
      <c r="Q35" s="100">
        <v>9.32</v>
      </c>
      <c r="R35" s="6"/>
      <c r="S35" s="6"/>
      <c r="T35" s="156"/>
      <c r="U35" s="6"/>
    </row>
    <row r="36" spans="1:21" customFormat="1">
      <c r="A36" s="201" t="s">
        <v>1423</v>
      </c>
      <c r="B36" s="100">
        <v>40.58</v>
      </c>
      <c r="C36" s="100">
        <v>17.45</v>
      </c>
      <c r="D36" s="100">
        <v>41.66</v>
      </c>
      <c r="E36" s="100">
        <v>7.71</v>
      </c>
      <c r="F36" s="100">
        <v>2</v>
      </c>
      <c r="G36" s="100">
        <v>130.29</v>
      </c>
      <c r="H36" s="100">
        <v>68.11</v>
      </c>
      <c r="I36" s="100">
        <v>16.47</v>
      </c>
      <c r="J36" s="100">
        <v>0.14000000000000001</v>
      </c>
      <c r="K36" s="100">
        <v>181.98</v>
      </c>
      <c r="L36" s="100">
        <v>17.309999999999999</v>
      </c>
      <c r="M36" s="100">
        <v>24.94</v>
      </c>
      <c r="N36" s="100">
        <v>33.299999999999997</v>
      </c>
      <c r="O36" s="100">
        <v>0</v>
      </c>
      <c r="P36" s="100">
        <v>1.1399999999999999</v>
      </c>
      <c r="Q36" s="100">
        <v>9.32</v>
      </c>
      <c r="R36" s="6"/>
      <c r="S36" s="6"/>
      <c r="T36" s="156"/>
      <c r="U36" s="6"/>
    </row>
    <row r="37" spans="1:21" customFormat="1">
      <c r="A37" s="201" t="s">
        <v>1424</v>
      </c>
      <c r="B37" s="100">
        <v>40.200000000000003</v>
      </c>
      <c r="C37" s="100">
        <v>17.28</v>
      </c>
      <c r="D37" s="100">
        <v>41.27</v>
      </c>
      <c r="E37" s="100">
        <v>7.48</v>
      </c>
      <c r="F37" s="100">
        <v>2</v>
      </c>
      <c r="G37" s="100">
        <v>127.75</v>
      </c>
      <c r="H37" s="100">
        <v>68.08</v>
      </c>
      <c r="I37" s="100">
        <v>16.59</v>
      </c>
      <c r="J37" s="100">
        <v>0.21</v>
      </c>
      <c r="K37" s="100">
        <v>177.12</v>
      </c>
      <c r="L37" s="100">
        <v>16.79</v>
      </c>
      <c r="M37" s="100">
        <v>23.34</v>
      </c>
      <c r="N37" s="100">
        <v>47.1</v>
      </c>
      <c r="O37" s="100">
        <v>0</v>
      </c>
      <c r="P37" s="100">
        <v>1.1499999999999999</v>
      </c>
      <c r="Q37" s="100">
        <v>9.32</v>
      </c>
      <c r="R37" s="6"/>
      <c r="S37" s="6"/>
      <c r="T37" s="156"/>
      <c r="U37" s="6"/>
    </row>
    <row r="38" spans="1:21" customFormat="1">
      <c r="A38" s="201" t="s">
        <v>1425</v>
      </c>
      <c r="B38" s="100">
        <v>39.47</v>
      </c>
      <c r="C38" s="100">
        <v>17.28</v>
      </c>
      <c r="D38" s="100">
        <v>40.68</v>
      </c>
      <c r="E38" s="100">
        <v>7.76</v>
      </c>
      <c r="F38" s="100">
        <v>2</v>
      </c>
      <c r="G38" s="100">
        <v>123.93</v>
      </c>
      <c r="H38" s="100">
        <v>68.08</v>
      </c>
      <c r="I38" s="100">
        <v>16.649999999999999</v>
      </c>
      <c r="J38" s="100">
        <v>0.17</v>
      </c>
      <c r="K38" s="100">
        <v>198.87</v>
      </c>
      <c r="L38" s="100">
        <v>18.2</v>
      </c>
      <c r="M38" s="100">
        <v>26.58</v>
      </c>
      <c r="N38" s="100">
        <v>61.7</v>
      </c>
      <c r="O38" s="100">
        <v>0</v>
      </c>
      <c r="P38" s="100">
        <v>1.1499999999999999</v>
      </c>
      <c r="Q38" s="100">
        <v>9.32</v>
      </c>
      <c r="R38" s="6"/>
      <c r="S38" s="6"/>
      <c r="T38" s="156"/>
      <c r="U38" s="6"/>
    </row>
    <row r="39" spans="1:21" customFormat="1">
      <c r="A39" s="201" t="s">
        <v>1426</v>
      </c>
      <c r="B39" s="100">
        <v>38.79</v>
      </c>
      <c r="C39" s="100">
        <v>17.2</v>
      </c>
      <c r="D39" s="100">
        <v>40.090000000000003</v>
      </c>
      <c r="E39" s="100">
        <v>7.75</v>
      </c>
      <c r="F39" s="100">
        <v>2</v>
      </c>
      <c r="G39" s="100">
        <v>123.93</v>
      </c>
      <c r="H39" s="100">
        <v>68.08</v>
      </c>
      <c r="I39" s="100">
        <v>16.7</v>
      </c>
      <c r="J39" s="100">
        <v>0.37</v>
      </c>
      <c r="K39" s="100">
        <v>59.24</v>
      </c>
      <c r="L39" s="100">
        <v>10.78</v>
      </c>
      <c r="M39" s="100">
        <v>7.29</v>
      </c>
      <c r="N39" s="100">
        <v>77.099999999999994</v>
      </c>
      <c r="O39" s="100">
        <v>0</v>
      </c>
      <c r="P39" s="100">
        <v>1.1599999999999999</v>
      </c>
      <c r="Q39" s="100">
        <v>9.32</v>
      </c>
      <c r="R39" s="6"/>
      <c r="S39" s="6"/>
      <c r="T39" s="156"/>
      <c r="U39" s="6"/>
    </row>
    <row r="40" spans="1:21" customFormat="1">
      <c r="A40" s="201" t="s">
        <v>1427</v>
      </c>
      <c r="B40" s="100">
        <v>37.770000000000003</v>
      </c>
      <c r="C40" s="100">
        <v>17.5</v>
      </c>
      <c r="D40" s="100">
        <v>39.43</v>
      </c>
      <c r="E40" s="100">
        <v>7.55</v>
      </c>
      <c r="F40" s="100">
        <v>2</v>
      </c>
      <c r="G40" s="100">
        <v>123.93</v>
      </c>
      <c r="H40" s="100">
        <v>68.08</v>
      </c>
      <c r="I40" s="100">
        <v>16.82</v>
      </c>
      <c r="J40" s="100">
        <v>0.56000000000000005</v>
      </c>
      <c r="K40" s="100">
        <v>56.91</v>
      </c>
      <c r="L40" s="100">
        <v>9.1</v>
      </c>
      <c r="M40" s="100">
        <v>1</v>
      </c>
      <c r="N40" s="100">
        <v>165.1</v>
      </c>
      <c r="O40" s="100">
        <v>0</v>
      </c>
      <c r="P40" s="100">
        <v>1.1399999999999999</v>
      </c>
      <c r="Q40" s="100">
        <v>9.32</v>
      </c>
      <c r="R40" s="6"/>
      <c r="S40" s="6"/>
      <c r="T40" s="156"/>
      <c r="U40" s="6"/>
    </row>
    <row r="41" spans="1:21" customFormat="1">
      <c r="A41" s="201" t="s">
        <v>1428</v>
      </c>
      <c r="B41" s="100">
        <v>36.31</v>
      </c>
      <c r="C41" s="100">
        <v>17.850000000000001</v>
      </c>
      <c r="D41" s="100">
        <v>38.450000000000003</v>
      </c>
      <c r="E41" s="100">
        <v>7.4</v>
      </c>
      <c r="F41" s="100">
        <v>2</v>
      </c>
      <c r="G41" s="100">
        <v>122.03</v>
      </c>
      <c r="H41" s="100">
        <v>66.39</v>
      </c>
      <c r="I41" s="100">
        <v>16.850000000000001</v>
      </c>
      <c r="J41" s="100">
        <v>0.47</v>
      </c>
      <c r="K41" s="100">
        <v>55.77</v>
      </c>
      <c r="L41" s="100">
        <v>9.23</v>
      </c>
      <c r="M41" s="100">
        <v>0.35</v>
      </c>
      <c r="N41" s="100">
        <v>205.5</v>
      </c>
      <c r="O41" s="100">
        <v>0</v>
      </c>
      <c r="P41" s="100">
        <v>1.1200000000000001</v>
      </c>
      <c r="Q41" s="100">
        <v>9.32</v>
      </c>
      <c r="R41" s="6"/>
      <c r="S41" s="6"/>
      <c r="T41" s="156"/>
      <c r="U41" s="6"/>
    </row>
    <row r="42" spans="1:21" customFormat="1">
      <c r="A42" s="201" t="s">
        <v>1429</v>
      </c>
      <c r="B42" s="100">
        <v>34.68</v>
      </c>
      <c r="C42" s="100">
        <v>18.2</v>
      </c>
      <c r="D42" s="100">
        <v>37.32</v>
      </c>
      <c r="E42" s="100">
        <v>7.42</v>
      </c>
      <c r="F42" s="100">
        <v>2</v>
      </c>
      <c r="G42" s="100">
        <v>119.17</v>
      </c>
      <c r="H42" s="100">
        <v>65.819999999999993</v>
      </c>
      <c r="I42" s="100">
        <v>16.66</v>
      </c>
      <c r="J42" s="100">
        <v>0.62</v>
      </c>
      <c r="K42" s="100">
        <v>57.21</v>
      </c>
      <c r="L42" s="100">
        <v>10.28</v>
      </c>
      <c r="M42" s="100">
        <v>2.12</v>
      </c>
      <c r="N42" s="100">
        <v>243.6</v>
      </c>
      <c r="O42" s="100">
        <v>0</v>
      </c>
      <c r="P42" s="100">
        <v>1.1000000000000001</v>
      </c>
      <c r="Q42" s="100">
        <v>9.32</v>
      </c>
      <c r="R42" s="6"/>
      <c r="S42" s="6"/>
      <c r="T42" s="156"/>
      <c r="U42" s="6"/>
    </row>
    <row r="43" spans="1:21" customFormat="1">
      <c r="A43" s="201" t="s">
        <v>1430</v>
      </c>
      <c r="B43" s="100">
        <v>32.85</v>
      </c>
      <c r="C43" s="100">
        <v>18.41</v>
      </c>
      <c r="D43" s="100">
        <v>35.96</v>
      </c>
      <c r="E43" s="100">
        <v>7.03</v>
      </c>
      <c r="F43" s="100">
        <v>2</v>
      </c>
      <c r="G43" s="100">
        <v>119.17</v>
      </c>
      <c r="H43" s="100">
        <v>65.819999999999993</v>
      </c>
      <c r="I43" s="100">
        <v>16.43</v>
      </c>
      <c r="J43" s="100">
        <v>0.68</v>
      </c>
      <c r="K43" s="100">
        <v>51.09</v>
      </c>
      <c r="L43" s="100">
        <v>10.220000000000001</v>
      </c>
      <c r="M43" s="100">
        <v>1.07</v>
      </c>
      <c r="N43" s="100">
        <v>279.8</v>
      </c>
      <c r="O43" s="100">
        <v>0</v>
      </c>
      <c r="P43" s="100">
        <v>1.0900000000000001</v>
      </c>
      <c r="Q43" s="100">
        <v>9.32</v>
      </c>
      <c r="R43" s="6"/>
      <c r="S43" s="6"/>
      <c r="T43" s="156"/>
      <c r="U43" s="6"/>
    </row>
    <row r="44" spans="1:21" customFormat="1">
      <c r="A44" s="201" t="s">
        <v>1431</v>
      </c>
      <c r="B44" s="100">
        <v>30.76</v>
      </c>
      <c r="C44" s="100">
        <v>18.670000000000002</v>
      </c>
      <c r="D44" s="100">
        <v>34.42</v>
      </c>
      <c r="E44" s="100">
        <v>7.35</v>
      </c>
      <c r="F44" s="100">
        <v>2</v>
      </c>
      <c r="G44" s="100">
        <v>119.17</v>
      </c>
      <c r="H44" s="100">
        <v>65.819999999999993</v>
      </c>
      <c r="I44" s="100">
        <v>16.16</v>
      </c>
      <c r="J44" s="100">
        <v>0.74</v>
      </c>
      <c r="K44" s="100">
        <v>47.14</v>
      </c>
      <c r="L44" s="100">
        <v>10.94</v>
      </c>
      <c r="M44" s="100">
        <v>2.71</v>
      </c>
      <c r="N44" s="100">
        <v>317.60000000000002</v>
      </c>
      <c r="O44" s="100">
        <v>0</v>
      </c>
      <c r="P44" s="100">
        <v>1.06</v>
      </c>
      <c r="Q44" s="100">
        <v>9.32</v>
      </c>
      <c r="R44" s="6"/>
      <c r="S44" s="6"/>
      <c r="T44" s="156"/>
      <c r="U44" s="6"/>
    </row>
    <row r="45" spans="1:21" customFormat="1">
      <c r="A45" s="201" t="s">
        <v>1432</v>
      </c>
      <c r="B45" s="100">
        <v>28.65</v>
      </c>
      <c r="C45" s="100">
        <v>18.899999999999999</v>
      </c>
      <c r="D45" s="100">
        <v>32.86</v>
      </c>
      <c r="E45" s="100">
        <v>7.35</v>
      </c>
      <c r="F45" s="100">
        <v>2</v>
      </c>
      <c r="G45" s="100">
        <v>114.97</v>
      </c>
      <c r="H45" s="100">
        <v>61.6</v>
      </c>
      <c r="I45" s="100">
        <v>15.83</v>
      </c>
      <c r="J45" s="100">
        <v>0.95</v>
      </c>
      <c r="K45" s="100">
        <v>42.64</v>
      </c>
      <c r="L45" s="100">
        <v>11.08</v>
      </c>
      <c r="M45" s="100">
        <v>1.31</v>
      </c>
      <c r="N45" s="100">
        <v>357.7</v>
      </c>
      <c r="O45" s="100">
        <v>0</v>
      </c>
      <c r="P45" s="100">
        <v>1.04</v>
      </c>
      <c r="Q45" s="100">
        <v>9.32</v>
      </c>
      <c r="R45" s="6"/>
      <c r="S45" s="6"/>
      <c r="T45" s="156"/>
      <c r="U45" s="6"/>
    </row>
    <row r="46" spans="1:21" customFormat="1">
      <c r="A46" s="201" t="s">
        <v>1433</v>
      </c>
      <c r="B46" s="100">
        <v>26.41</v>
      </c>
      <c r="C46" s="100">
        <v>19.440000000000001</v>
      </c>
      <c r="D46" s="100">
        <v>31.34</v>
      </c>
      <c r="E46" s="100">
        <v>7.02</v>
      </c>
      <c r="F46" s="100">
        <v>2</v>
      </c>
      <c r="G46" s="100">
        <v>108.66</v>
      </c>
      <c r="H46" s="100">
        <v>57.97</v>
      </c>
      <c r="I46" s="100">
        <v>15.5</v>
      </c>
      <c r="J46" s="100">
        <v>1.04</v>
      </c>
      <c r="K46" s="100">
        <v>44.69</v>
      </c>
      <c r="L46" s="100">
        <v>12.25</v>
      </c>
      <c r="M46" s="100">
        <v>3.37</v>
      </c>
      <c r="N46" s="100">
        <v>396</v>
      </c>
      <c r="O46" s="100">
        <v>0</v>
      </c>
      <c r="P46" s="100">
        <v>1.02</v>
      </c>
      <c r="Q46" s="100">
        <v>9.32</v>
      </c>
      <c r="R46" s="6"/>
      <c r="S46" s="6"/>
      <c r="T46" s="156"/>
      <c r="U46" s="6"/>
    </row>
    <row r="47" spans="1:21" customFormat="1">
      <c r="A47" s="201" t="s">
        <v>1434</v>
      </c>
      <c r="B47" s="100">
        <v>24.26</v>
      </c>
      <c r="C47" s="100">
        <v>19.93</v>
      </c>
      <c r="D47" s="100">
        <v>29.87</v>
      </c>
      <c r="E47" s="100">
        <v>7.15</v>
      </c>
      <c r="F47" s="100">
        <v>2</v>
      </c>
      <c r="G47" s="100">
        <v>108.66</v>
      </c>
      <c r="H47" s="100">
        <v>57.97</v>
      </c>
      <c r="I47" s="100">
        <v>16.809999999999999</v>
      </c>
      <c r="J47" s="100">
        <v>1.01</v>
      </c>
      <c r="K47" s="100">
        <v>47.13</v>
      </c>
      <c r="L47" s="100">
        <v>11.85</v>
      </c>
      <c r="M47" s="100">
        <v>4.92</v>
      </c>
      <c r="N47" s="100">
        <v>290.10000000000002</v>
      </c>
      <c r="O47" s="100">
        <v>0</v>
      </c>
      <c r="P47" s="100">
        <v>1</v>
      </c>
      <c r="Q47" s="100">
        <v>9.32</v>
      </c>
      <c r="R47" s="6"/>
      <c r="S47" s="6"/>
      <c r="T47" s="156"/>
      <c r="U47" s="6"/>
    </row>
    <row r="48" spans="1:21" customFormat="1">
      <c r="A48" s="201" t="s">
        <v>1435</v>
      </c>
      <c r="B48" s="100">
        <v>22.29</v>
      </c>
      <c r="C48" s="100">
        <v>20.49</v>
      </c>
      <c r="D48" s="100">
        <v>28.58</v>
      </c>
      <c r="E48" s="100">
        <v>6.92</v>
      </c>
      <c r="F48" s="100">
        <v>2</v>
      </c>
      <c r="G48" s="100">
        <v>108.66</v>
      </c>
      <c r="H48" s="100">
        <v>57.97</v>
      </c>
      <c r="I48" s="100">
        <v>18.260000000000002</v>
      </c>
      <c r="J48" s="100">
        <v>0.73</v>
      </c>
      <c r="K48" s="100">
        <v>58.98</v>
      </c>
      <c r="L48" s="100">
        <v>11.97</v>
      </c>
      <c r="M48" s="100">
        <v>3.16</v>
      </c>
      <c r="N48" s="100">
        <v>377.9</v>
      </c>
      <c r="O48" s="100">
        <v>0</v>
      </c>
      <c r="P48" s="100">
        <v>0.98</v>
      </c>
      <c r="Q48" s="100">
        <v>9.32</v>
      </c>
      <c r="R48" s="6"/>
      <c r="S48" s="6"/>
      <c r="T48" s="156"/>
      <c r="U48" s="6"/>
    </row>
    <row r="49" spans="1:21" customFormat="1">
      <c r="A49" s="201" t="s">
        <v>1436</v>
      </c>
      <c r="B49" s="100">
        <v>20.170000000000002</v>
      </c>
      <c r="C49" s="100">
        <v>20.87</v>
      </c>
      <c r="D49" s="100">
        <v>27.08</v>
      </c>
      <c r="E49" s="100">
        <v>5.25</v>
      </c>
      <c r="F49" s="100">
        <v>2</v>
      </c>
      <c r="G49" s="100">
        <v>108.78</v>
      </c>
      <c r="H49" s="100">
        <v>57.09</v>
      </c>
      <c r="I49" s="100">
        <v>17.829999999999998</v>
      </c>
      <c r="J49" s="100">
        <v>0.88</v>
      </c>
      <c r="K49" s="100">
        <v>49.52</v>
      </c>
      <c r="L49" s="100">
        <v>12.68</v>
      </c>
      <c r="M49" s="100">
        <v>2.12</v>
      </c>
      <c r="N49" s="100">
        <v>497.4</v>
      </c>
      <c r="O49" s="100">
        <v>0</v>
      </c>
      <c r="P49" s="100">
        <v>0.96</v>
      </c>
      <c r="Q49" s="100">
        <v>9.32</v>
      </c>
      <c r="R49" s="6"/>
      <c r="S49" s="6"/>
      <c r="T49" s="156"/>
      <c r="U49" s="6"/>
    </row>
    <row r="50" spans="1:21" customFormat="1">
      <c r="A50" s="201" t="s">
        <v>1437</v>
      </c>
      <c r="B50" s="100">
        <v>18.13</v>
      </c>
      <c r="C50" s="100">
        <v>21.06</v>
      </c>
      <c r="D50" s="100">
        <v>25.55</v>
      </c>
      <c r="E50" s="100">
        <v>5.8</v>
      </c>
      <c r="F50" s="100">
        <v>2</v>
      </c>
      <c r="G50" s="100">
        <v>108.96</v>
      </c>
      <c r="H50" s="100">
        <v>56.34</v>
      </c>
      <c r="I50" s="100">
        <v>17.399999999999999</v>
      </c>
      <c r="J50" s="100">
        <v>0.98</v>
      </c>
      <c r="K50" s="100">
        <v>41.81</v>
      </c>
      <c r="L50" s="100">
        <v>13.77</v>
      </c>
      <c r="M50" s="100">
        <v>4.13</v>
      </c>
      <c r="N50" s="100">
        <v>526.20000000000005</v>
      </c>
      <c r="O50" s="100">
        <v>0</v>
      </c>
      <c r="P50" s="100">
        <v>0.95</v>
      </c>
      <c r="Q50" s="100">
        <v>9.32</v>
      </c>
      <c r="R50" s="6"/>
      <c r="S50" s="6"/>
      <c r="T50" s="156"/>
      <c r="U50" s="6"/>
    </row>
    <row r="51" spans="1:21" customFormat="1">
      <c r="A51" s="201" t="s">
        <v>1438</v>
      </c>
      <c r="B51" s="100">
        <v>16.57</v>
      </c>
      <c r="C51" s="100">
        <v>20.88</v>
      </c>
      <c r="D51" s="100">
        <v>24.19</v>
      </c>
      <c r="E51" s="100">
        <v>6.2</v>
      </c>
      <c r="F51" s="100">
        <v>2</v>
      </c>
      <c r="G51" s="100">
        <v>108.96</v>
      </c>
      <c r="H51" s="100">
        <v>56.34</v>
      </c>
      <c r="I51" s="100">
        <v>17</v>
      </c>
      <c r="J51" s="100">
        <v>1.06</v>
      </c>
      <c r="K51" s="100">
        <v>46.02</v>
      </c>
      <c r="L51" s="100">
        <v>12.86</v>
      </c>
      <c r="M51" s="100">
        <v>1.32</v>
      </c>
      <c r="N51" s="100">
        <v>549.4</v>
      </c>
      <c r="O51" s="100">
        <v>0</v>
      </c>
      <c r="P51" s="100">
        <v>0.93</v>
      </c>
      <c r="Q51" s="100">
        <v>9.32</v>
      </c>
      <c r="R51" s="6"/>
      <c r="S51" s="6"/>
      <c r="T51" s="156"/>
      <c r="U51" s="6"/>
    </row>
    <row r="52" spans="1:21" customFormat="1">
      <c r="A52" s="201" t="s">
        <v>1439</v>
      </c>
      <c r="B52" s="100">
        <v>15.08</v>
      </c>
      <c r="C52" s="100">
        <v>20.54</v>
      </c>
      <c r="D52" s="100">
        <v>22.82</v>
      </c>
      <c r="E52" s="100">
        <v>5.77</v>
      </c>
      <c r="F52" s="100">
        <v>2</v>
      </c>
      <c r="G52" s="100">
        <v>108.96</v>
      </c>
      <c r="H52" s="100">
        <v>56.34</v>
      </c>
      <c r="I52" s="100">
        <v>16.63</v>
      </c>
      <c r="J52" s="100">
        <v>0.36</v>
      </c>
      <c r="K52" s="100">
        <v>86.75</v>
      </c>
      <c r="L52" s="100">
        <v>16.03</v>
      </c>
      <c r="M52" s="100">
        <v>10.09</v>
      </c>
      <c r="N52" s="100">
        <v>519.79999999999995</v>
      </c>
      <c r="O52" s="100">
        <v>0</v>
      </c>
      <c r="P52" s="100">
        <v>0.92</v>
      </c>
      <c r="Q52" s="100">
        <v>9.32</v>
      </c>
      <c r="R52" s="6"/>
      <c r="S52" s="6"/>
      <c r="T52" s="156"/>
      <c r="U52" s="6"/>
    </row>
    <row r="53" spans="1:21" customFormat="1">
      <c r="A53" s="201" t="s">
        <v>1440</v>
      </c>
      <c r="B53" s="100">
        <v>13.55</v>
      </c>
      <c r="C53" s="100">
        <v>20.29</v>
      </c>
      <c r="D53" s="100">
        <v>21.46</v>
      </c>
      <c r="E53" s="100">
        <v>5.76</v>
      </c>
      <c r="F53" s="100">
        <v>2</v>
      </c>
      <c r="G53" s="100">
        <v>105.82</v>
      </c>
      <c r="H53" s="100">
        <v>54.78</v>
      </c>
      <c r="I53" s="100">
        <v>16.309999999999999</v>
      </c>
      <c r="J53" s="100">
        <v>0.72</v>
      </c>
      <c r="K53" s="100">
        <v>31.45</v>
      </c>
      <c r="L53" s="100">
        <v>17.489999999999998</v>
      </c>
      <c r="M53" s="100">
        <v>12.34</v>
      </c>
      <c r="N53" s="100">
        <v>579.4</v>
      </c>
      <c r="O53" s="100">
        <v>0</v>
      </c>
      <c r="P53" s="100">
        <v>0.89</v>
      </c>
      <c r="Q53" s="100">
        <v>9.32</v>
      </c>
      <c r="R53" s="6"/>
      <c r="S53" s="6"/>
      <c r="T53" s="156"/>
      <c r="U53" s="6"/>
    </row>
    <row r="54" spans="1:21" customFormat="1">
      <c r="A54" s="201" t="s">
        <v>1441</v>
      </c>
      <c r="B54" s="100">
        <v>12.18</v>
      </c>
      <c r="C54" s="100">
        <v>20.190000000000001</v>
      </c>
      <c r="D54" s="100">
        <v>20.32</v>
      </c>
      <c r="E54" s="100">
        <v>6.08</v>
      </c>
      <c r="F54" s="100">
        <v>2</v>
      </c>
      <c r="G54" s="100">
        <v>101.11</v>
      </c>
      <c r="H54" s="100">
        <v>53.4</v>
      </c>
      <c r="I54" s="100">
        <v>16.04</v>
      </c>
      <c r="J54" s="100">
        <v>0.43</v>
      </c>
      <c r="K54" s="100">
        <v>51.08</v>
      </c>
      <c r="L54" s="100">
        <v>17.690000000000001</v>
      </c>
      <c r="M54" s="100">
        <v>12.61</v>
      </c>
      <c r="N54" s="100">
        <v>589.29999999999995</v>
      </c>
      <c r="O54" s="100">
        <v>0</v>
      </c>
      <c r="P54" s="100">
        <v>0.87</v>
      </c>
      <c r="Q54" s="100">
        <v>9.32</v>
      </c>
      <c r="R54" s="6"/>
      <c r="S54" s="6"/>
      <c r="T54" s="156"/>
      <c r="U54" s="6"/>
    </row>
    <row r="55" spans="1:21" customFormat="1">
      <c r="A55" s="201" t="s">
        <v>1442</v>
      </c>
      <c r="B55" s="100">
        <v>11.04</v>
      </c>
      <c r="C55" s="100">
        <v>20.03</v>
      </c>
      <c r="D55" s="100">
        <v>19.32</v>
      </c>
      <c r="E55" s="100">
        <v>5.95</v>
      </c>
      <c r="F55" s="100">
        <v>2</v>
      </c>
      <c r="G55" s="100">
        <v>101.11</v>
      </c>
      <c r="H55" s="100">
        <v>53.4</v>
      </c>
      <c r="I55" s="100">
        <v>15.75</v>
      </c>
      <c r="J55" s="100">
        <v>1.08</v>
      </c>
      <c r="K55" s="100">
        <v>25.37</v>
      </c>
      <c r="L55" s="100">
        <v>18.760000000000002</v>
      </c>
      <c r="M55" s="100">
        <v>14.62</v>
      </c>
      <c r="N55" s="100">
        <v>611.4</v>
      </c>
      <c r="O55" s="100">
        <v>0</v>
      </c>
      <c r="P55" s="100">
        <v>0.86</v>
      </c>
      <c r="Q55" s="100">
        <v>9.32</v>
      </c>
      <c r="R55" s="6"/>
      <c r="S55" s="6"/>
      <c r="T55" s="156"/>
      <c r="U55" s="6"/>
    </row>
    <row r="56" spans="1:21" customFormat="1">
      <c r="A56" s="201" t="s">
        <v>1443</v>
      </c>
      <c r="B56" s="100">
        <v>9.81</v>
      </c>
      <c r="C56" s="100">
        <v>19.73</v>
      </c>
      <c r="D56" s="100">
        <v>18.170000000000002</v>
      </c>
      <c r="E56" s="100">
        <v>5.86</v>
      </c>
      <c r="F56" s="100">
        <v>2</v>
      </c>
      <c r="G56" s="100">
        <v>101.11</v>
      </c>
      <c r="H56" s="100">
        <v>53.4</v>
      </c>
      <c r="I56" s="100">
        <v>15.43</v>
      </c>
      <c r="J56" s="100">
        <v>0.94</v>
      </c>
      <c r="K56" s="100">
        <v>26.49</v>
      </c>
      <c r="L56" s="100">
        <v>16.75</v>
      </c>
      <c r="M56" s="100">
        <v>8.35</v>
      </c>
      <c r="N56" s="100">
        <v>631.79999999999995</v>
      </c>
      <c r="O56" s="100">
        <v>0</v>
      </c>
      <c r="P56" s="100">
        <v>0.84</v>
      </c>
      <c r="Q56" s="100">
        <v>9.32</v>
      </c>
      <c r="R56" s="6"/>
      <c r="S56" s="6"/>
      <c r="T56" s="156"/>
      <c r="U56" s="6"/>
    </row>
    <row r="57" spans="1:21" customFormat="1">
      <c r="A57" s="201" t="s">
        <v>1444</v>
      </c>
      <c r="B57" s="100">
        <v>8.48</v>
      </c>
      <c r="C57" s="100">
        <v>19.399999999999999</v>
      </c>
      <c r="D57" s="100">
        <v>16.940000000000001</v>
      </c>
      <c r="E57" s="100">
        <v>6.12</v>
      </c>
      <c r="F57" s="100">
        <v>2</v>
      </c>
      <c r="G57" s="100">
        <v>96.8</v>
      </c>
      <c r="H57" s="100">
        <v>52.07</v>
      </c>
      <c r="I57" s="100">
        <v>15.09</v>
      </c>
      <c r="J57" s="100">
        <v>0.99</v>
      </c>
      <c r="K57" s="100">
        <v>40.799999999999997</v>
      </c>
      <c r="L57" s="100">
        <v>14.71</v>
      </c>
      <c r="M57" s="100">
        <v>4.3</v>
      </c>
      <c r="N57" s="100">
        <v>620.5</v>
      </c>
      <c r="O57" s="100">
        <v>0</v>
      </c>
      <c r="P57" s="100">
        <v>0.82</v>
      </c>
      <c r="Q57" s="100">
        <v>9.32</v>
      </c>
      <c r="R57" s="6"/>
      <c r="S57" s="6"/>
      <c r="T57" s="156"/>
      <c r="U57" s="6"/>
    </row>
    <row r="58" spans="1:21" customFormat="1">
      <c r="A58" s="201" t="s">
        <v>1445</v>
      </c>
      <c r="B58" s="100">
        <v>7.32</v>
      </c>
      <c r="C58" s="100">
        <v>19.079999999999998</v>
      </c>
      <c r="D58" s="100">
        <v>15.84</v>
      </c>
      <c r="E58" s="100">
        <v>6.08</v>
      </c>
      <c r="F58" s="100">
        <v>2</v>
      </c>
      <c r="G58" s="100">
        <v>90.33</v>
      </c>
      <c r="H58" s="100">
        <v>50.92</v>
      </c>
      <c r="I58" s="100">
        <v>14.79</v>
      </c>
      <c r="J58" s="100">
        <v>0.95</v>
      </c>
      <c r="K58" s="100">
        <v>18.46</v>
      </c>
      <c r="L58" s="100">
        <v>19.73</v>
      </c>
      <c r="M58" s="100">
        <v>17.36</v>
      </c>
      <c r="N58" s="100">
        <v>599.6</v>
      </c>
      <c r="O58" s="100">
        <v>0</v>
      </c>
      <c r="P58" s="100">
        <v>0.8</v>
      </c>
      <c r="Q58" s="100">
        <v>9.32</v>
      </c>
      <c r="R58" s="6"/>
      <c r="S58" s="6"/>
      <c r="T58" s="156"/>
      <c r="U58" s="6"/>
    </row>
    <row r="59" spans="1:21" customFormat="1">
      <c r="A59" s="201" t="s">
        <v>1446</v>
      </c>
      <c r="B59" s="100">
        <v>6.27</v>
      </c>
      <c r="C59" s="100">
        <v>18.690000000000001</v>
      </c>
      <c r="D59" s="100">
        <v>14.8</v>
      </c>
      <c r="E59" s="100">
        <v>6.02</v>
      </c>
      <c r="F59" s="100">
        <v>2.08</v>
      </c>
      <c r="G59" s="100">
        <v>90.33</v>
      </c>
      <c r="H59" s="100">
        <v>50.92</v>
      </c>
      <c r="I59" s="100">
        <v>14.47</v>
      </c>
      <c r="J59" s="100">
        <v>0.54</v>
      </c>
      <c r="K59" s="100">
        <v>23.73</v>
      </c>
      <c r="L59" s="100">
        <v>18.329999999999998</v>
      </c>
      <c r="M59" s="100">
        <v>14.1</v>
      </c>
      <c r="N59" s="100">
        <v>587.70000000000005</v>
      </c>
      <c r="O59" s="100">
        <v>0</v>
      </c>
      <c r="P59" s="100">
        <v>0.78</v>
      </c>
      <c r="Q59" s="100">
        <v>9.32</v>
      </c>
      <c r="R59" s="6"/>
      <c r="S59" s="6"/>
      <c r="T59" s="156"/>
      <c r="U59" s="6"/>
    </row>
    <row r="60" spans="1:21" customFormat="1">
      <c r="A60" s="201" t="s">
        <v>1447</v>
      </c>
      <c r="B60" s="100">
        <v>5.34</v>
      </c>
      <c r="C60" s="100">
        <v>18.3</v>
      </c>
      <c r="D60" s="100">
        <v>13.84</v>
      </c>
      <c r="E60" s="100">
        <v>5.77</v>
      </c>
      <c r="F60" s="100">
        <v>2</v>
      </c>
      <c r="G60" s="100">
        <v>90.33</v>
      </c>
      <c r="H60" s="100">
        <v>50.92</v>
      </c>
      <c r="I60" s="100">
        <v>14.12</v>
      </c>
      <c r="J60" s="100">
        <v>0.99</v>
      </c>
      <c r="K60" s="100">
        <v>46.18</v>
      </c>
      <c r="L60" s="100">
        <v>13.18</v>
      </c>
      <c r="M60" s="100">
        <v>1.98</v>
      </c>
      <c r="N60" s="100">
        <v>550.20000000000005</v>
      </c>
      <c r="O60" s="100">
        <v>0</v>
      </c>
      <c r="P60" s="100">
        <v>0.77</v>
      </c>
      <c r="Q60" s="100">
        <v>9.32</v>
      </c>
      <c r="R60" s="6"/>
      <c r="S60" s="6"/>
      <c r="T60" s="156"/>
      <c r="U60" s="6"/>
    </row>
    <row r="61" spans="1:21" customFormat="1">
      <c r="A61" s="201" t="s">
        <v>1448</v>
      </c>
      <c r="B61" s="100">
        <v>4.51</v>
      </c>
      <c r="C61" s="100">
        <v>17.75</v>
      </c>
      <c r="D61" s="100">
        <v>12.89</v>
      </c>
      <c r="E61" s="100">
        <v>5.79</v>
      </c>
      <c r="F61" s="100">
        <v>2.5099999999999998</v>
      </c>
      <c r="G61" s="100">
        <v>84.23</v>
      </c>
      <c r="H61" s="100">
        <v>48.75</v>
      </c>
      <c r="I61" s="100">
        <v>13.84</v>
      </c>
      <c r="J61" s="100">
        <v>0.71</v>
      </c>
      <c r="K61" s="100">
        <v>14.27</v>
      </c>
      <c r="L61" s="100">
        <v>19.34</v>
      </c>
      <c r="M61" s="100">
        <v>17.510000000000002</v>
      </c>
      <c r="N61" s="100">
        <v>552.79999999999995</v>
      </c>
      <c r="O61" s="100">
        <v>0</v>
      </c>
      <c r="P61" s="100">
        <v>0.75</v>
      </c>
      <c r="Q61" s="100">
        <v>9.32</v>
      </c>
      <c r="R61" s="6"/>
      <c r="S61" s="6"/>
      <c r="T61" s="156"/>
      <c r="U61" s="6"/>
    </row>
    <row r="62" spans="1:21" customFormat="1">
      <c r="A62" s="201" t="s">
        <v>1449</v>
      </c>
      <c r="B62" s="100">
        <v>3.89</v>
      </c>
      <c r="C62" s="100">
        <v>17.329999999999998</v>
      </c>
      <c r="D62" s="100">
        <v>12.17</v>
      </c>
      <c r="E62" s="100">
        <v>5.55</v>
      </c>
      <c r="F62" s="100">
        <v>2</v>
      </c>
      <c r="G62" s="100">
        <v>75.08</v>
      </c>
      <c r="H62" s="100">
        <v>46.88</v>
      </c>
      <c r="I62" s="100">
        <v>13.53</v>
      </c>
      <c r="J62" s="100">
        <v>0.84</v>
      </c>
      <c r="K62" s="100">
        <v>38.97</v>
      </c>
      <c r="L62" s="100">
        <v>15.33</v>
      </c>
      <c r="M62" s="100">
        <v>7.89</v>
      </c>
      <c r="N62" s="100">
        <v>535.9</v>
      </c>
      <c r="O62" s="100">
        <v>0</v>
      </c>
      <c r="P62" s="100">
        <v>0.73</v>
      </c>
      <c r="Q62" s="100">
        <v>9.32</v>
      </c>
      <c r="R62" s="6"/>
      <c r="S62" s="6"/>
      <c r="T62" s="156"/>
      <c r="U62" s="6"/>
    </row>
    <row r="63" spans="1:21" customFormat="1">
      <c r="A63" s="201" t="s">
        <v>1450</v>
      </c>
      <c r="B63" s="100">
        <v>3.44</v>
      </c>
      <c r="C63" s="100">
        <v>16.850000000000001</v>
      </c>
      <c r="D63" s="100">
        <v>11.56</v>
      </c>
      <c r="E63" s="100">
        <v>5.78</v>
      </c>
      <c r="F63" s="100">
        <v>2</v>
      </c>
      <c r="G63" s="100">
        <v>75.08</v>
      </c>
      <c r="H63" s="100">
        <v>46.88</v>
      </c>
      <c r="I63" s="100">
        <v>13.21</v>
      </c>
      <c r="J63" s="100">
        <v>0.98</v>
      </c>
      <c r="K63" s="100">
        <v>27.6</v>
      </c>
      <c r="L63" s="100">
        <v>15.79</v>
      </c>
      <c r="M63" s="100">
        <v>8.75</v>
      </c>
      <c r="N63" s="100">
        <v>540.4</v>
      </c>
      <c r="O63" s="100">
        <v>0</v>
      </c>
      <c r="P63" s="100">
        <v>0.71</v>
      </c>
      <c r="Q63" s="100">
        <v>9.32</v>
      </c>
      <c r="R63" s="6"/>
      <c r="S63" s="6"/>
      <c r="T63" s="156"/>
      <c r="U63" s="6"/>
    </row>
    <row r="64" spans="1:21" customFormat="1">
      <c r="A64" s="201" t="s">
        <v>1451</v>
      </c>
      <c r="B64" s="100">
        <v>3.05</v>
      </c>
      <c r="C64" s="100">
        <v>16.47</v>
      </c>
      <c r="D64" s="100">
        <v>11.05</v>
      </c>
      <c r="E64" s="100">
        <v>5.74</v>
      </c>
      <c r="F64" s="100">
        <v>2</v>
      </c>
      <c r="G64" s="100">
        <v>75.08</v>
      </c>
      <c r="H64" s="100">
        <v>46.88</v>
      </c>
      <c r="I64" s="100">
        <v>12.95</v>
      </c>
      <c r="J64" s="100">
        <v>0.45</v>
      </c>
      <c r="K64" s="100">
        <v>33.07</v>
      </c>
      <c r="L64" s="100">
        <v>14.57</v>
      </c>
      <c r="M64" s="100">
        <v>12.17</v>
      </c>
      <c r="N64" s="100">
        <v>270.89999999999998</v>
      </c>
      <c r="O64" s="100">
        <v>0</v>
      </c>
      <c r="P64" s="100">
        <v>0.71</v>
      </c>
      <c r="Q64" s="100">
        <v>9.32</v>
      </c>
      <c r="R64" s="6"/>
      <c r="S64" s="6"/>
      <c r="T64" s="156"/>
      <c r="U64" s="6"/>
    </row>
    <row r="65" spans="1:21" customFormat="1">
      <c r="A65" s="201" t="s">
        <v>1452</v>
      </c>
      <c r="B65" s="100">
        <v>2.71</v>
      </c>
      <c r="C65" s="100">
        <v>16.059999999999999</v>
      </c>
      <c r="D65" s="100">
        <v>10.57</v>
      </c>
      <c r="E65" s="100">
        <v>5.6</v>
      </c>
      <c r="F65" s="100">
        <v>2.74</v>
      </c>
      <c r="G65" s="100">
        <v>71.98</v>
      </c>
      <c r="H65" s="100">
        <v>45.14</v>
      </c>
      <c r="I65" s="100">
        <v>12.65</v>
      </c>
      <c r="J65" s="100">
        <v>0.65</v>
      </c>
      <c r="K65" s="100">
        <v>61.78</v>
      </c>
      <c r="L65" s="100">
        <v>11.57</v>
      </c>
      <c r="M65" s="100">
        <v>7.67</v>
      </c>
      <c r="N65" s="100">
        <v>145.80000000000001</v>
      </c>
      <c r="O65" s="100">
        <v>0</v>
      </c>
      <c r="P65" s="100">
        <v>0.55000000000000004</v>
      </c>
      <c r="Q65" s="100">
        <v>9.32</v>
      </c>
      <c r="R65" s="6"/>
      <c r="S65" s="6"/>
      <c r="T65" s="156"/>
      <c r="U65" s="6"/>
    </row>
    <row r="66" spans="1:21" customFormat="1">
      <c r="A66" s="201" t="s">
        <v>1453</v>
      </c>
      <c r="B66" s="100">
        <v>2.4900000000000002</v>
      </c>
      <c r="C66" s="100">
        <v>15.34</v>
      </c>
      <c r="D66" s="100">
        <v>10.01</v>
      </c>
      <c r="E66" s="100">
        <v>6.12</v>
      </c>
      <c r="F66" s="100">
        <v>2.68</v>
      </c>
      <c r="G66" s="100">
        <v>67.34</v>
      </c>
      <c r="H66" s="100">
        <v>40.65</v>
      </c>
      <c r="I66" s="100">
        <v>12.39</v>
      </c>
      <c r="J66" s="100">
        <v>0.56000000000000005</v>
      </c>
      <c r="K66" s="100">
        <v>33.57</v>
      </c>
      <c r="L66" s="100">
        <v>13.94</v>
      </c>
      <c r="M66" s="100">
        <v>14.72</v>
      </c>
      <c r="N66" s="100">
        <v>95.9</v>
      </c>
      <c r="O66" s="100">
        <v>0</v>
      </c>
      <c r="P66" s="100">
        <v>0.56999999999999995</v>
      </c>
      <c r="Q66" s="100">
        <v>9.32</v>
      </c>
      <c r="R66" s="6"/>
      <c r="S66" s="6"/>
      <c r="T66" s="156"/>
      <c r="U66" s="6"/>
    </row>
    <row r="67" spans="1:21" customFormat="1">
      <c r="A67" s="201" t="s">
        <v>1454</v>
      </c>
      <c r="B67" s="100">
        <v>2.31</v>
      </c>
      <c r="C67" s="100">
        <v>15.01</v>
      </c>
      <c r="D67" s="100">
        <v>9.6999999999999993</v>
      </c>
      <c r="E67" s="100">
        <v>6.01</v>
      </c>
      <c r="F67" s="100">
        <v>2.21</v>
      </c>
      <c r="G67" s="100">
        <v>67.34</v>
      </c>
      <c r="H67" s="100">
        <v>40.65</v>
      </c>
      <c r="I67" s="100">
        <v>11.95</v>
      </c>
      <c r="J67" s="100">
        <v>0.45</v>
      </c>
      <c r="K67" s="100">
        <v>48.01</v>
      </c>
      <c r="L67" s="100">
        <v>12.85</v>
      </c>
      <c r="M67" s="100">
        <v>12.17</v>
      </c>
      <c r="N67" s="100">
        <v>87.6</v>
      </c>
      <c r="O67" s="100">
        <v>0</v>
      </c>
      <c r="P67" s="100">
        <v>0.56999999999999995</v>
      </c>
      <c r="Q67" s="100">
        <v>9.32</v>
      </c>
      <c r="R67" s="6"/>
      <c r="S67" s="6"/>
      <c r="T67" s="156"/>
      <c r="U67" s="6"/>
    </row>
    <row r="68" spans="1:21" customFormat="1">
      <c r="A68" s="201" t="s">
        <v>1455</v>
      </c>
      <c r="B68" s="100">
        <v>2.19</v>
      </c>
      <c r="C68" s="100">
        <v>14.65</v>
      </c>
      <c r="D68" s="100">
        <v>9.42</v>
      </c>
      <c r="E68" s="100">
        <v>5.74</v>
      </c>
      <c r="F68" s="100">
        <v>2</v>
      </c>
      <c r="G68" s="100">
        <v>67.34</v>
      </c>
      <c r="H68" s="100">
        <v>40.65</v>
      </c>
      <c r="I68" s="100">
        <v>11.48</v>
      </c>
      <c r="J68" s="100">
        <v>0.75</v>
      </c>
      <c r="K68" s="100">
        <v>26.5</v>
      </c>
      <c r="L68" s="100">
        <v>13.25</v>
      </c>
      <c r="M68" s="100">
        <v>13.87</v>
      </c>
      <c r="N68" s="100">
        <v>87</v>
      </c>
      <c r="O68" s="100">
        <v>0</v>
      </c>
      <c r="P68" s="100">
        <v>0.55000000000000004</v>
      </c>
      <c r="Q68" s="100">
        <v>9.32</v>
      </c>
      <c r="R68" s="6"/>
      <c r="S68" s="6"/>
      <c r="T68" s="156"/>
      <c r="U68" s="6"/>
    </row>
    <row r="69" spans="1:21" customFormat="1">
      <c r="A69" s="201" t="s">
        <v>1456</v>
      </c>
      <c r="B69" s="100">
        <v>2.08</v>
      </c>
      <c r="C69" s="100">
        <v>14.37</v>
      </c>
      <c r="D69" s="100">
        <v>9.18</v>
      </c>
      <c r="E69" s="100">
        <v>5.1100000000000003</v>
      </c>
      <c r="F69" s="100">
        <v>2</v>
      </c>
      <c r="G69" s="100">
        <v>64.84</v>
      </c>
      <c r="H69" s="100">
        <v>37.340000000000003</v>
      </c>
      <c r="I69" s="100">
        <v>11.25</v>
      </c>
      <c r="J69" s="100">
        <v>0.92</v>
      </c>
      <c r="K69" s="100">
        <v>26.61</v>
      </c>
      <c r="L69" s="100">
        <v>12.31</v>
      </c>
      <c r="M69" s="100">
        <v>11.11</v>
      </c>
      <c r="N69" s="100">
        <v>70.8</v>
      </c>
      <c r="O69" s="100">
        <v>0</v>
      </c>
      <c r="P69" s="100">
        <v>0.54</v>
      </c>
      <c r="Q69" s="100">
        <v>9.32</v>
      </c>
      <c r="R69" s="6"/>
      <c r="S69" s="6"/>
      <c r="T69" s="156"/>
      <c r="U69" s="6"/>
    </row>
    <row r="70" spans="1:21" customFormat="1">
      <c r="A70" s="201" t="s">
        <v>1457</v>
      </c>
      <c r="B70" s="100">
        <v>1.96</v>
      </c>
      <c r="C70" s="100">
        <v>14.27</v>
      </c>
      <c r="D70" s="100">
        <v>9.0299999999999994</v>
      </c>
      <c r="E70" s="100">
        <v>5.19</v>
      </c>
      <c r="F70" s="100">
        <v>2</v>
      </c>
      <c r="G70" s="100">
        <v>61.11</v>
      </c>
      <c r="H70" s="100">
        <v>34.49</v>
      </c>
      <c r="I70" s="100">
        <v>11.1</v>
      </c>
      <c r="J70" s="100">
        <v>0.73</v>
      </c>
      <c r="K70" s="100">
        <v>61.49</v>
      </c>
      <c r="L70" s="100">
        <v>9.8000000000000007</v>
      </c>
      <c r="M70" s="100">
        <v>5.15</v>
      </c>
      <c r="N70" s="100">
        <v>62</v>
      </c>
      <c r="O70" s="100">
        <v>0</v>
      </c>
      <c r="P70" s="100">
        <v>0.52</v>
      </c>
      <c r="Q70" s="100">
        <v>9.32</v>
      </c>
      <c r="R70" s="6"/>
      <c r="S70" s="6"/>
      <c r="T70" s="156"/>
      <c r="U70" s="6"/>
    </row>
    <row r="71" spans="1:21" customFormat="1">
      <c r="A71" s="201" t="s">
        <v>1458</v>
      </c>
      <c r="B71" s="100">
        <v>1.87</v>
      </c>
      <c r="C71" s="100">
        <v>14.4</v>
      </c>
      <c r="D71" s="100">
        <v>9.02</v>
      </c>
      <c r="E71" s="100">
        <v>5.43</v>
      </c>
      <c r="F71" s="100">
        <v>2</v>
      </c>
      <c r="G71" s="100">
        <v>61.11</v>
      </c>
      <c r="H71" s="100">
        <v>34.49</v>
      </c>
      <c r="I71" s="100">
        <v>10.94</v>
      </c>
      <c r="J71" s="100">
        <v>0.42</v>
      </c>
      <c r="K71" s="100">
        <v>25.41</v>
      </c>
      <c r="L71" s="100">
        <v>12.63</v>
      </c>
      <c r="M71" s="100">
        <v>12.91</v>
      </c>
      <c r="N71" s="100">
        <v>55.6</v>
      </c>
      <c r="O71" s="100">
        <v>0</v>
      </c>
      <c r="P71" s="100">
        <v>0.51</v>
      </c>
      <c r="Q71" s="100">
        <v>9.32</v>
      </c>
      <c r="R71" s="6"/>
      <c r="S71" s="6"/>
      <c r="T71" s="156"/>
      <c r="U71" s="6"/>
    </row>
    <row r="72" spans="1:21" customFormat="1">
      <c r="A72" s="201" t="s">
        <v>1459</v>
      </c>
      <c r="B72" s="100">
        <v>1.76</v>
      </c>
      <c r="C72" s="100">
        <v>14.34</v>
      </c>
      <c r="D72" s="100">
        <v>8.9</v>
      </c>
      <c r="E72" s="100">
        <v>5.45</v>
      </c>
      <c r="F72" s="100">
        <v>2</v>
      </c>
      <c r="G72" s="100">
        <v>61.11</v>
      </c>
      <c r="H72" s="100">
        <v>34.49</v>
      </c>
      <c r="I72" s="100">
        <v>10.76</v>
      </c>
      <c r="J72" s="100">
        <v>0.18</v>
      </c>
      <c r="K72" s="100">
        <v>29.51</v>
      </c>
      <c r="L72" s="100">
        <v>15.67</v>
      </c>
      <c r="M72" s="100">
        <v>20.239999999999998</v>
      </c>
      <c r="N72" s="100">
        <v>50.1</v>
      </c>
      <c r="O72" s="100">
        <v>0</v>
      </c>
      <c r="P72" s="100">
        <v>0.5</v>
      </c>
      <c r="Q72" s="100">
        <v>9.32</v>
      </c>
      <c r="R72" s="6"/>
      <c r="S72" s="6"/>
      <c r="T72" s="156"/>
      <c r="U72" s="6"/>
    </row>
    <row r="73" spans="1:21" customFormat="1">
      <c r="A73" s="201" t="s">
        <v>1460</v>
      </c>
      <c r="B73" s="100">
        <v>1.65</v>
      </c>
      <c r="C73" s="100">
        <v>13.97</v>
      </c>
      <c r="D73" s="100">
        <v>8.6199999999999992</v>
      </c>
      <c r="E73" s="100">
        <v>5.47</v>
      </c>
      <c r="F73" s="100">
        <v>2</v>
      </c>
      <c r="G73" s="100">
        <v>57.2</v>
      </c>
      <c r="H73" s="100">
        <v>33.32</v>
      </c>
      <c r="I73" s="100">
        <v>10.52</v>
      </c>
      <c r="J73" s="100">
        <v>0.23</v>
      </c>
      <c r="K73" s="100">
        <v>146.55000000000001</v>
      </c>
      <c r="L73" s="100">
        <v>14.75</v>
      </c>
      <c r="M73" s="100">
        <v>18.13</v>
      </c>
      <c r="N73" s="100">
        <v>46.7</v>
      </c>
      <c r="O73" s="100">
        <v>0</v>
      </c>
      <c r="P73" s="100">
        <v>0.49</v>
      </c>
      <c r="Q73" s="100">
        <v>9.32</v>
      </c>
      <c r="R73" s="6"/>
      <c r="S73" s="6"/>
      <c r="T73" s="156"/>
      <c r="U73" s="6"/>
    </row>
    <row r="74" spans="1:21" customFormat="1">
      <c r="A74" s="201" t="s">
        <v>1461</v>
      </c>
      <c r="B74" s="100">
        <v>1.6</v>
      </c>
      <c r="C74" s="100">
        <v>13.73</v>
      </c>
      <c r="D74" s="100">
        <v>8.4600000000000009</v>
      </c>
      <c r="E74" s="100">
        <v>5.39</v>
      </c>
      <c r="F74" s="100">
        <v>2</v>
      </c>
      <c r="G74" s="100">
        <v>51.35</v>
      </c>
      <c r="H74" s="100">
        <v>32.299999999999997</v>
      </c>
      <c r="I74" s="100">
        <v>10.28</v>
      </c>
      <c r="J74" s="100">
        <v>0.24</v>
      </c>
      <c r="K74" s="100">
        <v>72.39</v>
      </c>
      <c r="L74" s="100">
        <v>11.24</v>
      </c>
      <c r="M74" s="100">
        <v>9.5399999999999991</v>
      </c>
      <c r="N74" s="100">
        <v>34.6</v>
      </c>
      <c r="O74" s="100">
        <v>0</v>
      </c>
      <c r="P74" s="100">
        <v>0.47</v>
      </c>
      <c r="Q74" s="100">
        <v>9.32</v>
      </c>
      <c r="R74" s="6"/>
      <c r="S74" s="6"/>
      <c r="T74" s="156"/>
      <c r="U74" s="6"/>
    </row>
    <row r="75" spans="1:21" customFormat="1">
      <c r="A75" s="201" t="s">
        <v>1462</v>
      </c>
      <c r="B75" s="100">
        <v>1.6</v>
      </c>
      <c r="C75" s="100">
        <v>13.82</v>
      </c>
      <c r="D75" s="100">
        <v>8.51</v>
      </c>
      <c r="E75" s="100">
        <v>5.37</v>
      </c>
      <c r="F75" s="100">
        <v>2</v>
      </c>
      <c r="G75" s="100">
        <v>51.35</v>
      </c>
      <c r="H75" s="100">
        <v>32.299999999999997</v>
      </c>
      <c r="I75" s="100">
        <v>10.08</v>
      </c>
      <c r="J75" s="100">
        <v>0.08</v>
      </c>
      <c r="K75" s="100">
        <v>110.76</v>
      </c>
      <c r="L75" s="100">
        <v>12.97</v>
      </c>
      <c r="M75" s="100">
        <v>14.13</v>
      </c>
      <c r="N75" s="100">
        <v>25.5</v>
      </c>
      <c r="O75" s="100">
        <v>0</v>
      </c>
      <c r="P75" s="100">
        <v>0.46</v>
      </c>
      <c r="Q75" s="100">
        <v>9.32</v>
      </c>
      <c r="R75" s="6"/>
      <c r="S75" s="6"/>
      <c r="T75" s="156"/>
      <c r="U75" s="6"/>
    </row>
    <row r="76" spans="1:21" customFormat="1">
      <c r="A76" s="201" t="s">
        <v>1463</v>
      </c>
      <c r="B76" s="100">
        <v>1.65</v>
      </c>
      <c r="C76" s="100">
        <v>13.83</v>
      </c>
      <c r="D76" s="100">
        <v>8.5500000000000007</v>
      </c>
      <c r="E76" s="100">
        <v>5.58</v>
      </c>
      <c r="F76" s="100">
        <v>2</v>
      </c>
      <c r="G76" s="100">
        <v>51.35</v>
      </c>
      <c r="H76" s="100">
        <v>32.299999999999997</v>
      </c>
      <c r="I76" s="100">
        <v>9.9</v>
      </c>
      <c r="J76" s="100">
        <v>0.2</v>
      </c>
      <c r="K76" s="100">
        <v>156.19</v>
      </c>
      <c r="L76" s="100">
        <v>15.01</v>
      </c>
      <c r="M76" s="100">
        <v>19.600000000000001</v>
      </c>
      <c r="N76" s="100">
        <v>16.600000000000001</v>
      </c>
      <c r="O76" s="100">
        <v>0</v>
      </c>
      <c r="P76" s="100">
        <v>0.47</v>
      </c>
      <c r="Q76" s="100">
        <v>9.32</v>
      </c>
      <c r="R76" s="6"/>
      <c r="S76" s="6"/>
      <c r="T76" s="156"/>
      <c r="U76" s="6"/>
    </row>
    <row r="77" spans="1:21" customFormat="1">
      <c r="A77" s="201" t="s">
        <v>1464</v>
      </c>
      <c r="B77" s="100">
        <v>1.7</v>
      </c>
      <c r="C77" s="100">
        <v>13.95</v>
      </c>
      <c r="D77" s="100">
        <v>8.65</v>
      </c>
      <c r="E77" s="100">
        <v>5.33</v>
      </c>
      <c r="F77" s="100">
        <v>2</v>
      </c>
      <c r="G77" s="100">
        <v>56.8</v>
      </c>
      <c r="H77" s="100">
        <v>33.99</v>
      </c>
      <c r="I77" s="100">
        <v>9.77</v>
      </c>
      <c r="J77" s="100">
        <v>0.32</v>
      </c>
      <c r="K77" s="100">
        <v>164.19</v>
      </c>
      <c r="L77" s="100">
        <v>15.64</v>
      </c>
      <c r="M77" s="100">
        <v>21.37</v>
      </c>
      <c r="N77" s="100">
        <v>8.5</v>
      </c>
      <c r="O77" s="100">
        <v>0</v>
      </c>
      <c r="P77" s="100">
        <v>0.46</v>
      </c>
      <c r="Q77" s="100">
        <v>9.32</v>
      </c>
      <c r="R77" s="6"/>
      <c r="S77" s="6"/>
      <c r="T77" s="156"/>
      <c r="U77" s="6"/>
    </row>
    <row r="78" spans="1:21" customFormat="1">
      <c r="A78" s="201" t="s">
        <v>1465</v>
      </c>
      <c r="B78" s="100">
        <v>1.83</v>
      </c>
      <c r="C78" s="100">
        <v>13.97</v>
      </c>
      <c r="D78" s="100">
        <v>8.77</v>
      </c>
      <c r="E78" s="100">
        <v>5.15</v>
      </c>
      <c r="F78" s="100">
        <v>2</v>
      </c>
      <c r="G78" s="100">
        <v>64.989999999999995</v>
      </c>
      <c r="H78" s="100">
        <v>35.450000000000003</v>
      </c>
      <c r="I78" s="100">
        <v>9.6300000000000008</v>
      </c>
      <c r="J78" s="100">
        <v>0.26</v>
      </c>
      <c r="K78" s="100">
        <v>168.85</v>
      </c>
      <c r="L78" s="100">
        <v>15.99</v>
      </c>
      <c r="M78" s="100">
        <v>22.35</v>
      </c>
      <c r="N78" s="100">
        <v>3.5</v>
      </c>
      <c r="O78" s="100">
        <v>0</v>
      </c>
      <c r="P78" s="100">
        <v>0.45</v>
      </c>
      <c r="Q78" s="100">
        <v>9.32</v>
      </c>
      <c r="R78" s="6"/>
      <c r="S78" s="6"/>
      <c r="T78" s="156"/>
      <c r="U78" s="6"/>
    </row>
    <row r="79" spans="1:21" customFormat="1">
      <c r="A79" s="201" t="s">
        <v>1466</v>
      </c>
      <c r="B79" s="100">
        <v>2.0299999999999998</v>
      </c>
      <c r="C79" s="100">
        <v>14.41</v>
      </c>
      <c r="D79" s="100">
        <v>9.15</v>
      </c>
      <c r="E79" s="100">
        <v>5.56</v>
      </c>
      <c r="F79" s="100">
        <v>2</v>
      </c>
      <c r="G79" s="100">
        <v>64.989999999999995</v>
      </c>
      <c r="H79" s="100">
        <v>35.450000000000003</v>
      </c>
      <c r="I79" s="100">
        <v>9.5299999999999994</v>
      </c>
      <c r="J79" s="100">
        <v>0.24</v>
      </c>
      <c r="K79" s="100">
        <v>162.81</v>
      </c>
      <c r="L79" s="100">
        <v>15.5</v>
      </c>
      <c r="M79" s="100">
        <v>21.16</v>
      </c>
      <c r="N79" s="100">
        <v>1.9</v>
      </c>
      <c r="O79" s="100">
        <v>0</v>
      </c>
      <c r="P79" s="100">
        <v>0.46</v>
      </c>
      <c r="Q79" s="100">
        <v>9.32</v>
      </c>
      <c r="R79" s="6"/>
      <c r="S79" s="6"/>
      <c r="T79" s="156"/>
      <c r="U79" s="6"/>
    </row>
    <row r="80" spans="1:21" customFormat="1">
      <c r="A80" s="201" t="s">
        <v>1467</v>
      </c>
      <c r="B80" s="100">
        <v>2.37</v>
      </c>
      <c r="C80" s="100">
        <v>15.08</v>
      </c>
      <c r="D80" s="100">
        <v>9.7799999999999994</v>
      </c>
      <c r="E80" s="100">
        <v>5.74</v>
      </c>
      <c r="F80" s="100">
        <v>2</v>
      </c>
      <c r="G80" s="100">
        <v>64.989999999999995</v>
      </c>
      <c r="H80" s="100">
        <v>35.450000000000003</v>
      </c>
      <c r="I80" s="100">
        <v>9.4499999999999993</v>
      </c>
      <c r="J80" s="100">
        <v>0.3</v>
      </c>
      <c r="K80" s="100">
        <v>159.31</v>
      </c>
      <c r="L80" s="100">
        <v>15.15</v>
      </c>
      <c r="M80" s="100">
        <v>20.28</v>
      </c>
      <c r="N80" s="100">
        <v>1.6</v>
      </c>
      <c r="O80" s="100">
        <v>0</v>
      </c>
      <c r="P80" s="100">
        <v>0.47</v>
      </c>
      <c r="Q80" s="100">
        <v>9.32</v>
      </c>
      <c r="R80" s="6"/>
      <c r="S80" s="6"/>
      <c r="T80" s="156"/>
      <c r="U80" s="6"/>
    </row>
    <row r="81" spans="1:21" customFormat="1">
      <c r="A81" s="201" t="s">
        <v>1468</v>
      </c>
      <c r="B81" s="100">
        <v>2.79</v>
      </c>
      <c r="C81" s="100">
        <v>15.7</v>
      </c>
      <c r="D81" s="100">
        <v>10.43</v>
      </c>
      <c r="E81" s="100">
        <v>5.4</v>
      </c>
      <c r="F81" s="100">
        <v>2</v>
      </c>
      <c r="G81" s="100">
        <v>78.709999999999994</v>
      </c>
      <c r="H81" s="100">
        <v>37.729999999999997</v>
      </c>
      <c r="I81" s="100">
        <v>9.4700000000000006</v>
      </c>
      <c r="J81" s="100">
        <v>0.27</v>
      </c>
      <c r="K81" s="100">
        <v>164.91</v>
      </c>
      <c r="L81" s="100">
        <v>15.65</v>
      </c>
      <c r="M81" s="100">
        <v>21.54</v>
      </c>
      <c r="N81" s="100">
        <v>1.6</v>
      </c>
      <c r="O81" s="100">
        <v>0</v>
      </c>
      <c r="P81" s="100">
        <v>0.48</v>
      </c>
      <c r="Q81" s="100">
        <v>9.32</v>
      </c>
      <c r="R81" s="6"/>
      <c r="S81" s="6"/>
      <c r="T81" s="156"/>
      <c r="U81" s="6"/>
    </row>
    <row r="82" spans="1:21" customFormat="1">
      <c r="A82" s="201" t="s">
        <v>1469</v>
      </c>
      <c r="B82" s="100">
        <v>3.32</v>
      </c>
      <c r="C82" s="100">
        <v>16.02</v>
      </c>
      <c r="D82" s="100">
        <v>11.03</v>
      </c>
      <c r="E82" s="100">
        <v>6.63</v>
      </c>
      <c r="F82" s="100">
        <v>2</v>
      </c>
      <c r="G82" s="100">
        <v>99.29</v>
      </c>
      <c r="H82" s="100">
        <v>39.69</v>
      </c>
      <c r="I82" s="100">
        <v>9.76</v>
      </c>
      <c r="J82" s="100">
        <v>0.24</v>
      </c>
      <c r="K82" s="100">
        <v>165.69</v>
      </c>
      <c r="L82" s="100">
        <v>15.75</v>
      </c>
      <c r="M82" s="100">
        <v>21.82</v>
      </c>
      <c r="N82" s="100">
        <v>1.5</v>
      </c>
      <c r="O82" s="100">
        <v>0</v>
      </c>
      <c r="P82" s="100">
        <v>0.5</v>
      </c>
      <c r="Q82" s="100">
        <v>9.32</v>
      </c>
      <c r="R82" s="6"/>
      <c r="S82" s="6"/>
      <c r="T82" s="156"/>
      <c r="U82" s="6"/>
    </row>
    <row r="83" spans="1:21" customFormat="1">
      <c r="A83" s="201" t="s">
        <v>1470</v>
      </c>
      <c r="B83" s="100">
        <v>4.16</v>
      </c>
      <c r="C83" s="100">
        <v>16.489999999999998</v>
      </c>
      <c r="D83" s="100">
        <v>11.95</v>
      </c>
      <c r="E83" s="100">
        <v>6.96</v>
      </c>
      <c r="F83" s="100">
        <v>2</v>
      </c>
      <c r="G83" s="100">
        <v>99.29</v>
      </c>
      <c r="H83" s="100">
        <v>39.69</v>
      </c>
      <c r="I83" s="100">
        <v>9.8800000000000008</v>
      </c>
      <c r="J83" s="100">
        <v>0.28000000000000003</v>
      </c>
      <c r="K83" s="100">
        <v>163.78</v>
      </c>
      <c r="L83" s="100">
        <v>15.55</v>
      </c>
      <c r="M83" s="100">
        <v>21.3</v>
      </c>
      <c r="N83" s="100">
        <v>1.4</v>
      </c>
      <c r="O83" s="100">
        <v>0</v>
      </c>
      <c r="P83" s="100">
        <v>0.52</v>
      </c>
      <c r="Q83" s="100">
        <v>9.32</v>
      </c>
      <c r="R83" s="6"/>
      <c r="S83" s="6"/>
      <c r="T83" s="156"/>
      <c r="U83" s="6"/>
    </row>
    <row r="84" spans="1:21" customFormat="1">
      <c r="A84" s="201" t="s">
        <v>1471</v>
      </c>
      <c r="B84" s="100">
        <v>5</v>
      </c>
      <c r="C84" s="100">
        <v>16.809999999999999</v>
      </c>
      <c r="D84" s="100">
        <v>12.79</v>
      </c>
      <c r="E84" s="100">
        <v>6.62</v>
      </c>
      <c r="F84" s="100">
        <v>2</v>
      </c>
      <c r="G84" s="100">
        <v>99.29</v>
      </c>
      <c r="H84" s="100">
        <v>39.69</v>
      </c>
      <c r="I84" s="100">
        <v>10.050000000000001</v>
      </c>
      <c r="J84" s="100">
        <v>0.27</v>
      </c>
      <c r="K84" s="100">
        <v>169.18</v>
      </c>
      <c r="L84" s="100">
        <v>15.97</v>
      </c>
      <c r="M84" s="100">
        <v>22.38</v>
      </c>
      <c r="N84" s="100">
        <v>1.4</v>
      </c>
      <c r="O84" s="100">
        <v>0</v>
      </c>
      <c r="P84" s="100">
        <v>0.53</v>
      </c>
      <c r="Q84" s="100">
        <v>9.32</v>
      </c>
      <c r="R84" s="6"/>
      <c r="S84" s="6"/>
      <c r="T84" s="156"/>
      <c r="U84" s="6"/>
    </row>
    <row r="85" spans="1:21" customFormat="1">
      <c r="A85" s="201" t="s">
        <v>1472</v>
      </c>
      <c r="B85" s="100">
        <v>5.4</v>
      </c>
      <c r="C85" s="100">
        <v>16.920000000000002</v>
      </c>
      <c r="D85" s="100">
        <v>13.17</v>
      </c>
      <c r="E85" s="100">
        <v>6.54</v>
      </c>
      <c r="F85" s="100">
        <v>2</v>
      </c>
      <c r="G85" s="100">
        <v>108.06</v>
      </c>
      <c r="H85" s="100">
        <v>44.54</v>
      </c>
      <c r="I85" s="100">
        <v>10.48</v>
      </c>
      <c r="J85" s="100">
        <v>0.22</v>
      </c>
      <c r="K85" s="100">
        <v>190.57</v>
      </c>
      <c r="L85" s="100">
        <v>17.62</v>
      </c>
      <c r="M85" s="100">
        <v>26.5</v>
      </c>
      <c r="N85" s="100">
        <v>1.5</v>
      </c>
      <c r="O85" s="100">
        <v>0</v>
      </c>
      <c r="P85" s="100">
        <v>0.55000000000000004</v>
      </c>
      <c r="Q85" s="100">
        <v>9.32</v>
      </c>
      <c r="R85" s="6"/>
      <c r="S85" s="6"/>
      <c r="T85" s="156"/>
      <c r="U85" s="6"/>
    </row>
    <row r="86" spans="1:21" customFormat="1">
      <c r="A86" s="201" t="s">
        <v>1473</v>
      </c>
      <c r="B86" s="100">
        <v>5.58</v>
      </c>
      <c r="C86" s="100">
        <v>16.89</v>
      </c>
      <c r="D86" s="100">
        <v>13.3</v>
      </c>
      <c r="E86" s="100">
        <v>6.85</v>
      </c>
      <c r="F86" s="100">
        <v>2</v>
      </c>
      <c r="G86" s="100">
        <v>121.22</v>
      </c>
      <c r="H86" s="100">
        <v>48.72</v>
      </c>
      <c r="I86" s="100">
        <v>10.74</v>
      </c>
      <c r="J86" s="100">
        <v>0.24</v>
      </c>
      <c r="K86" s="100">
        <v>195.07</v>
      </c>
      <c r="L86" s="100">
        <v>17.96</v>
      </c>
      <c r="M86" s="100">
        <v>27.35</v>
      </c>
      <c r="N86" s="100">
        <v>1.6</v>
      </c>
      <c r="O86" s="100">
        <v>0</v>
      </c>
      <c r="P86" s="100">
        <v>0.56999999999999995</v>
      </c>
      <c r="Q86" s="100">
        <v>9.32</v>
      </c>
      <c r="R86" s="6"/>
      <c r="S86" s="6"/>
      <c r="T86" s="156"/>
      <c r="U86" s="6"/>
    </row>
    <row r="87" spans="1:21" customFormat="1">
      <c r="A87" s="201" t="s">
        <v>1474</v>
      </c>
      <c r="B87" s="100">
        <v>5.73</v>
      </c>
      <c r="C87" s="100">
        <v>16.850000000000001</v>
      </c>
      <c r="D87" s="100">
        <v>13.4</v>
      </c>
      <c r="E87" s="100">
        <v>6.96</v>
      </c>
      <c r="F87" s="100">
        <v>2</v>
      </c>
      <c r="G87" s="100">
        <v>121.22</v>
      </c>
      <c r="H87" s="100">
        <v>48.72</v>
      </c>
      <c r="I87" s="100">
        <v>11.05</v>
      </c>
      <c r="J87" s="100">
        <v>0.18</v>
      </c>
      <c r="K87" s="100">
        <v>211.98</v>
      </c>
      <c r="L87" s="100">
        <v>19.32</v>
      </c>
      <c r="M87" s="100">
        <v>30.72</v>
      </c>
      <c r="N87" s="100">
        <v>1.4</v>
      </c>
      <c r="O87" s="100">
        <v>0</v>
      </c>
      <c r="P87" s="100">
        <v>0.57999999999999996</v>
      </c>
      <c r="Q87" s="100">
        <v>9.32</v>
      </c>
      <c r="R87" s="6"/>
      <c r="S87" s="6"/>
      <c r="T87" s="156"/>
      <c r="U87" s="6"/>
    </row>
    <row r="88" spans="1:21" customFormat="1">
      <c r="A88" s="201" t="s">
        <v>1475</v>
      </c>
      <c r="B88" s="100">
        <v>5.8</v>
      </c>
      <c r="C88" s="100">
        <v>16.7</v>
      </c>
      <c r="D88" s="100">
        <v>13.37</v>
      </c>
      <c r="E88" s="100">
        <v>7.02</v>
      </c>
      <c r="F88" s="100">
        <v>2</v>
      </c>
      <c r="G88" s="100">
        <v>121.22</v>
      </c>
      <c r="H88" s="100">
        <v>48.72</v>
      </c>
      <c r="I88" s="100">
        <v>11.3</v>
      </c>
      <c r="J88" s="100">
        <v>0.16</v>
      </c>
      <c r="K88" s="100">
        <v>212.01</v>
      </c>
      <c r="L88" s="100">
        <v>19.05</v>
      </c>
      <c r="M88" s="100">
        <v>30.09</v>
      </c>
      <c r="N88" s="100">
        <v>1.2</v>
      </c>
      <c r="O88" s="100">
        <v>0</v>
      </c>
      <c r="P88" s="100">
        <v>0.59</v>
      </c>
      <c r="Q88" s="100">
        <v>9.32</v>
      </c>
      <c r="R88" s="6"/>
      <c r="S88" s="6"/>
      <c r="T88" s="156"/>
      <c r="U88" s="6"/>
    </row>
    <row r="89" spans="1:21" customFormat="1">
      <c r="A89" s="201" t="s">
        <v>1476</v>
      </c>
      <c r="B89" s="100">
        <v>5.88</v>
      </c>
      <c r="C89" s="100">
        <v>16.52</v>
      </c>
      <c r="D89" s="100">
        <v>13.34</v>
      </c>
      <c r="E89" s="100">
        <v>7.15</v>
      </c>
      <c r="F89" s="100">
        <v>2</v>
      </c>
      <c r="G89" s="100">
        <v>118.45</v>
      </c>
      <c r="H89" s="100">
        <v>48.59</v>
      </c>
      <c r="I89" s="100">
        <v>11.57</v>
      </c>
      <c r="J89" s="100">
        <v>0.2</v>
      </c>
      <c r="K89" s="100">
        <v>214.69</v>
      </c>
      <c r="L89" s="100">
        <v>19.350000000000001</v>
      </c>
      <c r="M89" s="100">
        <v>30.85</v>
      </c>
      <c r="N89" s="100">
        <v>1.2</v>
      </c>
      <c r="O89" s="100">
        <v>0</v>
      </c>
      <c r="P89" s="100">
        <v>0.61</v>
      </c>
      <c r="Q89" s="100">
        <v>9.32</v>
      </c>
      <c r="R89" s="6"/>
      <c r="S89" s="6"/>
      <c r="T89" s="156"/>
      <c r="U89" s="6"/>
    </row>
    <row r="90" spans="1:21" customFormat="1">
      <c r="A90" s="201" t="s">
        <v>1477</v>
      </c>
      <c r="B90" s="100">
        <v>6.17</v>
      </c>
      <c r="C90" s="100">
        <v>16.04</v>
      </c>
      <c r="D90" s="100">
        <v>13.33</v>
      </c>
      <c r="E90" s="100">
        <v>6.96</v>
      </c>
      <c r="F90" s="100">
        <v>2</v>
      </c>
      <c r="G90" s="100">
        <v>114.29</v>
      </c>
      <c r="H90" s="100">
        <v>48.24</v>
      </c>
      <c r="I90" s="100">
        <v>11.79</v>
      </c>
      <c r="J90" s="100">
        <v>0.15</v>
      </c>
      <c r="K90" s="100">
        <v>213.76</v>
      </c>
      <c r="L90" s="100">
        <v>19.309999999999999</v>
      </c>
      <c r="M90" s="100">
        <v>30.67</v>
      </c>
      <c r="N90" s="100">
        <v>1.3</v>
      </c>
      <c r="O90" s="100">
        <v>0</v>
      </c>
      <c r="P90" s="100">
        <v>0.61</v>
      </c>
      <c r="Q90" s="100">
        <v>9.32</v>
      </c>
      <c r="R90" s="6"/>
      <c r="S90" s="6"/>
      <c r="T90" s="156"/>
      <c r="U90" s="6"/>
    </row>
    <row r="91" spans="1:21" customFormat="1">
      <c r="A91" s="201" t="s">
        <v>1478</v>
      </c>
      <c r="B91" s="100">
        <v>6.43</v>
      </c>
      <c r="C91" s="100">
        <v>15.71</v>
      </c>
      <c r="D91" s="100">
        <v>13.36</v>
      </c>
      <c r="E91" s="100">
        <v>7.19</v>
      </c>
      <c r="F91" s="100">
        <v>2</v>
      </c>
      <c r="G91" s="100">
        <v>114.29</v>
      </c>
      <c r="H91" s="100">
        <v>48.24</v>
      </c>
      <c r="I91" s="100">
        <v>11.92</v>
      </c>
      <c r="J91" s="100">
        <v>0.15</v>
      </c>
      <c r="K91" s="100">
        <v>201.39</v>
      </c>
      <c r="L91" s="100">
        <v>18.63</v>
      </c>
      <c r="M91" s="100">
        <v>29</v>
      </c>
      <c r="N91" s="100">
        <v>1.1000000000000001</v>
      </c>
      <c r="O91" s="100">
        <v>0</v>
      </c>
      <c r="P91" s="100">
        <v>0.61</v>
      </c>
      <c r="Q91" s="100">
        <v>9.32</v>
      </c>
      <c r="R91" s="6"/>
      <c r="S91" s="6"/>
      <c r="T91" s="156"/>
      <c r="U91" s="6"/>
    </row>
    <row r="92" spans="1:21" customFormat="1">
      <c r="A92" s="201" t="s">
        <v>1479</v>
      </c>
      <c r="B92" s="100">
        <v>6.69</v>
      </c>
      <c r="C92" s="100">
        <v>15.31</v>
      </c>
      <c r="D92" s="100">
        <v>13.36</v>
      </c>
      <c r="E92" s="100">
        <v>7.14</v>
      </c>
      <c r="F92" s="100">
        <v>2</v>
      </c>
      <c r="G92" s="100">
        <v>114.29</v>
      </c>
      <c r="H92" s="100">
        <v>48.24</v>
      </c>
      <c r="I92" s="100">
        <v>11.99</v>
      </c>
      <c r="J92" s="100">
        <v>0.17</v>
      </c>
      <c r="K92" s="100">
        <v>196.35</v>
      </c>
      <c r="L92" s="100">
        <v>17.91</v>
      </c>
      <c r="M92" s="100">
        <v>27.24</v>
      </c>
      <c r="N92" s="100">
        <v>1</v>
      </c>
      <c r="O92" s="100">
        <v>0</v>
      </c>
      <c r="P92" s="100">
        <v>0.62</v>
      </c>
      <c r="Q92" s="100">
        <v>9.32</v>
      </c>
      <c r="R92" s="6"/>
      <c r="S92" s="6"/>
      <c r="T92" s="156"/>
      <c r="U92" s="6"/>
    </row>
    <row r="93" spans="1:21" customFormat="1">
      <c r="A93" s="201" t="s">
        <v>1480</v>
      </c>
      <c r="B93" s="100">
        <v>6.91</v>
      </c>
      <c r="C93" s="100">
        <v>14.99</v>
      </c>
      <c r="D93" s="100">
        <v>13.37</v>
      </c>
      <c r="E93" s="100">
        <v>7.01</v>
      </c>
      <c r="F93" s="100">
        <v>2</v>
      </c>
      <c r="G93" s="100">
        <v>111.96</v>
      </c>
      <c r="H93" s="100">
        <v>47.63</v>
      </c>
      <c r="I93" s="100">
        <v>12.04</v>
      </c>
      <c r="J93" s="100">
        <v>0.14000000000000001</v>
      </c>
      <c r="K93" s="100">
        <v>200.18</v>
      </c>
      <c r="L93" s="100">
        <v>18.21</v>
      </c>
      <c r="M93" s="100">
        <v>27.99</v>
      </c>
      <c r="N93" s="100">
        <v>1.3</v>
      </c>
      <c r="O93" s="100">
        <v>0</v>
      </c>
      <c r="P93" s="100">
        <v>0.62</v>
      </c>
      <c r="Q93" s="100">
        <v>9.32</v>
      </c>
      <c r="R93" s="6"/>
      <c r="S93" s="6"/>
      <c r="T93" s="156"/>
      <c r="U93" s="6"/>
    </row>
    <row r="94" spans="1:21" customFormat="1">
      <c r="A94" s="201" t="s">
        <v>1481</v>
      </c>
      <c r="B94" s="100">
        <v>7.18</v>
      </c>
      <c r="C94" s="100">
        <v>14.69</v>
      </c>
      <c r="D94" s="100">
        <v>13.43</v>
      </c>
      <c r="E94" s="100">
        <v>6.79</v>
      </c>
      <c r="F94" s="100">
        <v>2</v>
      </c>
      <c r="G94" s="100">
        <v>108.63</v>
      </c>
      <c r="H94" s="100">
        <v>47.1</v>
      </c>
      <c r="I94" s="100">
        <v>12.16</v>
      </c>
      <c r="J94" s="100">
        <v>0.17</v>
      </c>
      <c r="K94" s="100">
        <v>214.41</v>
      </c>
      <c r="L94" s="100">
        <v>19.690000000000001</v>
      </c>
      <c r="M94" s="100">
        <v>31.64</v>
      </c>
      <c r="N94" s="100">
        <v>1.1000000000000001</v>
      </c>
      <c r="O94" s="100">
        <v>0</v>
      </c>
      <c r="P94" s="100">
        <v>0.62</v>
      </c>
      <c r="Q94" s="100">
        <v>9.32</v>
      </c>
      <c r="R94" s="6"/>
      <c r="S94" s="6"/>
      <c r="T94" s="156"/>
      <c r="U94" s="6"/>
    </row>
    <row r="95" spans="1:21" customFormat="1">
      <c r="A95" s="201" t="s">
        <v>1482</v>
      </c>
      <c r="B95" s="100">
        <v>7.39</v>
      </c>
      <c r="C95" s="100">
        <v>14.48</v>
      </c>
      <c r="D95" s="100">
        <v>13.49</v>
      </c>
      <c r="E95" s="100">
        <v>7.01</v>
      </c>
      <c r="F95" s="100">
        <v>2</v>
      </c>
      <c r="G95" s="100">
        <v>108.63</v>
      </c>
      <c r="H95" s="100">
        <v>47.1</v>
      </c>
      <c r="I95" s="100">
        <v>12.21</v>
      </c>
      <c r="J95" s="100">
        <v>0.14000000000000001</v>
      </c>
      <c r="K95" s="100">
        <v>195.69</v>
      </c>
      <c r="L95" s="100">
        <v>17.600000000000001</v>
      </c>
      <c r="M95" s="100">
        <v>26.41</v>
      </c>
      <c r="N95" s="100">
        <v>1.2</v>
      </c>
      <c r="O95" s="100">
        <v>0</v>
      </c>
      <c r="P95" s="100">
        <v>0.63</v>
      </c>
      <c r="Q95" s="100">
        <v>9.32</v>
      </c>
      <c r="R95" s="6"/>
      <c r="S95" s="6"/>
      <c r="T95" s="156"/>
      <c r="U95" s="6"/>
    </row>
    <row r="96" spans="1:21" customFormat="1">
      <c r="A96" s="201" t="s">
        <v>1483</v>
      </c>
      <c r="B96" s="100">
        <v>7.58</v>
      </c>
      <c r="C96" s="100">
        <v>14.4</v>
      </c>
      <c r="D96" s="100">
        <v>13.6</v>
      </c>
      <c r="E96" s="100">
        <v>6.94</v>
      </c>
      <c r="F96" s="100">
        <v>2</v>
      </c>
      <c r="G96" s="100">
        <v>108.63</v>
      </c>
      <c r="H96" s="100">
        <v>47.1</v>
      </c>
      <c r="I96" s="100">
        <v>12.29</v>
      </c>
      <c r="J96" s="100">
        <v>0.13</v>
      </c>
      <c r="K96" s="100">
        <v>188.93</v>
      </c>
      <c r="L96" s="100">
        <v>16.04</v>
      </c>
      <c r="M96" s="100">
        <v>22.5</v>
      </c>
      <c r="N96" s="100">
        <v>1.1000000000000001</v>
      </c>
      <c r="O96" s="100">
        <v>0</v>
      </c>
      <c r="P96" s="100">
        <v>0.63</v>
      </c>
      <c r="Q96" s="100">
        <v>9.32</v>
      </c>
      <c r="R96" s="6"/>
      <c r="S96" s="6"/>
      <c r="T96" s="156"/>
      <c r="U96" s="6"/>
    </row>
    <row r="97" spans="1:28" customFormat="1">
      <c r="A97" s="201" t="s">
        <v>1484</v>
      </c>
      <c r="B97" s="100">
        <v>7.79</v>
      </c>
      <c r="C97" s="100">
        <v>14.23</v>
      </c>
      <c r="D97" s="100">
        <v>13.68</v>
      </c>
      <c r="E97" s="100">
        <v>6.94</v>
      </c>
      <c r="F97" s="100">
        <v>2</v>
      </c>
      <c r="G97" s="100">
        <v>108.04</v>
      </c>
      <c r="H97" s="100">
        <v>46.71</v>
      </c>
      <c r="I97" s="100">
        <v>12.43</v>
      </c>
      <c r="J97" s="100">
        <v>0.15</v>
      </c>
      <c r="K97" s="100">
        <v>203.9</v>
      </c>
      <c r="L97" s="100">
        <v>17.23</v>
      </c>
      <c r="M97" s="100">
        <v>25.54</v>
      </c>
      <c r="N97" s="100">
        <v>1.1000000000000001</v>
      </c>
      <c r="O97" s="100">
        <v>0</v>
      </c>
      <c r="P97" s="100">
        <v>0.62</v>
      </c>
      <c r="Q97" s="100">
        <v>9.32</v>
      </c>
      <c r="R97" s="6"/>
      <c r="S97" s="6"/>
      <c r="T97" s="156"/>
      <c r="U97" s="6"/>
    </row>
    <row r="98" spans="1:28" customFormat="1">
      <c r="A98" s="201" t="s">
        <v>1485</v>
      </c>
      <c r="B98" s="100">
        <v>7.99</v>
      </c>
      <c r="C98" s="100">
        <v>14.08</v>
      </c>
      <c r="D98" s="100">
        <v>13.76</v>
      </c>
      <c r="E98" s="100">
        <v>6.99</v>
      </c>
      <c r="F98" s="100">
        <v>2</v>
      </c>
      <c r="G98" s="100">
        <v>107.2</v>
      </c>
      <c r="H98" s="100">
        <v>46.38</v>
      </c>
      <c r="I98" s="100">
        <v>12.49</v>
      </c>
      <c r="J98" s="100">
        <v>0.17</v>
      </c>
      <c r="K98" s="100">
        <v>208.14</v>
      </c>
      <c r="L98" s="100">
        <v>18.41</v>
      </c>
      <c r="M98" s="100">
        <v>28.49</v>
      </c>
      <c r="N98" s="100">
        <v>1.2</v>
      </c>
      <c r="O98" s="100">
        <v>0</v>
      </c>
      <c r="P98" s="100">
        <v>0.63</v>
      </c>
      <c r="Q98" s="100">
        <v>9.32</v>
      </c>
      <c r="R98" s="6"/>
      <c r="S98" s="6"/>
      <c r="T98" s="156"/>
      <c r="U98" s="6"/>
    </row>
    <row r="99" spans="1:28" customFormat="1">
      <c r="A99" s="201" t="s">
        <v>1486</v>
      </c>
      <c r="B99" s="100">
        <v>8.18</v>
      </c>
      <c r="C99" s="100">
        <v>14.03</v>
      </c>
      <c r="D99" s="100">
        <v>13.89</v>
      </c>
      <c r="E99" s="100">
        <v>7.05</v>
      </c>
      <c r="F99" s="100">
        <v>2</v>
      </c>
      <c r="G99" s="100">
        <v>107.2</v>
      </c>
      <c r="H99" s="100">
        <v>46.38</v>
      </c>
      <c r="I99" s="100">
        <v>12.57</v>
      </c>
      <c r="J99" s="100">
        <v>0.21</v>
      </c>
      <c r="K99" s="100">
        <v>235.6</v>
      </c>
      <c r="L99" s="100">
        <v>20.82</v>
      </c>
      <c r="M99" s="100">
        <v>34.49</v>
      </c>
      <c r="N99" s="100">
        <v>1</v>
      </c>
      <c r="O99" s="100">
        <v>0</v>
      </c>
      <c r="P99" s="100">
        <v>0.63</v>
      </c>
      <c r="Q99" s="100">
        <v>9.32</v>
      </c>
      <c r="R99" s="6"/>
      <c r="S99" s="6"/>
      <c r="T99" s="156"/>
      <c r="U99" s="6"/>
    </row>
    <row r="100" spans="1:28" customFormat="1">
      <c r="A100" s="201" t="s">
        <v>1487</v>
      </c>
      <c r="B100" s="100">
        <v>8.43</v>
      </c>
      <c r="C100" s="100">
        <v>13.87</v>
      </c>
      <c r="D100" s="100">
        <v>14.01</v>
      </c>
      <c r="E100" s="100">
        <v>6.94</v>
      </c>
      <c r="F100" s="100">
        <v>2</v>
      </c>
      <c r="G100" s="100">
        <v>107.2</v>
      </c>
      <c r="H100" s="100">
        <v>46.38</v>
      </c>
      <c r="I100" s="100">
        <v>12.73</v>
      </c>
      <c r="J100" s="100">
        <v>0.2</v>
      </c>
      <c r="K100" s="100">
        <v>242.59</v>
      </c>
      <c r="L100" s="100">
        <v>21.67</v>
      </c>
      <c r="M100" s="100">
        <v>36.57</v>
      </c>
      <c r="N100" s="100">
        <v>1.1000000000000001</v>
      </c>
      <c r="O100" s="100">
        <v>0</v>
      </c>
      <c r="P100" s="100">
        <v>0.63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1488</v>
      </c>
      <c r="B101" s="100">
        <v>8.75</v>
      </c>
      <c r="C101" s="100">
        <v>13.65</v>
      </c>
      <c r="D101" s="100">
        <v>14.14</v>
      </c>
      <c r="E101" s="100">
        <v>6.89</v>
      </c>
      <c r="F101" s="100">
        <v>2</v>
      </c>
      <c r="G101" s="100">
        <v>108.13</v>
      </c>
      <c r="H101" s="100">
        <v>47.11</v>
      </c>
      <c r="I101" s="100">
        <v>12.98</v>
      </c>
      <c r="J101" s="100">
        <v>0.19</v>
      </c>
      <c r="K101" s="100">
        <v>232.96</v>
      </c>
      <c r="L101" s="100">
        <v>20.48</v>
      </c>
      <c r="M101" s="100">
        <v>33.630000000000003</v>
      </c>
      <c r="N101" s="100">
        <v>1.1000000000000001</v>
      </c>
      <c r="O101" s="100">
        <v>0</v>
      </c>
      <c r="P101" s="100">
        <v>0.65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1489</v>
      </c>
      <c r="B102" s="100">
        <v>8.98</v>
      </c>
      <c r="C102" s="100">
        <v>13.52</v>
      </c>
      <c r="D102" s="100">
        <v>14.26</v>
      </c>
      <c r="E102" s="100">
        <v>7.45</v>
      </c>
      <c r="F102" s="100">
        <v>2</v>
      </c>
      <c r="G102" s="100">
        <v>109.53</v>
      </c>
      <c r="H102" s="100">
        <v>47.74</v>
      </c>
      <c r="I102" s="100">
        <v>13.32</v>
      </c>
      <c r="J102" s="100">
        <v>0.18</v>
      </c>
      <c r="K102" s="100">
        <v>216.34</v>
      </c>
      <c r="L102" s="100">
        <v>19.43</v>
      </c>
      <c r="M102" s="100">
        <v>30.98</v>
      </c>
      <c r="N102" s="100">
        <v>1.1000000000000001</v>
      </c>
      <c r="O102" s="100">
        <v>0</v>
      </c>
      <c r="P102" s="100">
        <v>0.65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1490</v>
      </c>
      <c r="B103" s="100">
        <v>9.11</v>
      </c>
      <c r="C103" s="100">
        <v>13.47</v>
      </c>
      <c r="D103" s="100">
        <v>14.34</v>
      </c>
      <c r="E103" s="100">
        <v>4.57</v>
      </c>
      <c r="F103" s="100">
        <v>2</v>
      </c>
      <c r="G103" s="100">
        <v>109.53</v>
      </c>
      <c r="H103" s="100">
        <v>47.74</v>
      </c>
      <c r="I103" s="100">
        <v>13.68</v>
      </c>
      <c r="J103" s="100">
        <v>0.16</v>
      </c>
      <c r="K103" s="100">
        <v>232.87</v>
      </c>
      <c r="L103" s="100">
        <v>20.75</v>
      </c>
      <c r="M103" s="100">
        <v>34.29</v>
      </c>
      <c r="N103" s="100">
        <v>1.2</v>
      </c>
      <c r="O103" s="100">
        <v>0</v>
      </c>
      <c r="P103" s="100">
        <v>0.66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1491</v>
      </c>
      <c r="B104" s="100">
        <v>9.2200000000000006</v>
      </c>
      <c r="C104" s="100">
        <v>13.38</v>
      </c>
      <c r="D104" s="100">
        <v>14.38</v>
      </c>
      <c r="E104" s="100">
        <v>6.79</v>
      </c>
      <c r="F104" s="100">
        <v>2</v>
      </c>
      <c r="G104" s="100">
        <v>109.53</v>
      </c>
      <c r="H104" s="100">
        <v>47.74</v>
      </c>
      <c r="I104" s="100">
        <v>13.95</v>
      </c>
      <c r="J104" s="100">
        <v>0.16</v>
      </c>
      <c r="K104" s="100">
        <v>209.25</v>
      </c>
      <c r="L104" s="100">
        <v>19.09</v>
      </c>
      <c r="M104" s="100">
        <v>30.15</v>
      </c>
      <c r="N104" s="100">
        <v>1</v>
      </c>
      <c r="O104" s="100">
        <v>0</v>
      </c>
      <c r="P104" s="100">
        <v>0.66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</v>
      </c>
      <c r="C106" s="158">
        <f>MIN(C9:C104)</f>
        <v>12.75</v>
      </c>
      <c r="D106" s="158">
        <f t="shared" ref="D106:Q106" si="0">MIN(D9:D104)</f>
        <v>8.4600000000000009</v>
      </c>
      <c r="E106" s="158">
        <f t="shared" si="0"/>
        <v>4.57</v>
      </c>
      <c r="F106" s="158">
        <f t="shared" si="0"/>
        <v>2</v>
      </c>
      <c r="G106" s="158">
        <f t="shared" si="0"/>
        <v>51.35</v>
      </c>
      <c r="H106" s="158">
        <f t="shared" si="0"/>
        <v>32.299999999999997</v>
      </c>
      <c r="I106" s="158">
        <f t="shared" si="0"/>
        <v>9.4499999999999993</v>
      </c>
      <c r="J106" s="158">
        <f t="shared" si="0"/>
        <v>0.06</v>
      </c>
      <c r="K106" s="158">
        <f t="shared" si="0"/>
        <v>14.27</v>
      </c>
      <c r="L106" s="158">
        <f t="shared" si="0"/>
        <v>9.1</v>
      </c>
      <c r="M106" s="158">
        <f t="shared" si="0"/>
        <v>0.35</v>
      </c>
      <c r="N106" s="158">
        <f t="shared" si="0"/>
        <v>0.9</v>
      </c>
      <c r="O106" s="158">
        <f t="shared" si="0"/>
        <v>0</v>
      </c>
      <c r="P106" s="158">
        <f t="shared" si="0"/>
        <v>0.45</v>
      </c>
      <c r="Q106" s="158">
        <f t="shared" si="0"/>
        <v>9.2100000000000009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40.619999999999997</v>
      </c>
      <c r="C107" s="157">
        <f t="shared" ref="C107:Q107" si="1">MAX(C9:C104)</f>
        <v>21.06</v>
      </c>
      <c r="D107" s="157">
        <f t="shared" si="1"/>
        <v>41.75</v>
      </c>
      <c r="E107" s="157">
        <f t="shared" si="1"/>
        <v>7.87</v>
      </c>
      <c r="F107" s="157">
        <f t="shared" si="1"/>
        <v>2.74</v>
      </c>
      <c r="G107" s="157">
        <f t="shared" si="1"/>
        <v>130.29</v>
      </c>
      <c r="H107" s="157">
        <f t="shared" si="1"/>
        <v>68.11</v>
      </c>
      <c r="I107" s="157">
        <f t="shared" si="1"/>
        <v>19.61</v>
      </c>
      <c r="J107" s="157">
        <f t="shared" si="1"/>
        <v>1.08</v>
      </c>
      <c r="K107" s="157">
        <f t="shared" si="1"/>
        <v>242.59</v>
      </c>
      <c r="L107" s="157">
        <f t="shared" si="1"/>
        <v>21.67</v>
      </c>
      <c r="M107" s="157">
        <f t="shared" si="1"/>
        <v>36.57</v>
      </c>
      <c r="N107" s="157">
        <f t="shared" si="1"/>
        <v>631.79999999999995</v>
      </c>
      <c r="O107" s="157">
        <f t="shared" si="1"/>
        <v>0</v>
      </c>
      <c r="P107" s="157">
        <f t="shared" si="1"/>
        <v>1.1599999999999999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14.804479166666667</v>
      </c>
      <c r="C108" s="158">
        <f t="shared" ref="C108:Q108" si="2">AVERAGE(C9:C104)</f>
        <v>16.250624999999999</v>
      </c>
      <c r="D108" s="158">
        <f t="shared" si="2"/>
        <v>20.362187499999994</v>
      </c>
      <c r="E108" s="158">
        <f t="shared" si="2"/>
        <v>6.4936458333333347</v>
      </c>
      <c r="F108" s="158">
        <f t="shared" si="2"/>
        <v>2.0231249999999998</v>
      </c>
      <c r="G108" s="158">
        <f t="shared" si="2"/>
        <v>102.13760416666668</v>
      </c>
      <c r="H108" s="158">
        <f t="shared" si="2"/>
        <v>51.196458333333339</v>
      </c>
      <c r="I108" s="158">
        <f t="shared" si="2"/>
        <v>14.118541666666667</v>
      </c>
      <c r="J108" s="158">
        <f t="shared" si="2"/>
        <v>0.36906250000000002</v>
      </c>
      <c r="K108" s="158">
        <f t="shared" si="2"/>
        <v>131.87500000000003</v>
      </c>
      <c r="L108" s="158">
        <f t="shared" si="2"/>
        <v>15.917187500000006</v>
      </c>
      <c r="M108" s="158">
        <f t="shared" si="2"/>
        <v>19.0621875</v>
      </c>
      <c r="N108" s="158">
        <f t="shared" si="2"/>
        <v>130.20312500000006</v>
      </c>
      <c r="O108" s="158">
        <f t="shared" si="2"/>
        <v>0</v>
      </c>
      <c r="P108" s="158">
        <f t="shared" si="2"/>
        <v>0.79052083333333334</v>
      </c>
      <c r="Q108" s="158">
        <f t="shared" si="2"/>
        <v>9.318854166666684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12.406377635783402</v>
      </c>
      <c r="C109" s="158">
        <f t="shared" ref="C109:Q109" si="3">STDEV(C9:C104)</f>
        <v>2.1160224914236085</v>
      </c>
      <c r="D109" s="158">
        <f t="shared" si="3"/>
        <v>10.430758584022465</v>
      </c>
      <c r="E109" s="158">
        <f t="shared" si="3"/>
        <v>0.84647643644469439</v>
      </c>
      <c r="F109" s="158">
        <f t="shared" si="3"/>
        <v>0.11558831210263816</v>
      </c>
      <c r="G109" s="158">
        <f t="shared" si="3"/>
        <v>21.615371077803335</v>
      </c>
      <c r="H109" s="158">
        <f t="shared" si="3"/>
        <v>10.31446862974699</v>
      </c>
      <c r="I109" s="158">
        <f t="shared" si="3"/>
        <v>2.8380463922496708</v>
      </c>
      <c r="J109" s="158">
        <f t="shared" si="3"/>
        <v>0.30641244349131103</v>
      </c>
      <c r="K109" s="158">
        <f t="shared" si="3"/>
        <v>75.522923504965291</v>
      </c>
      <c r="L109" s="158">
        <f t="shared" si="3"/>
        <v>3.018472846054487</v>
      </c>
      <c r="M109" s="158">
        <f t="shared" si="3"/>
        <v>9.9842399181620713</v>
      </c>
      <c r="N109" s="158">
        <f t="shared" si="3"/>
        <v>209.60078467768187</v>
      </c>
      <c r="O109" s="158">
        <f t="shared" si="3"/>
        <v>0</v>
      </c>
      <c r="P109" s="158">
        <f t="shared" si="3"/>
        <v>0.22384849101529564</v>
      </c>
      <c r="Q109" s="158">
        <f t="shared" si="3"/>
        <v>1.1226827987756172E-2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1" activePane="bottomRight" state="frozen"/>
      <selection pane="topRight"/>
      <selection pane="bottomLeft"/>
      <selection pane="bottomRight" activeCell="F70" sqref="F70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1492</v>
      </c>
      <c r="B9" s="100">
        <v>9.51</v>
      </c>
      <c r="C9" s="100">
        <v>13.02</v>
      </c>
      <c r="D9" s="100">
        <v>14.42</v>
      </c>
      <c r="E9" s="100">
        <v>6.64</v>
      </c>
      <c r="F9" s="100">
        <v>2</v>
      </c>
      <c r="G9" s="100">
        <v>106.84</v>
      </c>
      <c r="H9" s="100">
        <v>48.2</v>
      </c>
      <c r="I9" s="100">
        <v>14.12</v>
      </c>
      <c r="J9" s="100">
        <v>0.05</v>
      </c>
      <c r="K9" s="100">
        <v>330.34</v>
      </c>
      <c r="L9" s="100">
        <v>16.98</v>
      </c>
      <c r="M9" s="100">
        <v>24.77</v>
      </c>
      <c r="N9" s="100">
        <v>1.1000000000000001</v>
      </c>
      <c r="O9" s="100">
        <v>0</v>
      </c>
      <c r="P9" s="100">
        <v>0.66</v>
      </c>
      <c r="Q9" s="100">
        <v>9.32</v>
      </c>
      <c r="R9" s="6"/>
      <c r="S9" s="6"/>
      <c r="T9" s="156"/>
      <c r="U9" s="6"/>
    </row>
    <row r="10" spans="1:21" customFormat="1">
      <c r="A10" s="201" t="s">
        <v>1493</v>
      </c>
      <c r="B10" s="100">
        <v>10.27</v>
      </c>
      <c r="C10" s="100">
        <v>13.42</v>
      </c>
      <c r="D10" s="100">
        <v>15.24</v>
      </c>
      <c r="E10" s="100">
        <v>7.31</v>
      </c>
      <c r="F10" s="100">
        <v>2</v>
      </c>
      <c r="G10" s="100">
        <v>102.99</v>
      </c>
      <c r="H10" s="100">
        <v>48.59</v>
      </c>
      <c r="I10" s="100">
        <v>14.2</v>
      </c>
      <c r="J10" s="100">
        <v>0.24</v>
      </c>
      <c r="K10" s="100">
        <v>49.01</v>
      </c>
      <c r="L10" s="100">
        <v>10.85</v>
      </c>
      <c r="M10" s="100">
        <v>9.34</v>
      </c>
      <c r="N10" s="100">
        <v>0.8</v>
      </c>
      <c r="O10" s="100">
        <v>0</v>
      </c>
      <c r="P10" s="100">
        <v>0.66</v>
      </c>
      <c r="Q10" s="100">
        <v>9.32</v>
      </c>
      <c r="R10" s="6"/>
      <c r="S10" s="6"/>
      <c r="T10" s="156"/>
      <c r="U10" s="6"/>
    </row>
    <row r="11" spans="1:21" customFormat="1">
      <c r="A11" s="201" t="s">
        <v>1494</v>
      </c>
      <c r="B11" s="100">
        <v>11.97</v>
      </c>
      <c r="C11" s="100">
        <v>14.12</v>
      </c>
      <c r="D11" s="100">
        <v>16.97</v>
      </c>
      <c r="E11" s="100">
        <v>7.43</v>
      </c>
      <c r="F11" s="100">
        <v>2</v>
      </c>
      <c r="G11" s="100">
        <v>102.99</v>
      </c>
      <c r="H11" s="100">
        <v>48.59</v>
      </c>
      <c r="I11" s="100">
        <v>14.27</v>
      </c>
      <c r="J11" s="100">
        <v>0.16</v>
      </c>
      <c r="K11" s="100">
        <v>62.26</v>
      </c>
      <c r="L11" s="100">
        <v>11.17</v>
      </c>
      <c r="M11" s="100">
        <v>10.17</v>
      </c>
      <c r="N11" s="100">
        <v>0.8</v>
      </c>
      <c r="O11" s="100">
        <v>0</v>
      </c>
      <c r="P11" s="100">
        <v>0.67</v>
      </c>
      <c r="Q11" s="100">
        <v>9.32</v>
      </c>
      <c r="R11" s="6"/>
      <c r="S11" s="6"/>
      <c r="T11" s="156"/>
      <c r="U11" s="6"/>
    </row>
    <row r="12" spans="1:21" customFormat="1">
      <c r="A12" s="201" t="s">
        <v>1495</v>
      </c>
      <c r="B12" s="100">
        <v>13.75</v>
      </c>
      <c r="C12" s="100">
        <v>14.86</v>
      </c>
      <c r="D12" s="100">
        <v>18.79</v>
      </c>
      <c r="E12" s="100">
        <v>7.25</v>
      </c>
      <c r="F12" s="100">
        <v>2</v>
      </c>
      <c r="G12" s="100">
        <v>102.99</v>
      </c>
      <c r="H12" s="100">
        <v>48.59</v>
      </c>
      <c r="I12" s="100">
        <v>14.38</v>
      </c>
      <c r="J12" s="100">
        <v>0.18</v>
      </c>
      <c r="K12" s="100">
        <v>174.09</v>
      </c>
      <c r="L12" s="100">
        <v>16.010000000000002</v>
      </c>
      <c r="M12" s="100">
        <v>22.47</v>
      </c>
      <c r="N12" s="100">
        <v>1.1000000000000001</v>
      </c>
      <c r="O12" s="100">
        <v>0</v>
      </c>
      <c r="P12" s="100">
        <v>0.68</v>
      </c>
      <c r="Q12" s="100">
        <v>9.32</v>
      </c>
      <c r="R12" s="6"/>
      <c r="S12" s="6"/>
      <c r="T12" s="156"/>
      <c r="U12" s="6"/>
    </row>
    <row r="13" spans="1:21" customFormat="1">
      <c r="A13" s="201" t="s">
        <v>1496</v>
      </c>
      <c r="B13" s="100">
        <v>15.03</v>
      </c>
      <c r="C13" s="100">
        <v>15.31</v>
      </c>
      <c r="D13" s="100">
        <v>20.05</v>
      </c>
      <c r="E13" s="100">
        <v>7.23</v>
      </c>
      <c r="F13" s="100">
        <v>2</v>
      </c>
      <c r="G13" s="100">
        <v>104.85</v>
      </c>
      <c r="H13" s="100">
        <v>51.3</v>
      </c>
      <c r="I13" s="100">
        <v>14.64</v>
      </c>
      <c r="J13" s="100">
        <v>0.15</v>
      </c>
      <c r="K13" s="100">
        <v>187.16</v>
      </c>
      <c r="L13" s="100">
        <v>17.760000000000002</v>
      </c>
      <c r="M13" s="100">
        <v>26.84</v>
      </c>
      <c r="N13" s="100">
        <v>1.3</v>
      </c>
      <c r="O13" s="100">
        <v>0</v>
      </c>
      <c r="P13" s="100">
        <v>0.7</v>
      </c>
      <c r="Q13" s="100">
        <v>9.32</v>
      </c>
      <c r="R13" s="6"/>
      <c r="S13" s="6"/>
      <c r="T13" s="156"/>
      <c r="U13" s="6"/>
    </row>
    <row r="14" spans="1:21" customFormat="1">
      <c r="A14" s="201" t="s">
        <v>1497</v>
      </c>
      <c r="B14" s="100">
        <v>15.95</v>
      </c>
      <c r="C14" s="100">
        <v>15.68</v>
      </c>
      <c r="D14" s="100">
        <v>20.98</v>
      </c>
      <c r="E14" s="100">
        <v>7.24</v>
      </c>
      <c r="F14" s="100">
        <v>2</v>
      </c>
      <c r="G14" s="100">
        <v>107.63</v>
      </c>
      <c r="H14" s="100">
        <v>53.7</v>
      </c>
      <c r="I14" s="100">
        <v>14.99</v>
      </c>
      <c r="J14" s="100">
        <v>0.13</v>
      </c>
      <c r="K14" s="100">
        <v>175.24</v>
      </c>
      <c r="L14" s="100">
        <v>15.5</v>
      </c>
      <c r="M14" s="100">
        <v>21.12</v>
      </c>
      <c r="N14" s="100">
        <v>1.2</v>
      </c>
      <c r="O14" s="100">
        <v>0</v>
      </c>
      <c r="P14" s="100">
        <v>0.7</v>
      </c>
      <c r="Q14" s="100">
        <v>9.32</v>
      </c>
      <c r="R14" s="6"/>
      <c r="S14" s="6"/>
      <c r="T14" s="156"/>
      <c r="U14" s="6"/>
    </row>
    <row r="15" spans="1:21" customFormat="1">
      <c r="A15" s="201" t="s">
        <v>1498</v>
      </c>
      <c r="B15" s="100">
        <v>17.04</v>
      </c>
      <c r="C15" s="100">
        <v>15.94</v>
      </c>
      <c r="D15" s="100">
        <v>21.99</v>
      </c>
      <c r="E15" s="100">
        <v>7.38</v>
      </c>
      <c r="F15" s="100">
        <v>2</v>
      </c>
      <c r="G15" s="100">
        <v>107.63</v>
      </c>
      <c r="H15" s="100">
        <v>53.7</v>
      </c>
      <c r="I15" s="100">
        <v>15.14</v>
      </c>
      <c r="J15" s="100">
        <v>0.12</v>
      </c>
      <c r="K15" s="100">
        <v>174.03</v>
      </c>
      <c r="L15" s="100">
        <v>16.920000000000002</v>
      </c>
      <c r="M15" s="100">
        <v>24.78</v>
      </c>
      <c r="N15" s="100">
        <v>1.2</v>
      </c>
      <c r="O15" s="100">
        <v>0</v>
      </c>
      <c r="P15" s="100">
        <v>0.71</v>
      </c>
      <c r="Q15" s="100">
        <v>9.32</v>
      </c>
      <c r="R15" s="6"/>
      <c r="S15" s="6"/>
      <c r="T15" s="156"/>
      <c r="U15" s="6"/>
    </row>
    <row r="16" spans="1:21" customFormat="1">
      <c r="A16" s="201" t="s">
        <v>1499</v>
      </c>
      <c r="B16" s="100">
        <v>18.5</v>
      </c>
      <c r="C16" s="100">
        <v>16.38</v>
      </c>
      <c r="D16" s="100">
        <v>23.4</v>
      </c>
      <c r="E16" s="100">
        <v>7.36</v>
      </c>
      <c r="F16" s="100">
        <v>2</v>
      </c>
      <c r="G16" s="100">
        <v>107.63</v>
      </c>
      <c r="H16" s="100">
        <v>53.7</v>
      </c>
      <c r="I16" s="100">
        <v>15.2</v>
      </c>
      <c r="J16" s="100">
        <v>0.14000000000000001</v>
      </c>
      <c r="K16" s="100">
        <v>198.24</v>
      </c>
      <c r="L16" s="100">
        <v>18.37</v>
      </c>
      <c r="M16" s="100">
        <v>28.38</v>
      </c>
      <c r="N16" s="100">
        <v>1.2</v>
      </c>
      <c r="O16" s="100">
        <v>0</v>
      </c>
      <c r="P16" s="100">
        <v>0.72</v>
      </c>
      <c r="Q16" s="100">
        <v>9.32</v>
      </c>
      <c r="R16" s="6"/>
      <c r="S16" s="6"/>
      <c r="T16" s="156"/>
      <c r="U16" s="6"/>
    </row>
    <row r="17" spans="1:21" customFormat="1">
      <c r="A17" s="201" t="s">
        <v>1500</v>
      </c>
      <c r="B17" s="100">
        <v>19.600000000000001</v>
      </c>
      <c r="C17" s="100">
        <v>16.64</v>
      </c>
      <c r="D17" s="100">
        <v>24.41</v>
      </c>
      <c r="E17" s="100">
        <v>5.67</v>
      </c>
      <c r="F17" s="100">
        <v>2</v>
      </c>
      <c r="G17" s="100">
        <v>108.36</v>
      </c>
      <c r="H17" s="100">
        <v>53.83</v>
      </c>
      <c r="I17" s="100">
        <v>15.29</v>
      </c>
      <c r="J17" s="100">
        <v>0.13</v>
      </c>
      <c r="K17" s="100">
        <v>203.34</v>
      </c>
      <c r="L17" s="100">
        <v>18.5</v>
      </c>
      <c r="M17" s="100">
        <v>28.71</v>
      </c>
      <c r="N17" s="100">
        <v>1.3</v>
      </c>
      <c r="O17" s="100">
        <v>0</v>
      </c>
      <c r="P17" s="100">
        <v>0.73</v>
      </c>
      <c r="Q17" s="100">
        <v>9.32</v>
      </c>
      <c r="R17" s="6"/>
      <c r="S17" s="6"/>
      <c r="T17" s="156"/>
      <c r="U17" s="6"/>
    </row>
    <row r="18" spans="1:21" customFormat="1">
      <c r="A18" s="201" t="s">
        <v>1501</v>
      </c>
      <c r="B18" s="100">
        <v>20.7</v>
      </c>
      <c r="C18" s="100">
        <v>16.7</v>
      </c>
      <c r="D18" s="100">
        <v>25.32</v>
      </c>
      <c r="E18" s="100">
        <v>6.83</v>
      </c>
      <c r="F18" s="100">
        <v>2</v>
      </c>
      <c r="G18" s="100">
        <v>109.46</v>
      </c>
      <c r="H18" s="100">
        <v>54.18</v>
      </c>
      <c r="I18" s="100">
        <v>15.33</v>
      </c>
      <c r="J18" s="100">
        <v>0.13</v>
      </c>
      <c r="K18" s="100">
        <v>188.41</v>
      </c>
      <c r="L18" s="100">
        <v>17.309999999999999</v>
      </c>
      <c r="M18" s="100">
        <v>25.71</v>
      </c>
      <c r="N18" s="100">
        <v>1.2</v>
      </c>
      <c r="O18" s="100">
        <v>0</v>
      </c>
      <c r="P18" s="100">
        <v>0.74</v>
      </c>
      <c r="Q18" s="100">
        <v>9.32</v>
      </c>
      <c r="R18" s="6"/>
      <c r="S18" s="6"/>
      <c r="T18" s="156"/>
      <c r="U18" s="6"/>
    </row>
    <row r="19" spans="1:21" customFormat="1">
      <c r="A19" s="201" t="s">
        <v>1502</v>
      </c>
      <c r="B19" s="100">
        <v>21.16</v>
      </c>
      <c r="C19" s="100">
        <v>16.62</v>
      </c>
      <c r="D19" s="100">
        <v>25.65</v>
      </c>
      <c r="E19" s="100">
        <v>6.47</v>
      </c>
      <c r="F19" s="100">
        <v>2</v>
      </c>
      <c r="G19" s="100">
        <v>109.46</v>
      </c>
      <c r="H19" s="100">
        <v>54.18</v>
      </c>
      <c r="I19" s="100">
        <v>15.38</v>
      </c>
      <c r="J19" s="100">
        <v>0.13</v>
      </c>
      <c r="K19" s="100">
        <v>170.84</v>
      </c>
      <c r="L19" s="100">
        <v>15.95</v>
      </c>
      <c r="M19" s="100">
        <v>22.34</v>
      </c>
      <c r="N19" s="100">
        <v>1.3</v>
      </c>
      <c r="O19" s="100">
        <v>0</v>
      </c>
      <c r="P19" s="100">
        <v>0.75</v>
      </c>
      <c r="Q19" s="100">
        <v>9.32</v>
      </c>
      <c r="R19" s="6"/>
      <c r="S19" s="6"/>
      <c r="T19" s="156"/>
      <c r="U19" s="6"/>
    </row>
    <row r="20" spans="1:21" customFormat="1">
      <c r="A20" s="201" t="s">
        <v>1503</v>
      </c>
      <c r="B20" s="100">
        <v>21.1</v>
      </c>
      <c r="C20" s="100">
        <v>16.46</v>
      </c>
      <c r="D20" s="100">
        <v>25.52</v>
      </c>
      <c r="E20" s="100">
        <v>6.61</v>
      </c>
      <c r="F20" s="100">
        <v>2</v>
      </c>
      <c r="G20" s="100">
        <v>109.46</v>
      </c>
      <c r="H20" s="100">
        <v>54.18</v>
      </c>
      <c r="I20" s="100">
        <v>15.42</v>
      </c>
      <c r="J20" s="100">
        <v>0.1</v>
      </c>
      <c r="K20" s="100">
        <v>180.84</v>
      </c>
      <c r="L20" s="100">
        <v>17.03</v>
      </c>
      <c r="M20" s="100">
        <v>25.01</v>
      </c>
      <c r="N20" s="100">
        <v>1.1000000000000001</v>
      </c>
      <c r="O20" s="100">
        <v>0</v>
      </c>
      <c r="P20" s="100">
        <v>0.76</v>
      </c>
      <c r="Q20" s="100">
        <v>9.32</v>
      </c>
      <c r="R20" s="6"/>
      <c r="S20" s="6"/>
      <c r="T20" s="156"/>
      <c r="U20" s="6"/>
    </row>
    <row r="21" spans="1:21" customFormat="1">
      <c r="A21" s="201" t="s">
        <v>1504</v>
      </c>
      <c r="B21" s="100">
        <v>20.84</v>
      </c>
      <c r="C21" s="100">
        <v>16.149999999999999</v>
      </c>
      <c r="D21" s="100">
        <v>25.15</v>
      </c>
      <c r="E21" s="100">
        <v>6.62</v>
      </c>
      <c r="F21" s="100">
        <v>2</v>
      </c>
      <c r="G21" s="100">
        <v>106.89</v>
      </c>
      <c r="H21" s="100">
        <v>53.02</v>
      </c>
      <c r="I21" s="100">
        <v>15.47</v>
      </c>
      <c r="J21" s="100">
        <v>0.12</v>
      </c>
      <c r="K21" s="100">
        <v>183.8</v>
      </c>
      <c r="L21" s="100">
        <v>17.37</v>
      </c>
      <c r="M21" s="100">
        <v>25.9</v>
      </c>
      <c r="N21" s="100">
        <v>1.2</v>
      </c>
      <c r="O21" s="100">
        <v>0</v>
      </c>
      <c r="P21" s="100">
        <v>0.76</v>
      </c>
      <c r="Q21" s="100">
        <v>9.32</v>
      </c>
      <c r="R21" s="6"/>
      <c r="S21" s="6"/>
      <c r="T21" s="156"/>
      <c r="U21" s="6"/>
    </row>
    <row r="22" spans="1:21" customFormat="1">
      <c r="A22" s="201" t="s">
        <v>1505</v>
      </c>
      <c r="B22" s="100">
        <v>20.76</v>
      </c>
      <c r="C22" s="100">
        <v>15.86</v>
      </c>
      <c r="D22" s="100">
        <v>24.94</v>
      </c>
      <c r="E22" s="100">
        <v>6.59</v>
      </c>
      <c r="F22" s="100">
        <v>2</v>
      </c>
      <c r="G22" s="100">
        <v>103.03</v>
      </c>
      <c r="H22" s="100">
        <v>52</v>
      </c>
      <c r="I22" s="100">
        <v>15.52</v>
      </c>
      <c r="J22" s="100">
        <v>0.13</v>
      </c>
      <c r="K22" s="100">
        <v>209.14</v>
      </c>
      <c r="L22" s="100">
        <v>19.03</v>
      </c>
      <c r="M22" s="100">
        <v>30.03</v>
      </c>
      <c r="N22" s="100">
        <v>1.2</v>
      </c>
      <c r="O22" s="100">
        <v>0</v>
      </c>
      <c r="P22" s="100">
        <v>0.77</v>
      </c>
      <c r="Q22" s="100">
        <v>9.32</v>
      </c>
      <c r="R22" s="6"/>
      <c r="S22" s="6"/>
      <c r="T22" s="156"/>
      <c r="U22" s="6"/>
    </row>
    <row r="23" spans="1:21" customFormat="1">
      <c r="A23" s="201" t="s">
        <v>1506</v>
      </c>
      <c r="B23" s="100">
        <v>21.81</v>
      </c>
      <c r="C23" s="100">
        <v>15.78</v>
      </c>
      <c r="D23" s="100">
        <v>25.74</v>
      </c>
      <c r="E23" s="100">
        <v>6.75</v>
      </c>
      <c r="F23" s="100">
        <v>2</v>
      </c>
      <c r="G23" s="100">
        <v>103.03</v>
      </c>
      <c r="H23" s="100">
        <v>52</v>
      </c>
      <c r="I23" s="100">
        <v>15.56</v>
      </c>
      <c r="J23" s="100">
        <v>0.13</v>
      </c>
      <c r="K23" s="100">
        <v>200.88</v>
      </c>
      <c r="L23" s="100">
        <v>18.3</v>
      </c>
      <c r="M23" s="100">
        <v>28.22</v>
      </c>
      <c r="N23" s="100">
        <v>1.2</v>
      </c>
      <c r="O23" s="100">
        <v>0</v>
      </c>
      <c r="P23" s="100">
        <v>0.78</v>
      </c>
      <c r="Q23" s="100">
        <v>9.32</v>
      </c>
      <c r="R23" s="6"/>
      <c r="S23" s="6"/>
      <c r="T23" s="156"/>
      <c r="U23" s="6"/>
    </row>
    <row r="24" spans="1:21" customFormat="1">
      <c r="A24" s="201" t="s">
        <v>1507</v>
      </c>
      <c r="B24" s="100">
        <v>23.28</v>
      </c>
      <c r="C24" s="100">
        <v>16.059999999999999</v>
      </c>
      <c r="D24" s="100">
        <v>27.06</v>
      </c>
      <c r="E24" s="100">
        <v>6.48</v>
      </c>
      <c r="F24" s="100">
        <v>2</v>
      </c>
      <c r="G24" s="100">
        <v>103.03</v>
      </c>
      <c r="H24" s="100">
        <v>52</v>
      </c>
      <c r="I24" s="100">
        <v>15.58</v>
      </c>
      <c r="J24" s="100">
        <v>0.14000000000000001</v>
      </c>
      <c r="K24" s="100">
        <v>173.36</v>
      </c>
      <c r="L24" s="100">
        <v>15.91</v>
      </c>
      <c r="M24" s="100">
        <v>22.26</v>
      </c>
      <c r="N24" s="100">
        <v>0.9</v>
      </c>
      <c r="O24" s="100">
        <v>0</v>
      </c>
      <c r="P24" s="100">
        <v>0.8</v>
      </c>
      <c r="Q24" s="100">
        <v>9.32</v>
      </c>
      <c r="R24" s="6"/>
      <c r="S24" s="6"/>
      <c r="T24" s="156"/>
      <c r="U24" s="6"/>
    </row>
    <row r="25" spans="1:21" customFormat="1">
      <c r="A25" s="201" t="s">
        <v>1508</v>
      </c>
      <c r="B25" s="100">
        <v>24.54</v>
      </c>
      <c r="C25" s="100">
        <v>16.260000000000002</v>
      </c>
      <c r="D25" s="100">
        <v>28.18</v>
      </c>
      <c r="E25" s="100">
        <v>6.58</v>
      </c>
      <c r="F25" s="100">
        <v>2</v>
      </c>
      <c r="G25" s="100">
        <v>101.77</v>
      </c>
      <c r="H25" s="100">
        <v>51.63</v>
      </c>
      <c r="I25" s="100">
        <v>15.64</v>
      </c>
      <c r="J25" s="100">
        <v>0.13</v>
      </c>
      <c r="K25" s="100">
        <v>181.09</v>
      </c>
      <c r="L25" s="100">
        <v>17.34</v>
      </c>
      <c r="M25" s="100">
        <v>25.82</v>
      </c>
      <c r="N25" s="100">
        <v>1.1000000000000001</v>
      </c>
      <c r="O25" s="100">
        <v>0</v>
      </c>
      <c r="P25" s="100">
        <v>0.82</v>
      </c>
      <c r="Q25" s="100">
        <v>9.32</v>
      </c>
      <c r="R25" s="6"/>
      <c r="S25" s="6"/>
      <c r="T25" s="156"/>
      <c r="U25" s="6"/>
    </row>
    <row r="26" spans="1:21" customFormat="1">
      <c r="A26" s="201" t="s">
        <v>1509</v>
      </c>
      <c r="B26" s="100">
        <v>25.84</v>
      </c>
      <c r="C26" s="100">
        <v>16.29</v>
      </c>
      <c r="D26" s="100">
        <v>29.23</v>
      </c>
      <c r="E26" s="100">
        <v>6.71</v>
      </c>
      <c r="F26" s="100">
        <v>2</v>
      </c>
      <c r="G26" s="100">
        <v>99.88</v>
      </c>
      <c r="H26" s="100">
        <v>51.31</v>
      </c>
      <c r="I26" s="100">
        <v>15.76</v>
      </c>
      <c r="J26" s="100">
        <v>0.12</v>
      </c>
      <c r="K26" s="100">
        <v>199.52</v>
      </c>
      <c r="L26" s="100">
        <v>18.68</v>
      </c>
      <c r="M26" s="100">
        <v>29.13</v>
      </c>
      <c r="N26" s="100">
        <v>1.1000000000000001</v>
      </c>
      <c r="O26" s="100">
        <v>0</v>
      </c>
      <c r="P26" s="100">
        <v>0.83</v>
      </c>
      <c r="Q26" s="100">
        <v>9.32</v>
      </c>
      <c r="R26" s="6"/>
      <c r="S26" s="6"/>
      <c r="T26" s="156"/>
      <c r="U26" s="6"/>
    </row>
    <row r="27" spans="1:21" customFormat="1">
      <c r="A27" s="201" t="s">
        <v>1510</v>
      </c>
      <c r="B27" s="100">
        <v>26.22</v>
      </c>
      <c r="C27" s="100">
        <v>16.28</v>
      </c>
      <c r="D27" s="100">
        <v>29.54</v>
      </c>
      <c r="E27" s="100">
        <v>6.83</v>
      </c>
      <c r="F27" s="100">
        <v>2</v>
      </c>
      <c r="G27" s="100">
        <v>99.88</v>
      </c>
      <c r="H27" s="100">
        <v>51.31</v>
      </c>
      <c r="I27" s="100">
        <v>15.89</v>
      </c>
      <c r="J27" s="100">
        <v>0.14000000000000001</v>
      </c>
      <c r="K27" s="100">
        <v>197.42</v>
      </c>
      <c r="L27" s="100">
        <v>18.420000000000002</v>
      </c>
      <c r="M27" s="100">
        <v>28.53</v>
      </c>
      <c r="N27" s="100">
        <v>1.2</v>
      </c>
      <c r="O27" s="100">
        <v>0</v>
      </c>
      <c r="P27" s="100">
        <v>0.84</v>
      </c>
      <c r="Q27" s="100">
        <v>9.32</v>
      </c>
      <c r="R27" s="6"/>
      <c r="S27" s="6"/>
      <c r="T27" s="156"/>
      <c r="U27" s="6"/>
    </row>
    <row r="28" spans="1:21" customFormat="1">
      <c r="A28" s="201" t="s">
        <v>1511</v>
      </c>
      <c r="B28" s="100">
        <v>26.36</v>
      </c>
      <c r="C28" s="100">
        <v>16.010000000000002</v>
      </c>
      <c r="D28" s="100">
        <v>29.5</v>
      </c>
      <c r="E28" s="100">
        <v>6.59</v>
      </c>
      <c r="F28" s="100">
        <v>2</v>
      </c>
      <c r="G28" s="100">
        <v>99.88</v>
      </c>
      <c r="H28" s="100">
        <v>51.31</v>
      </c>
      <c r="I28" s="100">
        <v>16.07</v>
      </c>
      <c r="J28" s="100">
        <v>0.17</v>
      </c>
      <c r="K28" s="100">
        <v>229.36</v>
      </c>
      <c r="L28" s="100">
        <v>19.850000000000001</v>
      </c>
      <c r="M28" s="100">
        <v>32.119999999999997</v>
      </c>
      <c r="N28" s="100">
        <v>1.2</v>
      </c>
      <c r="O28" s="100">
        <v>0</v>
      </c>
      <c r="P28" s="100">
        <v>0.85</v>
      </c>
      <c r="Q28" s="100">
        <v>9.32</v>
      </c>
      <c r="R28" s="6"/>
      <c r="S28" s="6"/>
      <c r="T28" s="156"/>
      <c r="U28" s="6"/>
    </row>
    <row r="29" spans="1:21" customFormat="1">
      <c r="A29" s="201" t="s">
        <v>1512</v>
      </c>
      <c r="B29" s="100">
        <v>26.01</v>
      </c>
      <c r="C29" s="100">
        <v>15.75</v>
      </c>
      <c r="D29" s="100">
        <v>29.09</v>
      </c>
      <c r="E29" s="100">
        <v>6.84</v>
      </c>
      <c r="F29" s="100">
        <v>2</v>
      </c>
      <c r="G29" s="100">
        <v>98.05</v>
      </c>
      <c r="H29" s="100">
        <v>51.69</v>
      </c>
      <c r="I29" s="100">
        <v>16.190000000000001</v>
      </c>
      <c r="J29" s="100">
        <v>0.12</v>
      </c>
      <c r="K29" s="100">
        <v>227.24</v>
      </c>
      <c r="L29" s="100">
        <v>19.68</v>
      </c>
      <c r="M29" s="100">
        <v>31.62</v>
      </c>
      <c r="N29" s="100">
        <v>1.3</v>
      </c>
      <c r="O29" s="100">
        <v>0</v>
      </c>
      <c r="P29" s="100">
        <v>0.85</v>
      </c>
      <c r="Q29" s="100">
        <v>9.32</v>
      </c>
      <c r="R29" s="6"/>
      <c r="S29" s="6"/>
      <c r="T29" s="156"/>
      <c r="U29" s="6"/>
    </row>
    <row r="30" spans="1:21" customFormat="1">
      <c r="A30" s="201" t="s">
        <v>1513</v>
      </c>
      <c r="B30" s="100">
        <v>25.56</v>
      </c>
      <c r="C30" s="100">
        <v>15.42</v>
      </c>
      <c r="D30" s="100">
        <v>28.55</v>
      </c>
      <c r="E30" s="100">
        <v>6.76</v>
      </c>
      <c r="F30" s="100">
        <v>2</v>
      </c>
      <c r="G30" s="100">
        <v>95.32</v>
      </c>
      <c r="H30" s="100">
        <v>52.02</v>
      </c>
      <c r="I30" s="100">
        <v>16.260000000000002</v>
      </c>
      <c r="J30" s="100">
        <v>0.14000000000000001</v>
      </c>
      <c r="K30" s="100">
        <v>166.85</v>
      </c>
      <c r="L30" s="100">
        <v>15.46</v>
      </c>
      <c r="M30" s="100">
        <v>21.08</v>
      </c>
      <c r="N30" s="100">
        <v>1.2</v>
      </c>
      <c r="O30" s="100">
        <v>0</v>
      </c>
      <c r="P30" s="100">
        <v>0.85</v>
      </c>
      <c r="Q30" s="100">
        <v>9.32</v>
      </c>
      <c r="R30" s="6"/>
      <c r="S30" s="6"/>
      <c r="T30" s="156"/>
      <c r="U30" s="6"/>
    </row>
    <row r="31" spans="1:21" customFormat="1">
      <c r="A31" s="201" t="s">
        <v>1514</v>
      </c>
      <c r="B31" s="100">
        <v>26.56</v>
      </c>
      <c r="C31" s="100">
        <v>15.53</v>
      </c>
      <c r="D31" s="100">
        <v>29.42</v>
      </c>
      <c r="E31" s="100">
        <v>6.88</v>
      </c>
      <c r="F31" s="100">
        <v>2</v>
      </c>
      <c r="G31" s="100">
        <v>95.32</v>
      </c>
      <c r="H31" s="100">
        <v>52.02</v>
      </c>
      <c r="I31" s="100">
        <v>16.309999999999999</v>
      </c>
      <c r="J31" s="100">
        <v>0.12</v>
      </c>
      <c r="K31" s="100">
        <v>172.23</v>
      </c>
      <c r="L31" s="100">
        <v>16.29</v>
      </c>
      <c r="M31" s="100">
        <v>23.18</v>
      </c>
      <c r="N31" s="100">
        <v>1.3</v>
      </c>
      <c r="O31" s="100">
        <v>0</v>
      </c>
      <c r="P31" s="100">
        <v>0.87</v>
      </c>
      <c r="Q31" s="100">
        <v>9.32</v>
      </c>
      <c r="R31" s="6"/>
      <c r="S31" s="6"/>
      <c r="T31" s="156"/>
      <c r="U31" s="6"/>
    </row>
    <row r="32" spans="1:21" customFormat="1">
      <c r="A32" s="201" t="s">
        <v>1515</v>
      </c>
      <c r="B32" s="100">
        <v>28.83</v>
      </c>
      <c r="C32" s="100">
        <v>16.04</v>
      </c>
      <c r="D32" s="100">
        <v>31.5</v>
      </c>
      <c r="E32" s="100">
        <v>7.05</v>
      </c>
      <c r="F32" s="100">
        <v>2</v>
      </c>
      <c r="G32" s="100">
        <v>95.32</v>
      </c>
      <c r="H32" s="100">
        <v>52.02</v>
      </c>
      <c r="I32" s="100">
        <v>16.39</v>
      </c>
      <c r="J32" s="100">
        <v>0.17</v>
      </c>
      <c r="K32" s="100">
        <v>153.85</v>
      </c>
      <c r="L32" s="100">
        <v>14.35</v>
      </c>
      <c r="M32" s="100">
        <v>18.309999999999999</v>
      </c>
      <c r="N32" s="100">
        <v>1.2</v>
      </c>
      <c r="O32" s="100">
        <v>0</v>
      </c>
      <c r="P32" s="100">
        <v>0.89</v>
      </c>
      <c r="Q32" s="100">
        <v>9.32</v>
      </c>
      <c r="R32" s="6"/>
      <c r="S32" s="6"/>
      <c r="T32" s="156"/>
      <c r="U32" s="6"/>
    </row>
    <row r="33" spans="1:21" customFormat="1">
      <c r="A33" s="201" t="s">
        <v>1516</v>
      </c>
      <c r="B33" s="100">
        <v>30.58</v>
      </c>
      <c r="C33" s="100">
        <v>16.55</v>
      </c>
      <c r="D33" s="100">
        <v>33.17</v>
      </c>
      <c r="E33" s="100">
        <v>7.02</v>
      </c>
      <c r="F33" s="100">
        <v>2</v>
      </c>
      <c r="G33" s="100">
        <v>96.6</v>
      </c>
      <c r="H33" s="100">
        <v>51.36</v>
      </c>
      <c r="I33" s="100">
        <v>16.579999999999998</v>
      </c>
      <c r="J33" s="100">
        <v>0.14000000000000001</v>
      </c>
      <c r="K33" s="100">
        <v>179.95</v>
      </c>
      <c r="L33" s="100">
        <v>16.5</v>
      </c>
      <c r="M33" s="100">
        <v>23.7</v>
      </c>
      <c r="N33" s="100">
        <v>2.9</v>
      </c>
      <c r="O33" s="100">
        <v>0</v>
      </c>
      <c r="P33" s="100">
        <v>0.93</v>
      </c>
      <c r="Q33" s="100">
        <v>9.32</v>
      </c>
      <c r="R33" s="6"/>
      <c r="S33" s="6"/>
      <c r="T33" s="156"/>
      <c r="U33" s="6"/>
    </row>
    <row r="34" spans="1:21" customFormat="1">
      <c r="A34" s="201" t="s">
        <v>1517</v>
      </c>
      <c r="B34" s="100">
        <v>31.53</v>
      </c>
      <c r="C34" s="100">
        <v>16.88</v>
      </c>
      <c r="D34" s="100">
        <v>34.1</v>
      </c>
      <c r="E34" s="100">
        <v>6.91</v>
      </c>
      <c r="F34" s="100">
        <v>2</v>
      </c>
      <c r="G34" s="100">
        <v>98.51</v>
      </c>
      <c r="H34" s="100">
        <v>50.79</v>
      </c>
      <c r="I34" s="100">
        <v>16.760000000000002</v>
      </c>
      <c r="J34" s="100">
        <v>0.12</v>
      </c>
      <c r="K34" s="100">
        <v>194.89</v>
      </c>
      <c r="L34" s="100">
        <v>17.48</v>
      </c>
      <c r="M34" s="100">
        <v>25.97</v>
      </c>
      <c r="N34" s="100">
        <v>8.6999999999999993</v>
      </c>
      <c r="O34" s="100">
        <v>0</v>
      </c>
      <c r="P34" s="100">
        <v>0.93</v>
      </c>
      <c r="Q34" s="100">
        <v>9.32</v>
      </c>
      <c r="R34" s="6"/>
      <c r="S34" s="6"/>
      <c r="T34" s="156"/>
      <c r="U34" s="6"/>
    </row>
    <row r="35" spans="1:21" customFormat="1">
      <c r="A35" s="201" t="s">
        <v>1518</v>
      </c>
      <c r="B35" s="100">
        <v>32.67</v>
      </c>
      <c r="C35" s="100">
        <v>17.09</v>
      </c>
      <c r="D35" s="100">
        <v>35.130000000000003</v>
      </c>
      <c r="E35" s="100">
        <v>6.92</v>
      </c>
      <c r="F35" s="100">
        <v>2</v>
      </c>
      <c r="G35" s="100">
        <v>98.51</v>
      </c>
      <c r="H35" s="100">
        <v>50.79</v>
      </c>
      <c r="I35" s="100">
        <v>16.89</v>
      </c>
      <c r="J35" s="100">
        <v>0.1</v>
      </c>
      <c r="K35" s="100">
        <v>81.25</v>
      </c>
      <c r="L35" s="100">
        <v>11.89</v>
      </c>
      <c r="M35" s="100">
        <v>11.53</v>
      </c>
      <c r="N35" s="100">
        <v>18.600000000000001</v>
      </c>
      <c r="O35" s="100">
        <v>0</v>
      </c>
      <c r="P35" s="100">
        <v>0.95</v>
      </c>
      <c r="Q35" s="100">
        <v>9.32</v>
      </c>
      <c r="R35" s="6"/>
      <c r="S35" s="6"/>
      <c r="T35" s="156"/>
      <c r="U35" s="6"/>
    </row>
    <row r="36" spans="1:21" customFormat="1">
      <c r="A36" s="201" t="s">
        <v>1519</v>
      </c>
      <c r="B36" s="100">
        <v>33.96</v>
      </c>
      <c r="C36" s="100">
        <v>17.45</v>
      </c>
      <c r="D36" s="100">
        <v>36.35</v>
      </c>
      <c r="E36" s="100">
        <v>7.08</v>
      </c>
      <c r="F36" s="100">
        <v>2</v>
      </c>
      <c r="G36" s="100">
        <v>98.51</v>
      </c>
      <c r="H36" s="100">
        <v>50.79</v>
      </c>
      <c r="I36" s="100">
        <v>17.059999999999999</v>
      </c>
      <c r="J36" s="100">
        <v>0.25</v>
      </c>
      <c r="K36" s="100">
        <v>47.59</v>
      </c>
      <c r="L36" s="100">
        <v>8.2799999999999994</v>
      </c>
      <c r="M36" s="100">
        <v>2.08</v>
      </c>
      <c r="N36" s="100">
        <v>30.9</v>
      </c>
      <c r="O36" s="100">
        <v>0</v>
      </c>
      <c r="P36" s="100">
        <v>0.97</v>
      </c>
      <c r="Q36" s="100">
        <v>9.32</v>
      </c>
      <c r="R36" s="6"/>
      <c r="S36" s="6"/>
      <c r="T36" s="156"/>
      <c r="U36" s="6"/>
    </row>
    <row r="37" spans="1:21" customFormat="1">
      <c r="A37" s="201" t="s">
        <v>1520</v>
      </c>
      <c r="B37" s="100">
        <v>34.92</v>
      </c>
      <c r="C37" s="100">
        <v>17.649999999999999</v>
      </c>
      <c r="D37" s="100">
        <v>37.229999999999997</v>
      </c>
      <c r="E37" s="100">
        <v>6.94</v>
      </c>
      <c r="F37" s="100">
        <v>2</v>
      </c>
      <c r="G37" s="100">
        <v>106.72</v>
      </c>
      <c r="H37" s="100">
        <v>57.06</v>
      </c>
      <c r="I37" s="100">
        <v>17.21</v>
      </c>
      <c r="J37" s="100">
        <v>0.39</v>
      </c>
      <c r="K37" s="100">
        <v>27.52</v>
      </c>
      <c r="L37" s="100">
        <v>8.33</v>
      </c>
      <c r="M37" s="100">
        <v>1.86</v>
      </c>
      <c r="N37" s="100">
        <v>43.5</v>
      </c>
      <c r="O37" s="100">
        <v>0</v>
      </c>
      <c r="P37" s="100">
        <v>0.98</v>
      </c>
      <c r="Q37" s="100">
        <v>9.32</v>
      </c>
      <c r="R37" s="6"/>
      <c r="S37" s="6"/>
      <c r="T37" s="156"/>
      <c r="U37" s="6"/>
    </row>
    <row r="38" spans="1:21" customFormat="1">
      <c r="A38" s="201" t="s">
        <v>1521</v>
      </c>
      <c r="B38" s="100">
        <v>35.31</v>
      </c>
      <c r="C38" s="100">
        <v>17.95</v>
      </c>
      <c r="D38" s="100">
        <v>37.69</v>
      </c>
      <c r="E38" s="100">
        <v>6.89</v>
      </c>
      <c r="F38" s="100">
        <v>2</v>
      </c>
      <c r="G38" s="100">
        <v>119.03</v>
      </c>
      <c r="H38" s="100">
        <v>62.61</v>
      </c>
      <c r="I38" s="100">
        <v>17.37</v>
      </c>
      <c r="J38" s="100">
        <v>0.43</v>
      </c>
      <c r="K38" s="100">
        <v>39.11</v>
      </c>
      <c r="L38" s="100">
        <v>7.7</v>
      </c>
      <c r="M38" s="100">
        <v>-0.04</v>
      </c>
      <c r="N38" s="100">
        <v>56.6</v>
      </c>
      <c r="O38" s="100">
        <v>0</v>
      </c>
      <c r="P38" s="100">
        <v>0.98</v>
      </c>
      <c r="Q38" s="100">
        <v>9.32</v>
      </c>
      <c r="R38" s="6"/>
      <c r="S38" s="6"/>
      <c r="T38" s="156"/>
      <c r="U38" s="6"/>
    </row>
    <row r="39" spans="1:21" customFormat="1">
      <c r="A39" s="201" t="s">
        <v>1522</v>
      </c>
      <c r="B39" s="100">
        <v>35.299999999999997</v>
      </c>
      <c r="C39" s="100">
        <v>18.350000000000001</v>
      </c>
      <c r="D39" s="100">
        <v>37.89</v>
      </c>
      <c r="E39" s="100">
        <v>7.05</v>
      </c>
      <c r="F39" s="100">
        <v>2</v>
      </c>
      <c r="G39" s="100">
        <v>119.03</v>
      </c>
      <c r="H39" s="100">
        <v>62.61</v>
      </c>
      <c r="I39" s="100">
        <v>17.5</v>
      </c>
      <c r="J39" s="100">
        <v>0.56000000000000005</v>
      </c>
      <c r="K39" s="100">
        <v>29.54</v>
      </c>
      <c r="L39" s="100">
        <v>9.36</v>
      </c>
      <c r="M39" s="100">
        <v>3.67</v>
      </c>
      <c r="N39" s="100">
        <v>72.099999999999994</v>
      </c>
      <c r="O39" s="100">
        <v>0</v>
      </c>
      <c r="P39" s="100">
        <v>0.99</v>
      </c>
      <c r="Q39" s="100">
        <v>9.32</v>
      </c>
      <c r="R39" s="6"/>
      <c r="S39" s="6"/>
      <c r="T39" s="156"/>
      <c r="U39" s="6"/>
    </row>
    <row r="40" spans="1:21" customFormat="1">
      <c r="A40" s="201" t="s">
        <v>1523</v>
      </c>
      <c r="B40" s="100">
        <v>34.71</v>
      </c>
      <c r="C40" s="100">
        <v>19.02</v>
      </c>
      <c r="D40" s="100">
        <v>37.770000000000003</v>
      </c>
      <c r="E40" s="100">
        <v>6.88</v>
      </c>
      <c r="F40" s="100">
        <v>2</v>
      </c>
      <c r="G40" s="100">
        <v>119.03</v>
      </c>
      <c r="H40" s="100">
        <v>62.61</v>
      </c>
      <c r="I40" s="100">
        <v>17.61</v>
      </c>
      <c r="J40" s="100">
        <v>0.68</v>
      </c>
      <c r="K40" s="100">
        <v>33.44</v>
      </c>
      <c r="L40" s="100">
        <v>10.91</v>
      </c>
      <c r="M40" s="100">
        <v>5.41</v>
      </c>
      <c r="N40" s="100">
        <v>166.8</v>
      </c>
      <c r="O40" s="100">
        <v>0</v>
      </c>
      <c r="P40" s="100">
        <v>1</v>
      </c>
      <c r="Q40" s="100">
        <v>9.32</v>
      </c>
      <c r="R40" s="6"/>
      <c r="S40" s="6"/>
      <c r="T40" s="156"/>
      <c r="U40" s="6"/>
    </row>
    <row r="41" spans="1:21" customFormat="1">
      <c r="A41" s="201" t="s">
        <v>1524</v>
      </c>
      <c r="B41" s="100">
        <v>33.96</v>
      </c>
      <c r="C41" s="100">
        <v>19.5</v>
      </c>
      <c r="D41" s="100">
        <v>37.42</v>
      </c>
      <c r="E41" s="100">
        <v>6.87</v>
      </c>
      <c r="F41" s="100">
        <v>2</v>
      </c>
      <c r="G41" s="100">
        <v>123.58</v>
      </c>
      <c r="H41" s="100">
        <v>62.83</v>
      </c>
      <c r="I41" s="100">
        <v>17.64</v>
      </c>
      <c r="J41" s="100">
        <v>0.55000000000000004</v>
      </c>
      <c r="K41" s="100">
        <v>27.27</v>
      </c>
      <c r="L41" s="100">
        <v>13.46</v>
      </c>
      <c r="M41" s="100">
        <v>10.89</v>
      </c>
      <c r="N41" s="100">
        <v>208.3</v>
      </c>
      <c r="O41" s="100">
        <v>0</v>
      </c>
      <c r="P41" s="100">
        <v>1</v>
      </c>
      <c r="Q41" s="100">
        <v>9.32</v>
      </c>
      <c r="R41" s="6"/>
      <c r="S41" s="6"/>
      <c r="T41" s="156"/>
      <c r="U41" s="6"/>
    </row>
    <row r="42" spans="1:21" customFormat="1">
      <c r="A42" s="201" t="s">
        <v>1525</v>
      </c>
      <c r="B42" s="100">
        <v>33.130000000000003</v>
      </c>
      <c r="C42" s="100">
        <v>19.559999999999999</v>
      </c>
      <c r="D42" s="100">
        <v>36.78</v>
      </c>
      <c r="E42" s="100">
        <v>7.03</v>
      </c>
      <c r="F42" s="100">
        <v>2</v>
      </c>
      <c r="G42" s="100">
        <v>130.4</v>
      </c>
      <c r="H42" s="100">
        <v>62.91</v>
      </c>
      <c r="I42" s="100">
        <v>17.559999999999999</v>
      </c>
      <c r="J42" s="100">
        <v>0.82</v>
      </c>
      <c r="K42" s="100">
        <v>48.58</v>
      </c>
      <c r="L42" s="100">
        <v>9.93</v>
      </c>
      <c r="M42" s="100">
        <v>1.06</v>
      </c>
      <c r="N42" s="100">
        <v>250.7</v>
      </c>
      <c r="O42" s="100">
        <v>0</v>
      </c>
      <c r="P42" s="100">
        <v>0.99</v>
      </c>
      <c r="Q42" s="100">
        <v>9.32</v>
      </c>
      <c r="R42" s="6"/>
      <c r="S42" s="6"/>
      <c r="T42" s="156"/>
      <c r="U42" s="6"/>
    </row>
    <row r="43" spans="1:21" customFormat="1">
      <c r="A43" s="201" t="s">
        <v>1526</v>
      </c>
      <c r="B43" s="100">
        <v>31.87</v>
      </c>
      <c r="C43" s="100">
        <v>19.399999999999999</v>
      </c>
      <c r="D43" s="100">
        <v>35.69</v>
      </c>
      <c r="E43" s="100">
        <v>6.77</v>
      </c>
      <c r="F43" s="100">
        <v>2</v>
      </c>
      <c r="G43" s="100">
        <v>130.4</v>
      </c>
      <c r="H43" s="100">
        <v>62.91</v>
      </c>
      <c r="I43" s="100">
        <v>17.45</v>
      </c>
      <c r="J43" s="100">
        <v>0.84</v>
      </c>
      <c r="K43" s="100">
        <v>38</v>
      </c>
      <c r="L43" s="100">
        <v>11.31</v>
      </c>
      <c r="M43" s="100">
        <v>3.48</v>
      </c>
      <c r="N43" s="100">
        <v>291.39999999999998</v>
      </c>
      <c r="O43" s="100">
        <v>0</v>
      </c>
      <c r="P43" s="100">
        <v>0.97</v>
      </c>
      <c r="Q43" s="100">
        <v>9.32</v>
      </c>
      <c r="R43" s="6"/>
      <c r="S43" s="6"/>
      <c r="T43" s="156"/>
      <c r="U43" s="6"/>
    </row>
    <row r="44" spans="1:21" customFormat="1">
      <c r="A44" s="201" t="s">
        <v>1527</v>
      </c>
      <c r="B44" s="100">
        <v>30.56</v>
      </c>
      <c r="C44" s="100">
        <v>19.32</v>
      </c>
      <c r="D44" s="100">
        <v>34.6</v>
      </c>
      <c r="E44" s="100">
        <v>6.63</v>
      </c>
      <c r="F44" s="100">
        <v>2</v>
      </c>
      <c r="G44" s="100">
        <v>130.4</v>
      </c>
      <c r="H44" s="100">
        <v>62.91</v>
      </c>
      <c r="I44" s="100">
        <v>17.25</v>
      </c>
      <c r="J44" s="100">
        <v>0.67</v>
      </c>
      <c r="K44" s="100">
        <v>6.3</v>
      </c>
      <c r="L44" s="100">
        <v>18.91</v>
      </c>
      <c r="M44" s="100">
        <v>21.59</v>
      </c>
      <c r="N44" s="100">
        <v>330.2</v>
      </c>
      <c r="O44" s="100">
        <v>0</v>
      </c>
      <c r="P44" s="100">
        <v>0.94</v>
      </c>
      <c r="Q44" s="100">
        <v>9.32</v>
      </c>
      <c r="R44" s="6"/>
      <c r="S44" s="6"/>
      <c r="T44" s="156"/>
      <c r="U44" s="6"/>
    </row>
    <row r="45" spans="1:21" customFormat="1">
      <c r="A45" s="201" t="s">
        <v>1528</v>
      </c>
      <c r="B45" s="100">
        <v>29.47</v>
      </c>
      <c r="C45" s="100">
        <v>19.13</v>
      </c>
      <c r="D45" s="100">
        <v>33.630000000000003</v>
      </c>
      <c r="E45" s="100">
        <v>6.6</v>
      </c>
      <c r="F45" s="100">
        <v>2</v>
      </c>
      <c r="G45" s="100">
        <v>124.21</v>
      </c>
      <c r="H45" s="100">
        <v>59.01</v>
      </c>
      <c r="I45" s="100">
        <v>16.940000000000001</v>
      </c>
      <c r="J45" s="100">
        <v>0.75</v>
      </c>
      <c r="K45" s="100">
        <v>28.95</v>
      </c>
      <c r="L45" s="100">
        <v>14.21</v>
      </c>
      <c r="M45" s="100">
        <v>8.89</v>
      </c>
      <c r="N45" s="100">
        <v>370.5</v>
      </c>
      <c r="O45" s="100">
        <v>0</v>
      </c>
      <c r="P45" s="100">
        <v>0.93</v>
      </c>
      <c r="Q45" s="100">
        <v>9.32</v>
      </c>
      <c r="R45" s="6"/>
      <c r="S45" s="6"/>
      <c r="T45" s="156"/>
      <c r="U45" s="6"/>
    </row>
    <row r="46" spans="1:21" customFormat="1">
      <c r="A46" s="201" t="s">
        <v>1529</v>
      </c>
      <c r="B46" s="100">
        <v>28.31</v>
      </c>
      <c r="C46" s="100">
        <v>19.12</v>
      </c>
      <c r="D46" s="100">
        <v>32.69</v>
      </c>
      <c r="E46" s="100">
        <v>6.57</v>
      </c>
      <c r="F46" s="100">
        <v>2</v>
      </c>
      <c r="G46" s="100">
        <v>114.93</v>
      </c>
      <c r="H46" s="100">
        <v>55.55</v>
      </c>
      <c r="I46" s="100">
        <v>16.649999999999999</v>
      </c>
      <c r="J46" s="100">
        <v>0.96</v>
      </c>
      <c r="K46" s="100">
        <v>35.68</v>
      </c>
      <c r="L46" s="100">
        <v>12.7</v>
      </c>
      <c r="M46" s="100">
        <v>4.24</v>
      </c>
      <c r="N46" s="100">
        <v>406.5</v>
      </c>
      <c r="O46" s="100">
        <v>0</v>
      </c>
      <c r="P46" s="100">
        <v>0.91</v>
      </c>
      <c r="Q46" s="100">
        <v>9.32</v>
      </c>
      <c r="R46" s="6"/>
      <c r="S46" s="6"/>
      <c r="T46" s="156"/>
      <c r="U46" s="6"/>
    </row>
    <row r="47" spans="1:21" customFormat="1">
      <c r="A47" s="201" t="s">
        <v>1530</v>
      </c>
      <c r="B47" s="100">
        <v>27.16</v>
      </c>
      <c r="C47" s="100">
        <v>19.28</v>
      </c>
      <c r="D47" s="100">
        <v>31.85</v>
      </c>
      <c r="E47" s="100">
        <v>6.45</v>
      </c>
      <c r="F47" s="100">
        <v>2</v>
      </c>
      <c r="G47" s="100">
        <v>114.93</v>
      </c>
      <c r="H47" s="100">
        <v>55.55</v>
      </c>
      <c r="I47" s="100">
        <v>16.41</v>
      </c>
      <c r="J47" s="100">
        <v>1.24</v>
      </c>
      <c r="K47" s="100">
        <v>36.49</v>
      </c>
      <c r="L47" s="100">
        <v>11.37</v>
      </c>
      <c r="M47" s="100">
        <v>3.68</v>
      </c>
      <c r="N47" s="100">
        <v>290.39999999999998</v>
      </c>
      <c r="O47" s="100">
        <v>0</v>
      </c>
      <c r="P47" s="100">
        <v>0.9</v>
      </c>
      <c r="Q47" s="100">
        <v>9.32</v>
      </c>
      <c r="R47" s="6"/>
      <c r="S47" s="6"/>
      <c r="T47" s="156"/>
      <c r="U47" s="6"/>
    </row>
    <row r="48" spans="1:21" customFormat="1">
      <c r="A48" s="201" t="s">
        <v>1531</v>
      </c>
      <c r="B48" s="100">
        <v>26.18</v>
      </c>
      <c r="C48" s="100">
        <v>19.53</v>
      </c>
      <c r="D48" s="100">
        <v>31.2</v>
      </c>
      <c r="E48" s="100">
        <v>6.71</v>
      </c>
      <c r="F48" s="100">
        <v>2</v>
      </c>
      <c r="G48" s="100">
        <v>114.93</v>
      </c>
      <c r="H48" s="100">
        <v>55.55</v>
      </c>
      <c r="I48" s="100">
        <v>16.18</v>
      </c>
      <c r="J48" s="100">
        <v>0.84</v>
      </c>
      <c r="K48" s="100">
        <v>56.58</v>
      </c>
      <c r="L48" s="100">
        <v>12.77</v>
      </c>
      <c r="M48" s="100">
        <v>5.1100000000000003</v>
      </c>
      <c r="N48" s="100">
        <v>382.4</v>
      </c>
      <c r="O48" s="100">
        <v>0</v>
      </c>
      <c r="P48" s="100">
        <v>0.88</v>
      </c>
      <c r="Q48" s="100">
        <v>9.32</v>
      </c>
      <c r="R48" s="6"/>
      <c r="S48" s="6"/>
      <c r="T48" s="156"/>
      <c r="U48" s="6"/>
    </row>
    <row r="49" spans="1:21" customFormat="1">
      <c r="A49" s="201" t="s">
        <v>1532</v>
      </c>
      <c r="B49" s="100">
        <v>25.22</v>
      </c>
      <c r="C49" s="100">
        <v>20.62</v>
      </c>
      <c r="D49" s="100">
        <v>31</v>
      </c>
      <c r="E49" s="100">
        <v>5.97</v>
      </c>
      <c r="F49" s="100">
        <v>1.97</v>
      </c>
      <c r="G49" s="100">
        <v>109.41</v>
      </c>
      <c r="H49" s="100">
        <v>53.85</v>
      </c>
      <c r="I49" s="100">
        <v>15.9</v>
      </c>
      <c r="J49" s="100">
        <v>1.06</v>
      </c>
      <c r="K49" s="100">
        <v>47.12</v>
      </c>
      <c r="L49" s="100">
        <v>12.04</v>
      </c>
      <c r="M49" s="100">
        <v>0.31</v>
      </c>
      <c r="N49" s="100">
        <v>504.5</v>
      </c>
      <c r="O49" s="100">
        <v>0</v>
      </c>
      <c r="P49" s="100">
        <v>0.84</v>
      </c>
      <c r="Q49" s="100">
        <v>9.32</v>
      </c>
      <c r="R49" s="6"/>
      <c r="S49" s="6"/>
      <c r="T49" s="156"/>
      <c r="U49" s="6"/>
    </row>
    <row r="50" spans="1:21" customFormat="1">
      <c r="A50" s="201" t="s">
        <v>1533</v>
      </c>
      <c r="B50" s="100">
        <v>22.79</v>
      </c>
      <c r="C50" s="100">
        <v>23.64</v>
      </c>
      <c r="D50" s="100">
        <v>30.63</v>
      </c>
      <c r="E50" s="100">
        <v>7.32</v>
      </c>
      <c r="F50" s="100">
        <v>3.02</v>
      </c>
      <c r="G50" s="100">
        <v>101.13</v>
      </c>
      <c r="H50" s="100">
        <v>52.35</v>
      </c>
      <c r="I50" s="100">
        <v>15.58</v>
      </c>
      <c r="J50" s="100">
        <v>0.86</v>
      </c>
      <c r="K50" s="100">
        <v>45.04</v>
      </c>
      <c r="L50" s="100">
        <v>14.66</v>
      </c>
      <c r="M50" s="100">
        <v>6.23</v>
      </c>
      <c r="N50" s="100">
        <v>534.9</v>
      </c>
      <c r="O50" s="100">
        <v>0</v>
      </c>
      <c r="P50" s="100">
        <v>0.79</v>
      </c>
      <c r="Q50" s="100">
        <v>9.32</v>
      </c>
      <c r="R50" s="6"/>
      <c r="S50" s="6"/>
      <c r="T50" s="156"/>
      <c r="U50" s="6"/>
    </row>
    <row r="51" spans="1:21" customFormat="1">
      <c r="A51" s="201" t="s">
        <v>1534</v>
      </c>
      <c r="B51" s="100">
        <v>18.809999999999999</v>
      </c>
      <c r="C51" s="100">
        <v>26.36</v>
      </c>
      <c r="D51" s="100">
        <v>28.86</v>
      </c>
      <c r="E51" s="100">
        <v>7.47</v>
      </c>
      <c r="F51" s="100">
        <v>4.5199999999999996</v>
      </c>
      <c r="G51" s="100">
        <v>101.13</v>
      </c>
      <c r="H51" s="100">
        <v>52.35</v>
      </c>
      <c r="I51" s="100">
        <v>15.04</v>
      </c>
      <c r="J51" s="100">
        <v>1.0900000000000001</v>
      </c>
      <c r="K51" s="100">
        <v>45.96</v>
      </c>
      <c r="L51" s="100">
        <v>12.84</v>
      </c>
      <c r="M51" s="100">
        <v>1.07</v>
      </c>
      <c r="N51" s="100">
        <v>555.9</v>
      </c>
      <c r="O51" s="100">
        <v>0</v>
      </c>
      <c r="P51" s="100">
        <v>0.75</v>
      </c>
      <c r="Q51" s="100">
        <v>9.32</v>
      </c>
      <c r="R51" s="6"/>
      <c r="S51" s="6"/>
      <c r="T51" s="156"/>
      <c r="U51" s="6"/>
    </row>
    <row r="52" spans="1:21" customFormat="1">
      <c r="A52" s="201" t="s">
        <v>1535</v>
      </c>
      <c r="B52" s="100">
        <v>15.46</v>
      </c>
      <c r="C52" s="100">
        <v>27.03</v>
      </c>
      <c r="D52" s="100">
        <v>26.52</v>
      </c>
      <c r="E52" s="100">
        <v>7.86</v>
      </c>
      <c r="F52" s="100">
        <v>5.01</v>
      </c>
      <c r="G52" s="100">
        <v>101.13</v>
      </c>
      <c r="H52" s="100">
        <v>52.35</v>
      </c>
      <c r="I52" s="100">
        <v>14.23</v>
      </c>
      <c r="J52" s="100">
        <v>0.64</v>
      </c>
      <c r="K52" s="100">
        <v>38.19</v>
      </c>
      <c r="L52" s="100">
        <v>14.69</v>
      </c>
      <c r="M52" s="100">
        <v>6.41</v>
      </c>
      <c r="N52" s="100">
        <v>525.70000000000005</v>
      </c>
      <c r="O52" s="100">
        <v>0</v>
      </c>
      <c r="P52" s="100">
        <v>0.7</v>
      </c>
      <c r="Q52" s="100">
        <v>9.32</v>
      </c>
      <c r="R52" s="6"/>
      <c r="S52" s="6"/>
      <c r="T52" s="156"/>
      <c r="U52" s="6"/>
    </row>
    <row r="53" spans="1:21" customFormat="1">
      <c r="A53" s="201" t="s">
        <v>1536</v>
      </c>
      <c r="B53" s="100">
        <v>10.8</v>
      </c>
      <c r="C53" s="100">
        <v>28.08</v>
      </c>
      <c r="D53" s="100">
        <v>23.33</v>
      </c>
      <c r="E53" s="100">
        <v>8.36</v>
      </c>
      <c r="F53" s="100">
        <v>6.7</v>
      </c>
      <c r="G53" s="100">
        <v>79.77</v>
      </c>
      <c r="H53" s="100">
        <v>32.200000000000003</v>
      </c>
      <c r="I53" s="100">
        <v>13.57</v>
      </c>
      <c r="J53" s="100">
        <v>0.76</v>
      </c>
      <c r="K53" s="100">
        <v>63.76</v>
      </c>
      <c r="L53" s="100">
        <v>14.9</v>
      </c>
      <c r="M53" s="100">
        <v>5.69</v>
      </c>
      <c r="N53" s="100">
        <v>586.4</v>
      </c>
      <c r="O53" s="100">
        <v>0</v>
      </c>
      <c r="P53" s="100">
        <v>0.64</v>
      </c>
      <c r="Q53" s="100">
        <v>9.32</v>
      </c>
      <c r="R53" s="6"/>
      <c r="S53" s="6"/>
      <c r="T53" s="156"/>
      <c r="U53" s="6"/>
    </row>
    <row r="54" spans="1:21" customFormat="1">
      <c r="A54" s="201" t="s">
        <v>1537</v>
      </c>
      <c r="B54" s="100">
        <v>7.56</v>
      </c>
      <c r="C54" s="100">
        <v>28.17</v>
      </c>
      <c r="D54" s="100">
        <v>20.78</v>
      </c>
      <c r="E54" s="100">
        <v>8.73</v>
      </c>
      <c r="F54" s="100">
        <v>6.75</v>
      </c>
      <c r="G54" s="100">
        <v>47.72</v>
      </c>
      <c r="H54" s="100">
        <v>14.85</v>
      </c>
      <c r="I54" s="100">
        <v>11.66</v>
      </c>
      <c r="J54" s="100">
        <v>0.68</v>
      </c>
      <c r="K54" s="100">
        <v>64.02</v>
      </c>
      <c r="L54" s="100">
        <v>15.66</v>
      </c>
      <c r="M54" s="100">
        <v>7.22</v>
      </c>
      <c r="N54" s="100">
        <v>602</v>
      </c>
      <c r="O54" s="100">
        <v>0</v>
      </c>
      <c r="P54" s="100">
        <v>0.6</v>
      </c>
      <c r="Q54" s="100">
        <v>9.32</v>
      </c>
      <c r="R54" s="6"/>
      <c r="S54" s="6"/>
      <c r="T54" s="156"/>
      <c r="U54" s="6"/>
    </row>
    <row r="55" spans="1:21" customFormat="1">
      <c r="A55" s="201" t="s">
        <v>1538</v>
      </c>
      <c r="B55" s="100">
        <v>5.8</v>
      </c>
      <c r="C55" s="100">
        <v>28.28</v>
      </c>
      <c r="D55" s="100">
        <v>19.420000000000002</v>
      </c>
      <c r="E55" s="100">
        <v>9.3000000000000007</v>
      </c>
      <c r="F55" s="100">
        <v>6.03</v>
      </c>
      <c r="G55" s="100">
        <v>47.72</v>
      </c>
      <c r="H55" s="100">
        <v>14.85</v>
      </c>
      <c r="I55" s="100">
        <v>9.6199999999999992</v>
      </c>
      <c r="J55" s="100">
        <v>0.74</v>
      </c>
      <c r="K55" s="100">
        <v>26.94</v>
      </c>
      <c r="L55" s="100">
        <v>17.37</v>
      </c>
      <c r="M55" s="100">
        <v>11.47</v>
      </c>
      <c r="N55" s="100">
        <v>599.4</v>
      </c>
      <c r="O55" s="100">
        <v>0</v>
      </c>
      <c r="P55" s="100">
        <v>0.56000000000000005</v>
      </c>
      <c r="Q55" s="100">
        <v>9.32</v>
      </c>
      <c r="R55" s="6"/>
      <c r="S55" s="6"/>
      <c r="T55" s="156"/>
      <c r="U55" s="6"/>
    </row>
    <row r="56" spans="1:21" customFormat="1">
      <c r="A56" s="201" t="s">
        <v>1539</v>
      </c>
      <c r="B56" s="100">
        <v>4.79</v>
      </c>
      <c r="C56" s="100">
        <v>28.36</v>
      </c>
      <c r="D56" s="100">
        <v>18.66</v>
      </c>
      <c r="E56" s="100">
        <v>9.0500000000000007</v>
      </c>
      <c r="F56" s="100">
        <v>6.03</v>
      </c>
      <c r="G56" s="100">
        <v>47.72</v>
      </c>
      <c r="H56" s="100">
        <v>14.85</v>
      </c>
      <c r="I56" s="100">
        <v>9.15</v>
      </c>
      <c r="J56" s="100">
        <v>0.92</v>
      </c>
      <c r="K56" s="100">
        <v>43.29</v>
      </c>
      <c r="L56" s="100">
        <v>15.25</v>
      </c>
      <c r="M56" s="100">
        <v>6</v>
      </c>
      <c r="N56" s="100">
        <v>606.4</v>
      </c>
      <c r="O56" s="100">
        <v>0</v>
      </c>
      <c r="P56" s="100">
        <v>0.52</v>
      </c>
      <c r="Q56" s="100">
        <v>9.32</v>
      </c>
      <c r="R56" s="6"/>
      <c r="S56" s="6"/>
      <c r="T56" s="156"/>
      <c r="U56" s="6"/>
    </row>
    <row r="57" spans="1:21" customFormat="1">
      <c r="A57" s="201" t="s">
        <v>1540</v>
      </c>
      <c r="B57" s="100">
        <v>3.78</v>
      </c>
      <c r="C57" s="100">
        <v>28.58</v>
      </c>
      <c r="D57" s="100">
        <v>17.96</v>
      </c>
      <c r="E57" s="100">
        <v>11.74</v>
      </c>
      <c r="F57" s="100">
        <v>6.03</v>
      </c>
      <c r="G57" s="100">
        <v>47.72</v>
      </c>
      <c r="H57" s="100">
        <v>14.85</v>
      </c>
      <c r="I57" s="100">
        <v>8.7200000000000006</v>
      </c>
      <c r="J57" s="100">
        <v>0.86</v>
      </c>
      <c r="K57" s="100">
        <v>33.700000000000003</v>
      </c>
      <c r="L57" s="100">
        <v>18.04</v>
      </c>
      <c r="M57" s="100">
        <v>13.26</v>
      </c>
      <c r="N57" s="100">
        <v>594.70000000000005</v>
      </c>
      <c r="O57" s="100">
        <v>0</v>
      </c>
      <c r="P57" s="100">
        <v>0.51</v>
      </c>
      <c r="Q57" s="100">
        <v>9.32</v>
      </c>
      <c r="R57" s="6"/>
      <c r="S57" s="6"/>
      <c r="T57" s="156"/>
      <c r="U57" s="6"/>
    </row>
    <row r="58" spans="1:21" customFormat="1">
      <c r="A58" s="201" t="s">
        <v>1541</v>
      </c>
      <c r="B58" s="100">
        <v>2.71</v>
      </c>
      <c r="C58" s="100">
        <v>28.45</v>
      </c>
      <c r="D58" s="100">
        <v>17.04</v>
      </c>
      <c r="E58" s="100">
        <v>11.89</v>
      </c>
      <c r="F58" s="100">
        <v>2.25</v>
      </c>
      <c r="G58" s="100">
        <v>47.72</v>
      </c>
      <c r="H58" s="100">
        <v>14.85</v>
      </c>
      <c r="I58" s="100">
        <v>8.2799999999999994</v>
      </c>
      <c r="J58" s="100">
        <v>0.9</v>
      </c>
      <c r="K58" s="100">
        <v>44.57</v>
      </c>
      <c r="L58" s="100">
        <v>15.78</v>
      </c>
      <c r="M58" s="100">
        <v>7.64</v>
      </c>
      <c r="N58" s="100">
        <v>593.79999999999995</v>
      </c>
      <c r="O58" s="100">
        <v>0</v>
      </c>
      <c r="P58" s="100">
        <v>0.47</v>
      </c>
      <c r="Q58" s="100">
        <v>9.32</v>
      </c>
      <c r="R58" s="6"/>
      <c r="S58" s="6"/>
      <c r="T58" s="156"/>
      <c r="U58" s="6"/>
    </row>
    <row r="59" spans="1:21" customFormat="1">
      <c r="A59" s="201" t="s">
        <v>1542</v>
      </c>
      <c r="B59" s="100">
        <v>2</v>
      </c>
      <c r="C59" s="100">
        <v>26.07</v>
      </c>
      <c r="D59" s="100">
        <v>15.22</v>
      </c>
      <c r="E59" s="100">
        <v>9.27</v>
      </c>
      <c r="F59" s="100">
        <v>10.16</v>
      </c>
      <c r="G59" s="100">
        <v>0</v>
      </c>
      <c r="H59" s="100">
        <v>0</v>
      </c>
      <c r="I59" s="100">
        <v>7.82</v>
      </c>
      <c r="J59" s="100">
        <v>0.83</v>
      </c>
      <c r="K59" s="100">
        <v>46.65</v>
      </c>
      <c r="L59" s="100">
        <v>14.92</v>
      </c>
      <c r="M59" s="100">
        <v>5.71</v>
      </c>
      <c r="N59" s="100">
        <v>580.79999999999995</v>
      </c>
      <c r="O59" s="100">
        <v>0</v>
      </c>
      <c r="P59" s="100">
        <v>0.43</v>
      </c>
      <c r="Q59" s="100">
        <v>9.32</v>
      </c>
      <c r="R59" s="6"/>
      <c r="S59" s="6"/>
      <c r="T59" s="156"/>
      <c r="U59" s="6"/>
    </row>
    <row r="60" spans="1:21" customFormat="1">
      <c r="A60" s="201" t="s">
        <v>1543</v>
      </c>
      <c r="B60" s="100">
        <v>1.88</v>
      </c>
      <c r="C60" s="100">
        <v>23.77</v>
      </c>
      <c r="D60" s="100">
        <v>13.93</v>
      </c>
      <c r="E60" s="100">
        <v>8.24</v>
      </c>
      <c r="F60" s="100">
        <v>10.3</v>
      </c>
      <c r="G60" s="100">
        <v>0</v>
      </c>
      <c r="H60" s="100">
        <v>0</v>
      </c>
      <c r="I60" s="100">
        <v>7.56</v>
      </c>
      <c r="J60" s="100">
        <v>0.99</v>
      </c>
      <c r="K60" s="100">
        <v>39.200000000000003</v>
      </c>
      <c r="L60" s="100">
        <v>15.16</v>
      </c>
      <c r="M60" s="100">
        <v>7.48</v>
      </c>
      <c r="N60" s="100">
        <v>560.6</v>
      </c>
      <c r="O60" s="100">
        <v>0</v>
      </c>
      <c r="P60" s="100">
        <v>0.41</v>
      </c>
      <c r="Q60" s="100">
        <v>9.32</v>
      </c>
      <c r="R60" s="6"/>
      <c r="S60" s="6"/>
      <c r="T60" s="156"/>
      <c r="U60" s="6"/>
    </row>
    <row r="61" spans="1:21" customFormat="1">
      <c r="A61" s="201" t="s">
        <v>1544</v>
      </c>
      <c r="B61" s="100">
        <v>1.9</v>
      </c>
      <c r="C61" s="100">
        <v>22.25</v>
      </c>
      <c r="D61" s="100">
        <v>13.15</v>
      </c>
      <c r="E61" s="100">
        <v>7.95</v>
      </c>
      <c r="F61" s="100">
        <v>9.09</v>
      </c>
      <c r="G61" s="100">
        <v>0</v>
      </c>
      <c r="H61" s="100">
        <v>0</v>
      </c>
      <c r="I61" s="100">
        <v>8.9700000000000006</v>
      </c>
      <c r="J61" s="100">
        <v>0.67</v>
      </c>
      <c r="K61" s="100">
        <v>28.47</v>
      </c>
      <c r="L61" s="100">
        <v>19.57</v>
      </c>
      <c r="M61" s="100">
        <v>17.850000000000001</v>
      </c>
      <c r="N61" s="100">
        <v>558.5</v>
      </c>
      <c r="O61" s="100">
        <v>0</v>
      </c>
      <c r="P61" s="100">
        <v>0.4</v>
      </c>
      <c r="Q61" s="100">
        <v>9.32</v>
      </c>
      <c r="R61" s="6"/>
      <c r="S61" s="6"/>
      <c r="T61" s="156"/>
      <c r="U61" s="6"/>
    </row>
    <row r="62" spans="1:21" customFormat="1">
      <c r="A62" s="201" t="s">
        <v>1545</v>
      </c>
      <c r="B62" s="100">
        <v>2.12</v>
      </c>
      <c r="C62" s="100">
        <v>22.95</v>
      </c>
      <c r="D62" s="100">
        <v>13.69</v>
      </c>
      <c r="E62" s="100">
        <v>7.08</v>
      </c>
      <c r="F62" s="100">
        <v>11.63</v>
      </c>
      <c r="G62" s="100">
        <v>0</v>
      </c>
      <c r="H62" s="100">
        <v>0</v>
      </c>
      <c r="I62" s="100">
        <v>9.15</v>
      </c>
      <c r="J62" s="100">
        <v>0.87</v>
      </c>
      <c r="K62" s="100">
        <v>26.21</v>
      </c>
      <c r="L62" s="100">
        <v>15.94</v>
      </c>
      <c r="M62" s="100">
        <v>9.49</v>
      </c>
      <c r="N62" s="100">
        <v>528.6</v>
      </c>
      <c r="O62" s="100">
        <v>0</v>
      </c>
      <c r="P62" s="100">
        <v>0.39</v>
      </c>
      <c r="Q62" s="100">
        <v>9.32</v>
      </c>
      <c r="R62" s="6"/>
      <c r="S62" s="6"/>
      <c r="T62" s="156"/>
      <c r="U62" s="6"/>
    </row>
    <row r="63" spans="1:21" customFormat="1">
      <c r="A63" s="201" t="s">
        <v>1546</v>
      </c>
      <c r="B63" s="100">
        <v>1.9</v>
      </c>
      <c r="C63" s="100">
        <v>20.87</v>
      </c>
      <c r="D63" s="100">
        <v>12.43</v>
      </c>
      <c r="E63" s="100">
        <v>6.57</v>
      </c>
      <c r="F63" s="100">
        <v>9.9700000000000006</v>
      </c>
      <c r="G63" s="100">
        <v>3.49</v>
      </c>
      <c r="H63" s="100">
        <v>0.99</v>
      </c>
      <c r="I63" s="100">
        <v>7.44</v>
      </c>
      <c r="J63" s="100">
        <v>0.68</v>
      </c>
      <c r="K63" s="100">
        <v>34.130000000000003</v>
      </c>
      <c r="L63" s="100">
        <v>17.64</v>
      </c>
      <c r="M63" s="100">
        <v>14.32</v>
      </c>
      <c r="N63" s="100">
        <v>506.6</v>
      </c>
      <c r="O63" s="100">
        <v>0</v>
      </c>
      <c r="P63" s="100">
        <v>0.37</v>
      </c>
      <c r="Q63" s="100">
        <v>9.32</v>
      </c>
      <c r="R63" s="6"/>
      <c r="S63" s="6"/>
      <c r="T63" s="156"/>
      <c r="U63" s="6"/>
    </row>
    <row r="64" spans="1:21" customFormat="1">
      <c r="A64" s="201" t="s">
        <v>1547</v>
      </c>
      <c r="B64" s="100">
        <v>1.77</v>
      </c>
      <c r="C64" s="100">
        <v>19.420000000000002</v>
      </c>
      <c r="D64" s="100">
        <v>11.57</v>
      </c>
      <c r="E64" s="100">
        <v>5.27</v>
      </c>
      <c r="F64" s="100">
        <v>5.38</v>
      </c>
      <c r="G64" s="100">
        <v>34.89</v>
      </c>
      <c r="H64" s="100">
        <v>8.19</v>
      </c>
      <c r="I64" s="100">
        <v>7.08</v>
      </c>
      <c r="J64" s="100">
        <v>0.81</v>
      </c>
      <c r="K64" s="100">
        <v>25.41</v>
      </c>
      <c r="L64" s="100">
        <v>15.46</v>
      </c>
      <c r="M64" s="100">
        <v>14.39</v>
      </c>
      <c r="N64" s="100">
        <v>265.60000000000002</v>
      </c>
      <c r="O64" s="100">
        <v>0</v>
      </c>
      <c r="P64" s="100">
        <v>0.37</v>
      </c>
      <c r="Q64" s="100">
        <v>9.32</v>
      </c>
      <c r="R64" s="6"/>
      <c r="S64" s="6"/>
      <c r="T64" s="156"/>
      <c r="U64" s="6"/>
    </row>
    <row r="65" spans="1:21" customFormat="1">
      <c r="A65" s="201" t="s">
        <v>1548</v>
      </c>
      <c r="B65" s="100">
        <v>1.79</v>
      </c>
      <c r="C65" s="100">
        <v>18.52</v>
      </c>
      <c r="D65" s="100">
        <v>11.11</v>
      </c>
      <c r="E65" s="100">
        <v>4.5599999999999996</v>
      </c>
      <c r="F65" s="100">
        <v>3.58</v>
      </c>
      <c r="G65" s="100">
        <v>34.89</v>
      </c>
      <c r="H65" s="100">
        <v>8.19</v>
      </c>
      <c r="I65" s="100">
        <v>6.9</v>
      </c>
      <c r="J65" s="100">
        <v>0.62</v>
      </c>
      <c r="K65" s="100">
        <v>43.21</v>
      </c>
      <c r="L65" s="100">
        <v>12.41</v>
      </c>
      <c r="M65" s="100">
        <v>10.1</v>
      </c>
      <c r="N65" s="100">
        <v>130</v>
      </c>
      <c r="O65" s="100">
        <v>0</v>
      </c>
      <c r="P65" s="100">
        <v>0.35</v>
      </c>
      <c r="Q65" s="100">
        <v>9.32</v>
      </c>
      <c r="R65" s="6"/>
      <c r="S65" s="6"/>
      <c r="T65" s="156"/>
      <c r="U65" s="6"/>
    </row>
    <row r="66" spans="1:21" customFormat="1">
      <c r="A66" s="201" t="s">
        <v>1549</v>
      </c>
      <c r="B66" s="100">
        <v>1.91</v>
      </c>
      <c r="C66" s="100">
        <v>18.09</v>
      </c>
      <c r="D66" s="100">
        <v>10.99</v>
      </c>
      <c r="E66" s="100">
        <v>6.57</v>
      </c>
      <c r="F66" s="100">
        <v>7.19</v>
      </c>
      <c r="G66" s="100">
        <v>34.89</v>
      </c>
      <c r="H66" s="100">
        <v>8.19</v>
      </c>
      <c r="I66" s="100">
        <v>6.84</v>
      </c>
      <c r="J66" s="100">
        <v>0.86</v>
      </c>
      <c r="K66" s="100">
        <v>11.85</v>
      </c>
      <c r="L66" s="100">
        <v>16.61</v>
      </c>
      <c r="M66" s="100">
        <v>21.92</v>
      </c>
      <c r="N66" s="100">
        <v>97.3</v>
      </c>
      <c r="O66" s="100">
        <v>0</v>
      </c>
      <c r="P66" s="100">
        <v>0.35</v>
      </c>
      <c r="Q66" s="100">
        <v>9.32</v>
      </c>
      <c r="R66" s="6"/>
      <c r="S66" s="6"/>
      <c r="T66" s="156"/>
      <c r="U66" s="6"/>
    </row>
    <row r="67" spans="1:21" customFormat="1">
      <c r="A67" s="201" t="s">
        <v>1550</v>
      </c>
      <c r="B67" s="100">
        <v>1.94</v>
      </c>
      <c r="C67" s="100">
        <v>18.760000000000002</v>
      </c>
      <c r="D67" s="100">
        <v>11.36</v>
      </c>
      <c r="E67" s="100">
        <v>11.07</v>
      </c>
      <c r="F67" s="100">
        <v>7.19</v>
      </c>
      <c r="G67" s="100">
        <v>34.68</v>
      </c>
      <c r="H67" s="100">
        <v>8.24</v>
      </c>
      <c r="I67" s="100">
        <v>7.65</v>
      </c>
      <c r="J67" s="100">
        <v>0.64</v>
      </c>
      <c r="K67" s="100">
        <v>44.53</v>
      </c>
      <c r="L67" s="100">
        <v>13.46</v>
      </c>
      <c r="M67" s="100">
        <v>13.63</v>
      </c>
      <c r="N67" s="100">
        <v>89.6</v>
      </c>
      <c r="O67" s="100">
        <v>0</v>
      </c>
      <c r="P67" s="100">
        <v>0.33</v>
      </c>
      <c r="Q67" s="100">
        <v>9.32</v>
      </c>
      <c r="R67" s="6"/>
      <c r="S67" s="6"/>
      <c r="T67" s="156"/>
      <c r="U67" s="6"/>
    </row>
    <row r="68" spans="1:21" customFormat="1">
      <c r="A68" s="201" t="s">
        <v>1551</v>
      </c>
      <c r="B68" s="100">
        <v>2.11</v>
      </c>
      <c r="C68" s="100">
        <v>20.36</v>
      </c>
      <c r="D68" s="100">
        <v>12.33</v>
      </c>
      <c r="E68" s="100">
        <v>10.69</v>
      </c>
      <c r="F68" s="100">
        <v>16.059999999999999</v>
      </c>
      <c r="G68" s="100">
        <v>32.82</v>
      </c>
      <c r="H68" s="100">
        <v>8.61</v>
      </c>
      <c r="I68" s="100">
        <v>7.58</v>
      </c>
      <c r="J68" s="100">
        <v>0.62</v>
      </c>
      <c r="K68" s="100">
        <v>26.15</v>
      </c>
      <c r="L68" s="100">
        <v>13.91</v>
      </c>
      <c r="M68" s="100">
        <v>14.72</v>
      </c>
      <c r="N68" s="100">
        <v>87.4</v>
      </c>
      <c r="O68" s="100">
        <v>0</v>
      </c>
      <c r="P68" s="100">
        <v>0.33</v>
      </c>
      <c r="Q68" s="100">
        <v>9.32</v>
      </c>
      <c r="R68" s="6"/>
      <c r="S68" s="6"/>
      <c r="T68" s="156"/>
      <c r="U68" s="6"/>
    </row>
    <row r="69" spans="1:21" customFormat="1">
      <c r="A69" s="201" t="s">
        <v>1552</v>
      </c>
      <c r="B69" s="100">
        <v>2</v>
      </c>
      <c r="C69" s="100">
        <v>20</v>
      </c>
      <c r="D69" s="100">
        <v>12.06</v>
      </c>
      <c r="E69" s="100">
        <v>8.7799999999999994</v>
      </c>
      <c r="F69" s="100">
        <v>10.3</v>
      </c>
      <c r="G69" s="100">
        <v>32.82</v>
      </c>
      <c r="H69" s="100">
        <v>8.61</v>
      </c>
      <c r="I69" s="100">
        <v>6.58</v>
      </c>
      <c r="J69" s="100">
        <v>0.83</v>
      </c>
      <c r="K69" s="100">
        <v>49.4</v>
      </c>
      <c r="L69" s="100">
        <v>9.82</v>
      </c>
      <c r="M69" s="100">
        <v>4.93</v>
      </c>
      <c r="N69" s="100">
        <v>74</v>
      </c>
      <c r="O69" s="100">
        <v>0</v>
      </c>
      <c r="P69" s="100">
        <v>0.33</v>
      </c>
      <c r="Q69" s="100">
        <v>9.32</v>
      </c>
      <c r="R69" s="6"/>
      <c r="S69" s="6"/>
      <c r="T69" s="156"/>
      <c r="U69" s="6"/>
    </row>
    <row r="70" spans="1:21" customFormat="1">
      <c r="A70" s="201" t="s">
        <v>1553</v>
      </c>
      <c r="B70" s="100">
        <v>1.95</v>
      </c>
      <c r="C70" s="100">
        <v>19.920000000000002</v>
      </c>
      <c r="D70" s="100">
        <v>11.97</v>
      </c>
      <c r="E70" s="100">
        <v>8.74</v>
      </c>
      <c r="F70" s="100">
        <v>8.42</v>
      </c>
      <c r="G70" s="100">
        <v>32.82</v>
      </c>
      <c r="H70" s="100">
        <v>8.61</v>
      </c>
      <c r="I70" s="100">
        <v>6.51</v>
      </c>
      <c r="J70" s="100">
        <v>0.66</v>
      </c>
      <c r="K70" s="100">
        <v>41.26</v>
      </c>
      <c r="L70" s="100">
        <v>10.57</v>
      </c>
      <c r="M70" s="100">
        <v>7.05</v>
      </c>
      <c r="N70" s="100">
        <v>63</v>
      </c>
      <c r="O70" s="100">
        <v>0</v>
      </c>
      <c r="P70" s="100">
        <v>0.32</v>
      </c>
      <c r="Q70" s="100">
        <v>9.32</v>
      </c>
      <c r="R70" s="6"/>
      <c r="S70" s="6"/>
      <c r="T70" s="156"/>
      <c r="U70" s="6"/>
    </row>
    <row r="71" spans="1:21" customFormat="1">
      <c r="A71" s="201" t="s">
        <v>1554</v>
      </c>
      <c r="B71" s="100">
        <v>2.2799999999999998</v>
      </c>
      <c r="C71" s="100">
        <v>24.38</v>
      </c>
      <c r="D71" s="100">
        <v>14.56</v>
      </c>
      <c r="E71" s="100">
        <v>9.06</v>
      </c>
      <c r="F71" s="100">
        <v>8.42</v>
      </c>
      <c r="G71" s="100">
        <v>32.79</v>
      </c>
      <c r="H71" s="100">
        <v>8.6</v>
      </c>
      <c r="I71" s="100">
        <v>6.35</v>
      </c>
      <c r="J71" s="100">
        <v>0.67</v>
      </c>
      <c r="K71" s="100">
        <v>33.700000000000003</v>
      </c>
      <c r="L71" s="100">
        <v>11.78</v>
      </c>
      <c r="M71" s="100">
        <v>10.130000000000001</v>
      </c>
      <c r="N71" s="100">
        <v>55.7</v>
      </c>
      <c r="O71" s="100">
        <v>0</v>
      </c>
      <c r="P71" s="100">
        <v>0.32</v>
      </c>
      <c r="Q71" s="100">
        <v>9.32</v>
      </c>
      <c r="R71" s="6"/>
      <c r="S71" s="6"/>
      <c r="T71" s="156"/>
      <c r="U71" s="6"/>
    </row>
    <row r="72" spans="1:21" customFormat="1">
      <c r="A72" s="201" t="s">
        <v>1555</v>
      </c>
      <c r="B72" s="100">
        <v>2.2799999999999998</v>
      </c>
      <c r="C72" s="100">
        <v>27.14</v>
      </c>
      <c r="D72" s="100">
        <v>16.010000000000002</v>
      </c>
      <c r="E72" s="100">
        <v>11.41</v>
      </c>
      <c r="F72" s="100">
        <v>8.42</v>
      </c>
      <c r="G72" s="100">
        <v>32.49</v>
      </c>
      <c r="H72" s="100">
        <v>8.4700000000000006</v>
      </c>
      <c r="I72" s="100">
        <v>7.71</v>
      </c>
      <c r="J72" s="100">
        <v>0.54</v>
      </c>
      <c r="K72" s="100">
        <v>29.01</v>
      </c>
      <c r="L72" s="100">
        <v>11.93</v>
      </c>
      <c r="M72" s="100">
        <v>11.37</v>
      </c>
      <c r="N72" s="100">
        <v>49.9</v>
      </c>
      <c r="O72" s="100">
        <v>0</v>
      </c>
      <c r="P72" s="100">
        <v>0.36</v>
      </c>
      <c r="Q72" s="100">
        <v>9.32</v>
      </c>
      <c r="R72" s="6"/>
      <c r="S72" s="6"/>
      <c r="T72" s="156"/>
      <c r="U72" s="6"/>
    </row>
    <row r="73" spans="1:21" customFormat="1">
      <c r="A73" s="201" t="s">
        <v>1556</v>
      </c>
      <c r="B73" s="100">
        <v>2.31</v>
      </c>
      <c r="C73" s="100">
        <v>28.41</v>
      </c>
      <c r="D73" s="100">
        <v>16.7</v>
      </c>
      <c r="E73" s="100">
        <v>13.08</v>
      </c>
      <c r="F73" s="100">
        <v>8.42</v>
      </c>
      <c r="G73" s="100">
        <v>32.49</v>
      </c>
      <c r="H73" s="100">
        <v>8.4700000000000006</v>
      </c>
      <c r="I73" s="100">
        <v>9.0399999999999991</v>
      </c>
      <c r="J73" s="100">
        <v>0.56999999999999995</v>
      </c>
      <c r="K73" s="100">
        <v>41.87</v>
      </c>
      <c r="L73" s="100">
        <v>10.15</v>
      </c>
      <c r="M73" s="100">
        <v>6.37</v>
      </c>
      <c r="N73" s="100">
        <v>41.9</v>
      </c>
      <c r="O73" s="100">
        <v>0</v>
      </c>
      <c r="P73" s="100">
        <v>0.39</v>
      </c>
      <c r="Q73" s="100">
        <v>9.32</v>
      </c>
      <c r="R73" s="6"/>
      <c r="S73" s="6"/>
      <c r="T73" s="156"/>
      <c r="U73" s="6"/>
    </row>
    <row r="74" spans="1:21" customFormat="1">
      <c r="A74" s="201" t="s">
        <v>1557</v>
      </c>
      <c r="B74" s="100">
        <v>2.5299999999999998</v>
      </c>
      <c r="C74" s="100">
        <v>30.93</v>
      </c>
      <c r="D74" s="100">
        <v>18.190000000000001</v>
      </c>
      <c r="E74" s="100">
        <v>14.83</v>
      </c>
      <c r="F74" s="100">
        <v>8.42</v>
      </c>
      <c r="G74" s="100">
        <v>32.49</v>
      </c>
      <c r="H74" s="100">
        <v>8.4700000000000006</v>
      </c>
      <c r="I74" s="100">
        <v>8.61</v>
      </c>
      <c r="J74" s="100">
        <v>0.37</v>
      </c>
      <c r="K74" s="100">
        <v>39.65</v>
      </c>
      <c r="L74" s="100">
        <v>9.9700000000000006</v>
      </c>
      <c r="M74" s="100">
        <v>6.18</v>
      </c>
      <c r="N74" s="100">
        <v>33.200000000000003</v>
      </c>
      <c r="O74" s="100">
        <v>0</v>
      </c>
      <c r="P74" s="100">
        <v>0.41</v>
      </c>
      <c r="Q74" s="100">
        <v>9.32</v>
      </c>
      <c r="R74" s="6"/>
      <c r="S74" s="6"/>
      <c r="T74" s="156"/>
      <c r="U74" s="6"/>
    </row>
    <row r="75" spans="1:21" customFormat="1">
      <c r="A75" s="201" t="s">
        <v>1558</v>
      </c>
      <c r="B75" s="100">
        <v>2.4700000000000002</v>
      </c>
      <c r="C75" s="100">
        <v>31.72</v>
      </c>
      <c r="D75" s="100">
        <v>18.55</v>
      </c>
      <c r="E75" s="100">
        <v>10.81</v>
      </c>
      <c r="F75" s="100">
        <v>8.42</v>
      </c>
      <c r="G75" s="100">
        <v>32.68</v>
      </c>
      <c r="H75" s="100">
        <v>8.6</v>
      </c>
      <c r="I75" s="100">
        <v>8.23</v>
      </c>
      <c r="J75" s="100">
        <v>0.37</v>
      </c>
      <c r="K75" s="100">
        <v>54.67</v>
      </c>
      <c r="L75" s="100">
        <v>8.75</v>
      </c>
      <c r="M75" s="100">
        <v>3.37</v>
      </c>
      <c r="N75" s="100">
        <v>24.8</v>
      </c>
      <c r="O75" s="100">
        <v>0</v>
      </c>
      <c r="P75" s="100">
        <v>0.42</v>
      </c>
      <c r="Q75" s="100">
        <v>9.32</v>
      </c>
      <c r="R75" s="6"/>
      <c r="S75" s="6"/>
      <c r="T75" s="156"/>
      <c r="U75" s="6"/>
    </row>
    <row r="76" spans="1:21" customFormat="1">
      <c r="A76" s="201" t="s">
        <v>1559</v>
      </c>
      <c r="B76" s="100">
        <v>2.08</v>
      </c>
      <c r="C76" s="100">
        <v>29.11</v>
      </c>
      <c r="D76" s="100">
        <v>16.88</v>
      </c>
      <c r="E76" s="100">
        <v>5.46</v>
      </c>
      <c r="F76" s="100">
        <v>8.42</v>
      </c>
      <c r="G76" s="100">
        <v>34.450000000000003</v>
      </c>
      <c r="H76" s="100">
        <v>9.6</v>
      </c>
      <c r="I76" s="100">
        <v>8.1199999999999992</v>
      </c>
      <c r="J76" s="100">
        <v>0.13</v>
      </c>
      <c r="K76" s="100">
        <v>110.73</v>
      </c>
      <c r="L76" s="100">
        <v>11.74</v>
      </c>
      <c r="M76" s="100">
        <v>11.16</v>
      </c>
      <c r="N76" s="100">
        <v>16.399999999999999</v>
      </c>
      <c r="O76" s="100">
        <v>0</v>
      </c>
      <c r="P76" s="100">
        <v>0.41</v>
      </c>
      <c r="Q76" s="100">
        <v>9.32</v>
      </c>
      <c r="R76" s="6"/>
      <c r="S76" s="6"/>
      <c r="T76" s="156"/>
      <c r="U76" s="6"/>
    </row>
    <row r="77" spans="1:21" customFormat="1">
      <c r="A77" s="201" t="s">
        <v>1560</v>
      </c>
      <c r="B77" s="100">
        <v>2.11</v>
      </c>
      <c r="C77" s="100">
        <v>26.4</v>
      </c>
      <c r="D77" s="100">
        <v>15.48</v>
      </c>
      <c r="E77" s="100">
        <v>4.3600000000000003</v>
      </c>
      <c r="F77" s="100">
        <v>8.42</v>
      </c>
      <c r="G77" s="100">
        <v>34.450000000000003</v>
      </c>
      <c r="H77" s="100">
        <v>9.6</v>
      </c>
      <c r="I77" s="100">
        <v>8.18</v>
      </c>
      <c r="J77" s="100">
        <v>0.4</v>
      </c>
      <c r="K77" s="100">
        <v>160.91</v>
      </c>
      <c r="L77" s="100">
        <v>15.43</v>
      </c>
      <c r="M77" s="100">
        <v>20.82</v>
      </c>
      <c r="N77" s="100">
        <v>8.6</v>
      </c>
      <c r="O77" s="100">
        <v>0</v>
      </c>
      <c r="P77" s="100">
        <v>0.42</v>
      </c>
      <c r="Q77" s="100">
        <v>9.32</v>
      </c>
      <c r="R77" s="6"/>
      <c r="S77" s="6"/>
      <c r="T77" s="156"/>
      <c r="U77" s="6"/>
    </row>
    <row r="78" spans="1:21" customFormat="1">
      <c r="A78" s="201" t="s">
        <v>1561</v>
      </c>
      <c r="B78" s="100">
        <v>2.11</v>
      </c>
      <c r="C78" s="100">
        <v>25.03</v>
      </c>
      <c r="D78" s="100">
        <v>14.77</v>
      </c>
      <c r="E78" s="100">
        <v>4.21</v>
      </c>
      <c r="F78" s="100">
        <v>8.42</v>
      </c>
      <c r="G78" s="100">
        <v>34.450000000000003</v>
      </c>
      <c r="H78" s="100">
        <v>9.6</v>
      </c>
      <c r="I78" s="100">
        <v>8.3000000000000007</v>
      </c>
      <c r="J78" s="100">
        <v>0.19</v>
      </c>
      <c r="K78" s="100">
        <v>158.61000000000001</v>
      </c>
      <c r="L78" s="100">
        <v>15.47</v>
      </c>
      <c r="M78" s="100">
        <v>21.01</v>
      </c>
      <c r="N78" s="100">
        <v>3.4</v>
      </c>
      <c r="O78" s="100">
        <v>0</v>
      </c>
      <c r="P78" s="100">
        <v>0.44</v>
      </c>
      <c r="Q78" s="100">
        <v>9.32</v>
      </c>
      <c r="R78" s="6"/>
      <c r="S78" s="6"/>
      <c r="T78" s="156"/>
      <c r="U78" s="6"/>
    </row>
    <row r="79" spans="1:21" customFormat="1">
      <c r="A79" s="201" t="s">
        <v>1562</v>
      </c>
      <c r="B79" s="100">
        <v>2.08</v>
      </c>
      <c r="C79" s="100">
        <v>25.64</v>
      </c>
      <c r="D79" s="100">
        <v>15.07</v>
      </c>
      <c r="E79" s="100">
        <v>3.75</v>
      </c>
      <c r="F79" s="100">
        <v>8.42</v>
      </c>
      <c r="G79" s="100">
        <v>34.979999999999997</v>
      </c>
      <c r="H79" s="100">
        <v>9.64</v>
      </c>
      <c r="I79" s="100">
        <v>8.4499999999999993</v>
      </c>
      <c r="J79" s="100">
        <v>0.23</v>
      </c>
      <c r="K79" s="100">
        <v>167.26</v>
      </c>
      <c r="L79" s="100">
        <v>15.43</v>
      </c>
      <c r="M79" s="100">
        <v>20.95</v>
      </c>
      <c r="N79" s="100">
        <v>2</v>
      </c>
      <c r="O79" s="100">
        <v>0</v>
      </c>
      <c r="P79" s="100">
        <v>0.45</v>
      </c>
      <c r="Q79" s="100">
        <v>9.32</v>
      </c>
      <c r="R79" s="6"/>
      <c r="S79" s="6"/>
      <c r="T79" s="156"/>
      <c r="U79" s="6"/>
    </row>
    <row r="80" spans="1:21" customFormat="1">
      <c r="A80" s="201" t="s">
        <v>1563</v>
      </c>
      <c r="B80" s="100">
        <v>2.33</v>
      </c>
      <c r="C80" s="100">
        <v>24.73</v>
      </c>
      <c r="D80" s="100">
        <v>14.78</v>
      </c>
      <c r="E80" s="100">
        <v>3.36</v>
      </c>
      <c r="F80" s="100">
        <v>8.42</v>
      </c>
      <c r="G80" s="100">
        <v>39.69</v>
      </c>
      <c r="H80" s="100">
        <v>9.98</v>
      </c>
      <c r="I80" s="100">
        <v>8.89</v>
      </c>
      <c r="J80" s="100">
        <v>0.25</v>
      </c>
      <c r="K80" s="100">
        <v>168</v>
      </c>
      <c r="L80" s="100">
        <v>15.97</v>
      </c>
      <c r="M80" s="100">
        <v>22.34</v>
      </c>
      <c r="N80" s="100">
        <v>1.8</v>
      </c>
      <c r="O80" s="100">
        <v>0</v>
      </c>
      <c r="P80" s="100">
        <v>0.45</v>
      </c>
      <c r="Q80" s="100">
        <v>9.32</v>
      </c>
      <c r="R80" s="6"/>
      <c r="S80" s="6"/>
      <c r="T80" s="156"/>
      <c r="U80" s="6"/>
    </row>
    <row r="81" spans="1:21" customFormat="1">
      <c r="A81" s="201" t="s">
        <v>1564</v>
      </c>
      <c r="B81" s="100">
        <v>2.76</v>
      </c>
      <c r="C81" s="100">
        <v>23.65</v>
      </c>
      <c r="D81" s="100">
        <v>14.57</v>
      </c>
      <c r="E81" s="100">
        <v>5.13</v>
      </c>
      <c r="F81" s="100">
        <v>8.42</v>
      </c>
      <c r="G81" s="100">
        <v>39.69</v>
      </c>
      <c r="H81" s="100">
        <v>9.98</v>
      </c>
      <c r="I81" s="100">
        <v>9.5</v>
      </c>
      <c r="J81" s="100">
        <v>0.31</v>
      </c>
      <c r="K81" s="100">
        <v>169.23</v>
      </c>
      <c r="L81" s="100">
        <v>16.059999999999999</v>
      </c>
      <c r="M81" s="100">
        <v>22.52</v>
      </c>
      <c r="N81" s="100">
        <v>1.7</v>
      </c>
      <c r="O81" s="100">
        <v>0</v>
      </c>
      <c r="P81" s="100">
        <v>0.46</v>
      </c>
      <c r="Q81" s="100">
        <v>9.32</v>
      </c>
      <c r="R81" s="6"/>
      <c r="S81" s="6"/>
      <c r="T81" s="156"/>
      <c r="U81" s="6"/>
    </row>
    <row r="82" spans="1:21" customFormat="1">
      <c r="A82" s="201" t="s">
        <v>1565</v>
      </c>
      <c r="B82" s="100">
        <v>3.37</v>
      </c>
      <c r="C82" s="100">
        <v>22.93</v>
      </c>
      <c r="D82" s="100">
        <v>14.68</v>
      </c>
      <c r="E82" s="100">
        <v>5.4</v>
      </c>
      <c r="F82" s="100">
        <v>8.42</v>
      </c>
      <c r="G82" s="100">
        <v>39.69</v>
      </c>
      <c r="H82" s="100">
        <v>9.98</v>
      </c>
      <c r="I82" s="100">
        <v>8.85</v>
      </c>
      <c r="J82" s="100">
        <v>0.24</v>
      </c>
      <c r="K82" s="100">
        <v>175.76</v>
      </c>
      <c r="L82" s="100">
        <v>16.78</v>
      </c>
      <c r="M82" s="100">
        <v>24.36</v>
      </c>
      <c r="N82" s="100">
        <v>1.6</v>
      </c>
      <c r="O82" s="100">
        <v>0</v>
      </c>
      <c r="P82" s="100">
        <v>0.46</v>
      </c>
      <c r="Q82" s="100">
        <v>9.32</v>
      </c>
      <c r="R82" s="6"/>
      <c r="S82" s="6"/>
      <c r="T82" s="156"/>
      <c r="U82" s="6"/>
    </row>
    <row r="83" spans="1:21" customFormat="1">
      <c r="A83" s="201" t="s">
        <v>1566</v>
      </c>
      <c r="B83" s="100">
        <v>3.91</v>
      </c>
      <c r="C83" s="100">
        <v>22.43</v>
      </c>
      <c r="D83" s="100">
        <v>14.85</v>
      </c>
      <c r="E83" s="100">
        <v>3.93</v>
      </c>
      <c r="F83" s="100">
        <v>8.42</v>
      </c>
      <c r="G83" s="100">
        <v>40.840000000000003</v>
      </c>
      <c r="H83" s="100">
        <v>10.27</v>
      </c>
      <c r="I83" s="100">
        <v>8</v>
      </c>
      <c r="J83" s="100">
        <v>0.28999999999999998</v>
      </c>
      <c r="K83" s="100">
        <v>173.5</v>
      </c>
      <c r="L83" s="100">
        <v>16.350000000000001</v>
      </c>
      <c r="M83" s="100">
        <v>23.34</v>
      </c>
      <c r="N83" s="100">
        <v>1.5</v>
      </c>
      <c r="O83" s="100">
        <v>0</v>
      </c>
      <c r="P83" s="100">
        <v>0.48</v>
      </c>
      <c r="Q83" s="100">
        <v>9.32</v>
      </c>
      <c r="R83" s="6"/>
      <c r="S83" s="6"/>
      <c r="T83" s="156"/>
      <c r="U83" s="6"/>
    </row>
    <row r="84" spans="1:21" customFormat="1">
      <c r="A84" s="201" t="s">
        <v>1567</v>
      </c>
      <c r="B84" s="100">
        <v>4.3</v>
      </c>
      <c r="C84" s="100">
        <v>21.76</v>
      </c>
      <c r="D84" s="100">
        <v>14.82</v>
      </c>
      <c r="E84" s="100">
        <v>5.7</v>
      </c>
      <c r="F84" s="100">
        <v>8.42</v>
      </c>
      <c r="G84" s="100">
        <v>51.2</v>
      </c>
      <c r="H84" s="100">
        <v>12.63</v>
      </c>
      <c r="I84" s="100">
        <v>8.27</v>
      </c>
      <c r="J84" s="100">
        <v>0.17</v>
      </c>
      <c r="K84" s="100">
        <v>184.12</v>
      </c>
      <c r="L84" s="100">
        <v>16.93</v>
      </c>
      <c r="M84" s="100">
        <v>24.73</v>
      </c>
      <c r="N84" s="100">
        <v>1.7</v>
      </c>
      <c r="O84" s="100">
        <v>0</v>
      </c>
      <c r="P84" s="100">
        <v>0.49</v>
      </c>
      <c r="Q84" s="100">
        <v>9.32</v>
      </c>
      <c r="R84" s="6"/>
      <c r="S84" s="6"/>
      <c r="T84" s="156"/>
      <c r="U84" s="6"/>
    </row>
    <row r="85" spans="1:21" customFormat="1">
      <c r="A85" s="201" t="s">
        <v>1568</v>
      </c>
      <c r="B85" s="100">
        <v>4.76</v>
      </c>
      <c r="C85" s="100">
        <v>21.16</v>
      </c>
      <c r="D85" s="100">
        <v>14.88</v>
      </c>
      <c r="E85" s="100">
        <v>5.74</v>
      </c>
      <c r="F85" s="100">
        <v>8.42</v>
      </c>
      <c r="G85" s="100">
        <v>51.2</v>
      </c>
      <c r="H85" s="100">
        <v>12.63</v>
      </c>
      <c r="I85" s="100">
        <v>8.5</v>
      </c>
      <c r="J85" s="100">
        <v>0.19</v>
      </c>
      <c r="K85" s="100">
        <v>194.55</v>
      </c>
      <c r="L85" s="100">
        <v>17.760000000000002</v>
      </c>
      <c r="M85" s="100">
        <v>26.8</v>
      </c>
      <c r="N85" s="100">
        <v>1.3</v>
      </c>
      <c r="O85" s="100">
        <v>0</v>
      </c>
      <c r="P85" s="100">
        <v>0.5</v>
      </c>
      <c r="Q85" s="100">
        <v>9.32</v>
      </c>
      <c r="R85" s="6"/>
      <c r="S85" s="6"/>
      <c r="T85" s="156"/>
      <c r="U85" s="6"/>
    </row>
    <row r="86" spans="1:21" customFormat="1">
      <c r="A86" s="201" t="s">
        <v>1569</v>
      </c>
      <c r="B86" s="100">
        <v>5.55</v>
      </c>
      <c r="C86" s="100">
        <v>20.88</v>
      </c>
      <c r="D86" s="100">
        <v>15.36</v>
      </c>
      <c r="E86" s="100">
        <v>5.76</v>
      </c>
      <c r="F86" s="100">
        <v>8.42</v>
      </c>
      <c r="G86" s="100">
        <v>51.2</v>
      </c>
      <c r="H86" s="100">
        <v>12.63</v>
      </c>
      <c r="I86" s="100">
        <v>8.66</v>
      </c>
      <c r="J86" s="100">
        <v>0.2</v>
      </c>
      <c r="K86" s="100">
        <v>202.37</v>
      </c>
      <c r="L86" s="100">
        <v>18.34</v>
      </c>
      <c r="M86" s="100">
        <v>28.27</v>
      </c>
      <c r="N86" s="100">
        <v>1.4</v>
      </c>
      <c r="O86" s="100">
        <v>0</v>
      </c>
      <c r="P86" s="100">
        <v>0.52</v>
      </c>
      <c r="Q86" s="100">
        <v>9.32</v>
      </c>
      <c r="R86" s="6"/>
      <c r="S86" s="6"/>
      <c r="T86" s="156"/>
      <c r="U86" s="6"/>
    </row>
    <row r="87" spans="1:21" customFormat="1">
      <c r="A87" s="201" t="s">
        <v>1570</v>
      </c>
      <c r="B87" s="100">
        <v>6.04</v>
      </c>
      <c r="C87" s="100">
        <v>20.29</v>
      </c>
      <c r="D87" s="100">
        <v>15.44</v>
      </c>
      <c r="E87" s="100">
        <v>5.57</v>
      </c>
      <c r="F87" s="100">
        <v>8.42</v>
      </c>
      <c r="G87" s="100">
        <v>51.56</v>
      </c>
      <c r="H87" s="100">
        <v>12.88</v>
      </c>
      <c r="I87" s="100">
        <v>8.8000000000000007</v>
      </c>
      <c r="J87" s="100">
        <v>0.16</v>
      </c>
      <c r="K87" s="100">
        <v>211.57</v>
      </c>
      <c r="L87" s="100">
        <v>19.13</v>
      </c>
      <c r="M87" s="100">
        <v>30.26</v>
      </c>
      <c r="N87" s="100">
        <v>1.4</v>
      </c>
      <c r="O87" s="100">
        <v>0</v>
      </c>
      <c r="P87" s="100">
        <v>0.53</v>
      </c>
      <c r="Q87" s="100">
        <v>9.32</v>
      </c>
      <c r="R87" s="6"/>
      <c r="S87" s="6"/>
      <c r="T87" s="156"/>
      <c r="U87" s="6"/>
    </row>
    <row r="88" spans="1:21" customFormat="1">
      <c r="A88" s="201" t="s">
        <v>1571</v>
      </c>
      <c r="B88" s="100">
        <v>6.3</v>
      </c>
      <c r="C88" s="100">
        <v>19.64</v>
      </c>
      <c r="D88" s="100">
        <v>15.31</v>
      </c>
      <c r="E88" s="100">
        <v>5.55</v>
      </c>
      <c r="F88" s="100">
        <v>8.42</v>
      </c>
      <c r="G88" s="100">
        <v>54.77</v>
      </c>
      <c r="H88" s="100">
        <v>14.98</v>
      </c>
      <c r="I88" s="100">
        <v>10.039999999999999</v>
      </c>
      <c r="J88" s="100">
        <v>0.17</v>
      </c>
      <c r="K88" s="100">
        <v>191.95</v>
      </c>
      <c r="L88" s="100">
        <v>17.61</v>
      </c>
      <c r="M88" s="100">
        <v>26.45</v>
      </c>
      <c r="N88" s="100">
        <v>1.2</v>
      </c>
      <c r="O88" s="100">
        <v>0</v>
      </c>
      <c r="P88" s="100">
        <v>0.53</v>
      </c>
      <c r="Q88" s="100">
        <v>9.32</v>
      </c>
      <c r="R88" s="6"/>
      <c r="S88" s="6"/>
      <c r="T88" s="156"/>
      <c r="U88" s="6"/>
    </row>
    <row r="89" spans="1:21" customFormat="1">
      <c r="A89" s="201" t="s">
        <v>1572</v>
      </c>
      <c r="B89" s="100">
        <v>6.51</v>
      </c>
      <c r="C89" s="100">
        <v>19.03</v>
      </c>
      <c r="D89" s="100">
        <v>15.17</v>
      </c>
      <c r="E89" s="100">
        <v>5.65</v>
      </c>
      <c r="F89" s="100">
        <v>8.42</v>
      </c>
      <c r="G89" s="100">
        <v>54.77</v>
      </c>
      <c r="H89" s="100">
        <v>14.98</v>
      </c>
      <c r="I89" s="100">
        <v>11.36</v>
      </c>
      <c r="J89" s="100">
        <v>0.18</v>
      </c>
      <c r="K89" s="100">
        <v>209.49</v>
      </c>
      <c r="L89" s="100">
        <v>18.87</v>
      </c>
      <c r="M89" s="100">
        <v>29.59</v>
      </c>
      <c r="N89" s="100">
        <v>1.3</v>
      </c>
      <c r="O89" s="100">
        <v>0</v>
      </c>
      <c r="P89" s="100">
        <v>0.55000000000000004</v>
      </c>
      <c r="Q89" s="100">
        <v>9.32</v>
      </c>
      <c r="R89" s="6"/>
      <c r="S89" s="6"/>
      <c r="T89" s="156"/>
      <c r="U89" s="6"/>
    </row>
    <row r="90" spans="1:21" customFormat="1">
      <c r="A90" s="201" t="s">
        <v>1573</v>
      </c>
      <c r="B90" s="100">
        <v>6.7</v>
      </c>
      <c r="C90" s="100">
        <v>18.47</v>
      </c>
      <c r="D90" s="100">
        <v>15.02</v>
      </c>
      <c r="E90" s="100">
        <v>5.96</v>
      </c>
      <c r="F90" s="100">
        <v>8.42</v>
      </c>
      <c r="G90" s="100">
        <v>54.77</v>
      </c>
      <c r="H90" s="100">
        <v>14.98</v>
      </c>
      <c r="I90" s="100">
        <v>11.48</v>
      </c>
      <c r="J90" s="100">
        <v>0.18</v>
      </c>
      <c r="K90" s="100">
        <v>206.39</v>
      </c>
      <c r="L90" s="100">
        <v>18.66</v>
      </c>
      <c r="M90" s="100">
        <v>29.1</v>
      </c>
      <c r="N90" s="100">
        <v>1.3</v>
      </c>
      <c r="O90" s="100">
        <v>0</v>
      </c>
      <c r="P90" s="100">
        <v>0.55000000000000004</v>
      </c>
      <c r="Q90" s="100">
        <v>9.32</v>
      </c>
      <c r="R90" s="6"/>
      <c r="S90" s="6"/>
      <c r="T90" s="156"/>
      <c r="U90" s="6"/>
    </row>
    <row r="91" spans="1:21" customFormat="1">
      <c r="A91" s="201" t="s">
        <v>1574</v>
      </c>
      <c r="B91" s="100">
        <v>6.78</v>
      </c>
      <c r="C91" s="100">
        <v>17.91</v>
      </c>
      <c r="D91" s="100">
        <v>14.79</v>
      </c>
      <c r="E91" s="100">
        <v>5.71</v>
      </c>
      <c r="F91" s="100">
        <v>8.42</v>
      </c>
      <c r="G91" s="100">
        <v>54.52</v>
      </c>
      <c r="H91" s="100">
        <v>14.82</v>
      </c>
      <c r="I91" s="100">
        <v>11.59</v>
      </c>
      <c r="J91" s="100">
        <v>0.17</v>
      </c>
      <c r="K91" s="100">
        <v>213.68</v>
      </c>
      <c r="L91" s="100">
        <v>19.170000000000002</v>
      </c>
      <c r="M91" s="100">
        <v>30.39</v>
      </c>
      <c r="N91" s="100">
        <v>1.2</v>
      </c>
      <c r="O91" s="100">
        <v>0</v>
      </c>
      <c r="P91" s="100">
        <v>0.53</v>
      </c>
      <c r="Q91" s="100">
        <v>9.32</v>
      </c>
      <c r="R91" s="6"/>
      <c r="S91" s="6"/>
      <c r="T91" s="156"/>
      <c r="U91" s="6"/>
    </row>
    <row r="92" spans="1:21" customFormat="1">
      <c r="A92" s="201" t="s">
        <v>1575</v>
      </c>
      <c r="B92" s="100">
        <v>6.78</v>
      </c>
      <c r="C92" s="100">
        <v>17.5</v>
      </c>
      <c r="D92" s="100">
        <v>14.58</v>
      </c>
      <c r="E92" s="100">
        <v>5.67</v>
      </c>
      <c r="F92" s="100">
        <v>8.42</v>
      </c>
      <c r="G92" s="100">
        <v>52.31</v>
      </c>
      <c r="H92" s="100">
        <v>13.46</v>
      </c>
      <c r="I92" s="100">
        <v>11.68</v>
      </c>
      <c r="J92" s="100">
        <v>0.16</v>
      </c>
      <c r="K92" s="100">
        <v>228.62</v>
      </c>
      <c r="L92" s="100">
        <v>20.350000000000001</v>
      </c>
      <c r="M92" s="100">
        <v>33.33</v>
      </c>
      <c r="N92" s="100">
        <v>1.1000000000000001</v>
      </c>
      <c r="O92" s="100">
        <v>0</v>
      </c>
      <c r="P92" s="100">
        <v>0.53</v>
      </c>
      <c r="Q92" s="100">
        <v>9.32</v>
      </c>
      <c r="R92" s="6"/>
      <c r="S92" s="6"/>
      <c r="T92" s="156"/>
      <c r="U92" s="6"/>
    </row>
    <row r="93" spans="1:21" customFormat="1">
      <c r="A93" s="201" t="s">
        <v>1576</v>
      </c>
      <c r="B93" s="100">
        <v>6.78</v>
      </c>
      <c r="C93" s="100">
        <v>17.05</v>
      </c>
      <c r="D93" s="100">
        <v>14.35</v>
      </c>
      <c r="E93" s="100">
        <v>6.08</v>
      </c>
      <c r="F93" s="100">
        <v>8.42</v>
      </c>
      <c r="G93" s="100">
        <v>52.31</v>
      </c>
      <c r="H93" s="100">
        <v>13.46</v>
      </c>
      <c r="I93" s="100">
        <v>11.73</v>
      </c>
      <c r="J93" s="100">
        <v>0.14000000000000001</v>
      </c>
      <c r="K93" s="100">
        <v>192.99</v>
      </c>
      <c r="L93" s="100">
        <v>17.8</v>
      </c>
      <c r="M93" s="100">
        <v>26.98</v>
      </c>
      <c r="N93" s="100">
        <v>1.2</v>
      </c>
      <c r="O93" s="100">
        <v>0</v>
      </c>
      <c r="P93" s="100">
        <v>0.54</v>
      </c>
      <c r="Q93" s="100">
        <v>9.32</v>
      </c>
      <c r="R93" s="6"/>
      <c r="S93" s="6"/>
      <c r="T93" s="156"/>
      <c r="U93" s="6"/>
    </row>
    <row r="94" spans="1:21" customFormat="1">
      <c r="A94" s="201" t="s">
        <v>1577</v>
      </c>
      <c r="B94" s="100">
        <v>6.86</v>
      </c>
      <c r="C94" s="100">
        <v>16.809999999999999</v>
      </c>
      <c r="D94" s="100">
        <v>14.28</v>
      </c>
      <c r="E94" s="100">
        <v>6.36</v>
      </c>
      <c r="F94" s="100">
        <v>8.42</v>
      </c>
      <c r="G94" s="100">
        <v>52.31</v>
      </c>
      <c r="H94" s="100">
        <v>13.46</v>
      </c>
      <c r="I94" s="100">
        <v>11.76</v>
      </c>
      <c r="J94" s="100">
        <v>0.17</v>
      </c>
      <c r="K94" s="100">
        <v>195.32</v>
      </c>
      <c r="L94" s="100">
        <v>18.16</v>
      </c>
      <c r="M94" s="100">
        <v>27.86</v>
      </c>
      <c r="N94" s="100">
        <v>1</v>
      </c>
      <c r="O94" s="100">
        <v>0</v>
      </c>
      <c r="P94" s="100">
        <v>0.55000000000000004</v>
      </c>
      <c r="Q94" s="100">
        <v>9.32</v>
      </c>
      <c r="R94" s="6"/>
      <c r="S94" s="6"/>
      <c r="T94" s="156"/>
      <c r="U94" s="6"/>
    </row>
    <row r="95" spans="1:21" customFormat="1">
      <c r="A95" s="201" t="s">
        <v>1578</v>
      </c>
      <c r="B95" s="100">
        <v>6.87</v>
      </c>
      <c r="C95" s="100">
        <v>16.79</v>
      </c>
      <c r="D95" s="100">
        <v>14.29</v>
      </c>
      <c r="E95" s="100">
        <v>6.56</v>
      </c>
      <c r="F95" s="100">
        <v>8.42</v>
      </c>
      <c r="G95" s="100">
        <v>52.92</v>
      </c>
      <c r="H95" s="100">
        <v>13.69</v>
      </c>
      <c r="I95" s="100">
        <v>11.81</v>
      </c>
      <c r="J95" s="100">
        <v>0.16</v>
      </c>
      <c r="K95" s="100">
        <v>211.52</v>
      </c>
      <c r="L95" s="100">
        <v>19.079999999999998</v>
      </c>
      <c r="M95" s="100">
        <v>30.16</v>
      </c>
      <c r="N95" s="100">
        <v>1</v>
      </c>
      <c r="O95" s="100">
        <v>0</v>
      </c>
      <c r="P95" s="100">
        <v>0.56000000000000005</v>
      </c>
      <c r="Q95" s="100">
        <v>9.32</v>
      </c>
      <c r="R95" s="6"/>
      <c r="S95" s="6"/>
      <c r="T95" s="156"/>
      <c r="U95" s="6"/>
    </row>
    <row r="96" spans="1:21" customFormat="1">
      <c r="A96" s="201" t="s">
        <v>1579</v>
      </c>
      <c r="B96" s="100">
        <v>6.93</v>
      </c>
      <c r="C96" s="100">
        <v>16.62</v>
      </c>
      <c r="D96" s="100">
        <v>14.24</v>
      </c>
      <c r="E96" s="100">
        <v>6.3</v>
      </c>
      <c r="F96" s="100">
        <v>8.42</v>
      </c>
      <c r="G96" s="100">
        <v>58.4</v>
      </c>
      <c r="H96" s="100">
        <v>15.55</v>
      </c>
      <c r="I96" s="100">
        <v>11.91</v>
      </c>
      <c r="J96" s="100">
        <v>0.18</v>
      </c>
      <c r="K96" s="100">
        <v>171.74</v>
      </c>
      <c r="L96" s="100">
        <v>16.22</v>
      </c>
      <c r="M96" s="100">
        <v>23.01</v>
      </c>
      <c r="N96" s="100">
        <v>1</v>
      </c>
      <c r="O96" s="100">
        <v>0</v>
      </c>
      <c r="P96" s="100">
        <v>0.56000000000000005</v>
      </c>
      <c r="Q96" s="100">
        <v>9.32</v>
      </c>
      <c r="R96" s="6"/>
      <c r="S96" s="6"/>
      <c r="T96" s="156"/>
      <c r="U96" s="6"/>
    </row>
    <row r="97" spans="1:28" customFormat="1">
      <c r="A97" s="201" t="s">
        <v>1580</v>
      </c>
      <c r="B97" s="100">
        <v>7.04</v>
      </c>
      <c r="C97" s="100">
        <v>16.329999999999998</v>
      </c>
      <c r="D97" s="100">
        <v>14.17</v>
      </c>
      <c r="E97" s="100">
        <v>6.41</v>
      </c>
      <c r="F97" s="100">
        <v>8.42</v>
      </c>
      <c r="G97" s="100">
        <v>58.4</v>
      </c>
      <c r="H97" s="100">
        <v>15.55</v>
      </c>
      <c r="I97" s="100">
        <v>12.02</v>
      </c>
      <c r="J97" s="100">
        <v>0.2</v>
      </c>
      <c r="K97" s="100">
        <v>188.41</v>
      </c>
      <c r="L97" s="100">
        <v>17.440000000000001</v>
      </c>
      <c r="M97" s="100">
        <v>26.06</v>
      </c>
      <c r="N97" s="100">
        <v>1</v>
      </c>
      <c r="O97" s="100">
        <v>0</v>
      </c>
      <c r="P97" s="100">
        <v>0.56000000000000005</v>
      </c>
      <c r="Q97" s="100">
        <v>9.32</v>
      </c>
      <c r="R97" s="6"/>
      <c r="S97" s="6"/>
      <c r="T97" s="156"/>
      <c r="U97" s="6"/>
    </row>
    <row r="98" spans="1:28" customFormat="1">
      <c r="A98" s="201" t="s">
        <v>1581</v>
      </c>
      <c r="B98" s="100">
        <v>7.34</v>
      </c>
      <c r="C98" s="100">
        <v>16.100000000000001</v>
      </c>
      <c r="D98" s="100">
        <v>14.3</v>
      </c>
      <c r="E98" s="100">
        <v>6.31</v>
      </c>
      <c r="F98" s="100">
        <v>8.42</v>
      </c>
      <c r="G98" s="100">
        <v>58.4</v>
      </c>
      <c r="H98" s="100">
        <v>15.55</v>
      </c>
      <c r="I98" s="100">
        <v>12.1</v>
      </c>
      <c r="J98" s="100">
        <v>0.15</v>
      </c>
      <c r="K98" s="100">
        <v>195.02</v>
      </c>
      <c r="L98" s="100">
        <v>17.57</v>
      </c>
      <c r="M98" s="100">
        <v>26.39</v>
      </c>
      <c r="N98" s="100">
        <v>1.1000000000000001</v>
      </c>
      <c r="O98" s="100">
        <v>0</v>
      </c>
      <c r="P98" s="100">
        <v>0.56999999999999995</v>
      </c>
      <c r="Q98" s="100">
        <v>9.32</v>
      </c>
      <c r="R98" s="6"/>
      <c r="S98" s="6"/>
      <c r="T98" s="156"/>
      <c r="U98" s="6"/>
    </row>
    <row r="99" spans="1:28" customFormat="1">
      <c r="A99" s="201" t="s">
        <v>1582</v>
      </c>
      <c r="B99" s="100">
        <v>7.87</v>
      </c>
      <c r="C99" s="100">
        <v>15.97</v>
      </c>
      <c r="D99" s="100">
        <v>14.65</v>
      </c>
      <c r="E99" s="100">
        <v>6.41</v>
      </c>
      <c r="F99" s="100">
        <v>8.42</v>
      </c>
      <c r="G99" s="100">
        <v>58.67</v>
      </c>
      <c r="H99" s="100">
        <v>15.61</v>
      </c>
      <c r="I99" s="100">
        <v>12.19</v>
      </c>
      <c r="J99" s="100">
        <v>0.17</v>
      </c>
      <c r="K99" s="100">
        <v>194.29</v>
      </c>
      <c r="L99" s="100">
        <v>17.920000000000002</v>
      </c>
      <c r="M99" s="100">
        <v>27.28</v>
      </c>
      <c r="N99" s="100">
        <v>1.1000000000000001</v>
      </c>
      <c r="O99" s="100">
        <v>0</v>
      </c>
      <c r="P99" s="100">
        <v>0.57999999999999996</v>
      </c>
      <c r="Q99" s="100">
        <v>9.32</v>
      </c>
      <c r="R99" s="6"/>
      <c r="S99" s="6"/>
      <c r="T99" s="156"/>
      <c r="U99" s="6"/>
    </row>
    <row r="100" spans="1:28" customFormat="1">
      <c r="A100" s="201" t="s">
        <v>1583</v>
      </c>
      <c r="B100" s="100">
        <v>8.27</v>
      </c>
      <c r="C100" s="100">
        <v>15.94</v>
      </c>
      <c r="D100" s="100">
        <v>14.95</v>
      </c>
      <c r="E100" s="100">
        <v>6.6</v>
      </c>
      <c r="F100" s="100">
        <v>8.42</v>
      </c>
      <c r="G100" s="100">
        <v>61.07</v>
      </c>
      <c r="H100" s="100">
        <v>16.11</v>
      </c>
      <c r="I100" s="100">
        <v>12.32</v>
      </c>
      <c r="J100" s="100">
        <v>0.23</v>
      </c>
      <c r="K100" s="100">
        <v>220.55</v>
      </c>
      <c r="L100" s="100">
        <v>19.670000000000002</v>
      </c>
      <c r="M100" s="100">
        <v>31.63</v>
      </c>
      <c r="N100" s="100">
        <v>1.2</v>
      </c>
      <c r="O100" s="100">
        <v>0</v>
      </c>
      <c r="P100" s="100">
        <v>0.59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1584</v>
      </c>
      <c r="B101" s="100">
        <v>8.5399999999999991</v>
      </c>
      <c r="C101" s="100">
        <v>15.88</v>
      </c>
      <c r="D101" s="100">
        <v>15.15</v>
      </c>
      <c r="E101" s="100">
        <v>6.43</v>
      </c>
      <c r="F101" s="100">
        <v>8.42</v>
      </c>
      <c r="G101" s="100">
        <v>61.07</v>
      </c>
      <c r="H101" s="100">
        <v>16.11</v>
      </c>
      <c r="I101" s="100">
        <v>12.42</v>
      </c>
      <c r="J101" s="100">
        <v>0.2</v>
      </c>
      <c r="K101" s="100">
        <v>217.88</v>
      </c>
      <c r="L101" s="100">
        <v>19.59</v>
      </c>
      <c r="M101" s="100">
        <v>31.42</v>
      </c>
      <c r="N101" s="100">
        <v>1.4</v>
      </c>
      <c r="O101" s="100">
        <v>0</v>
      </c>
      <c r="P101" s="100">
        <v>0.59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1585</v>
      </c>
      <c r="B102" s="100">
        <v>8.66</v>
      </c>
      <c r="C102" s="100">
        <v>15.84</v>
      </c>
      <c r="D102" s="100">
        <v>15.22</v>
      </c>
      <c r="E102" s="100">
        <v>6.74</v>
      </c>
      <c r="F102" s="100">
        <v>8.42</v>
      </c>
      <c r="G102" s="100">
        <v>61.07</v>
      </c>
      <c r="H102" s="100">
        <v>16.11</v>
      </c>
      <c r="I102" s="100">
        <v>12.49</v>
      </c>
      <c r="J102" s="100">
        <v>0.22</v>
      </c>
      <c r="K102" s="100">
        <v>232.79</v>
      </c>
      <c r="L102" s="100">
        <v>20.55</v>
      </c>
      <c r="M102" s="100">
        <v>33.82</v>
      </c>
      <c r="N102" s="100">
        <v>1.2</v>
      </c>
      <c r="O102" s="100">
        <v>0</v>
      </c>
      <c r="P102" s="100">
        <v>0.6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1586</v>
      </c>
      <c r="B103" s="100">
        <v>8.74</v>
      </c>
      <c r="C103" s="100">
        <v>15.63</v>
      </c>
      <c r="D103" s="100">
        <v>15.17</v>
      </c>
      <c r="E103" s="100">
        <v>6.77</v>
      </c>
      <c r="F103" s="100">
        <v>8.42</v>
      </c>
      <c r="G103" s="100">
        <v>60.65</v>
      </c>
      <c r="H103" s="100">
        <v>16.079999999999998</v>
      </c>
      <c r="I103" s="100">
        <v>12.58</v>
      </c>
      <c r="J103" s="100">
        <v>0.18</v>
      </c>
      <c r="K103" s="100">
        <v>226.42</v>
      </c>
      <c r="L103" s="100">
        <v>20.2</v>
      </c>
      <c r="M103" s="100">
        <v>32.950000000000003</v>
      </c>
      <c r="N103" s="100">
        <v>1.3</v>
      </c>
      <c r="O103" s="100">
        <v>0</v>
      </c>
      <c r="P103" s="100">
        <v>0.61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1587</v>
      </c>
      <c r="B104" s="100">
        <v>8.7899999999999991</v>
      </c>
      <c r="C104" s="100">
        <v>15.49</v>
      </c>
      <c r="D104" s="100">
        <v>15.14</v>
      </c>
      <c r="E104" s="100">
        <v>6.79</v>
      </c>
      <c r="F104" s="100">
        <v>8.42</v>
      </c>
      <c r="G104" s="100">
        <v>56.83</v>
      </c>
      <c r="H104" s="100">
        <v>15.87</v>
      </c>
      <c r="I104" s="100">
        <v>12.66</v>
      </c>
      <c r="J104" s="100">
        <v>0.17</v>
      </c>
      <c r="K104" s="100">
        <v>219.14</v>
      </c>
      <c r="L104" s="100">
        <v>19.39</v>
      </c>
      <c r="M104" s="100">
        <v>30.94</v>
      </c>
      <c r="N104" s="100">
        <v>1.3</v>
      </c>
      <c r="O104" s="100">
        <v>0</v>
      </c>
      <c r="P104" s="100">
        <v>0.62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1.77</v>
      </c>
      <c r="C106" s="158">
        <f>MIN(C9:C104)</f>
        <v>13.02</v>
      </c>
      <c r="D106" s="158">
        <f t="shared" ref="D106:Q106" si="0">MIN(D9:D104)</f>
        <v>10.99</v>
      </c>
      <c r="E106" s="158">
        <f t="shared" si="0"/>
        <v>3.36</v>
      </c>
      <c r="F106" s="158">
        <f t="shared" si="0"/>
        <v>1.97</v>
      </c>
      <c r="G106" s="158">
        <f t="shared" si="0"/>
        <v>0</v>
      </c>
      <c r="H106" s="158">
        <f t="shared" si="0"/>
        <v>0</v>
      </c>
      <c r="I106" s="158">
        <f t="shared" si="0"/>
        <v>6.35</v>
      </c>
      <c r="J106" s="158">
        <f t="shared" si="0"/>
        <v>0.05</v>
      </c>
      <c r="K106" s="158">
        <f t="shared" si="0"/>
        <v>6.3</v>
      </c>
      <c r="L106" s="158">
        <f t="shared" si="0"/>
        <v>7.7</v>
      </c>
      <c r="M106" s="158">
        <f t="shared" si="0"/>
        <v>-0.04</v>
      </c>
      <c r="N106" s="158">
        <f t="shared" si="0"/>
        <v>0.8</v>
      </c>
      <c r="O106" s="158">
        <f t="shared" si="0"/>
        <v>0</v>
      </c>
      <c r="P106" s="158">
        <f t="shared" si="0"/>
        <v>0.32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35.31</v>
      </c>
      <c r="C107" s="157">
        <f t="shared" ref="C107:Q107" si="1">MAX(C9:C104)</f>
        <v>31.72</v>
      </c>
      <c r="D107" s="157">
        <f t="shared" si="1"/>
        <v>37.89</v>
      </c>
      <c r="E107" s="157">
        <f t="shared" si="1"/>
        <v>14.83</v>
      </c>
      <c r="F107" s="157">
        <f t="shared" si="1"/>
        <v>16.059999999999999</v>
      </c>
      <c r="G107" s="157">
        <f t="shared" si="1"/>
        <v>130.4</v>
      </c>
      <c r="H107" s="157">
        <f t="shared" si="1"/>
        <v>62.91</v>
      </c>
      <c r="I107" s="157">
        <f t="shared" si="1"/>
        <v>17.64</v>
      </c>
      <c r="J107" s="157">
        <f t="shared" si="1"/>
        <v>1.24</v>
      </c>
      <c r="K107" s="157">
        <f t="shared" si="1"/>
        <v>330.34</v>
      </c>
      <c r="L107" s="157">
        <f t="shared" si="1"/>
        <v>20.55</v>
      </c>
      <c r="M107" s="157">
        <f t="shared" si="1"/>
        <v>33.82</v>
      </c>
      <c r="N107" s="157">
        <f t="shared" si="1"/>
        <v>606.4</v>
      </c>
      <c r="O107" s="157">
        <f t="shared" si="1"/>
        <v>0</v>
      </c>
      <c r="P107" s="157">
        <f t="shared" si="1"/>
        <v>1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13.758645833333318</v>
      </c>
      <c r="C108" s="158">
        <f t="shared" ref="C108:Q108" si="2">AVERAGE(C9:C104)</f>
        <v>19.838541666666675</v>
      </c>
      <c r="D108" s="158">
        <f t="shared" si="2"/>
        <v>21.398020833333334</v>
      </c>
      <c r="E108" s="158">
        <f t="shared" si="2"/>
        <v>7.0808333333333318</v>
      </c>
      <c r="F108" s="158">
        <f t="shared" si="2"/>
        <v>5.4568750000000037</v>
      </c>
      <c r="G108" s="158">
        <f t="shared" si="2"/>
        <v>72.119375000000034</v>
      </c>
      <c r="H108" s="158">
        <f t="shared" si="2"/>
        <v>31.003020833333327</v>
      </c>
      <c r="I108" s="158">
        <f t="shared" si="2"/>
        <v>12.484270833333333</v>
      </c>
      <c r="J108" s="158">
        <f t="shared" si="2"/>
        <v>0.40135416666666662</v>
      </c>
      <c r="K108" s="158">
        <f t="shared" si="2"/>
        <v>124.58802083333332</v>
      </c>
      <c r="L108" s="158">
        <f t="shared" si="2"/>
        <v>15.531874999999999</v>
      </c>
      <c r="M108" s="158">
        <f t="shared" si="2"/>
        <v>18.095729166666665</v>
      </c>
      <c r="N108" s="158">
        <f t="shared" si="2"/>
        <v>129.91770833333331</v>
      </c>
      <c r="O108" s="158">
        <f t="shared" si="2"/>
        <v>0</v>
      </c>
      <c r="P108" s="158">
        <f t="shared" si="2"/>
        <v>0.64093750000000005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11.294121584145293</v>
      </c>
      <c r="C109" s="158">
        <f t="shared" ref="C109:Q109" si="3">STDEV(C9:C104)</f>
        <v>4.5124445421094812</v>
      </c>
      <c r="D109" s="158">
        <f t="shared" si="3"/>
        <v>8.2829616645499247</v>
      </c>
      <c r="E109" s="158">
        <f t="shared" si="3"/>
        <v>1.8715367547984261</v>
      </c>
      <c r="F109" s="158">
        <f t="shared" si="3"/>
        <v>3.3742571307193696</v>
      </c>
      <c r="G109" s="158">
        <f t="shared" si="3"/>
        <v>35.794673723525925</v>
      </c>
      <c r="H109" s="158">
        <f t="shared" si="3"/>
        <v>21.948594253980751</v>
      </c>
      <c r="I109" s="158">
        <f t="shared" si="3"/>
        <v>3.6197867761547169</v>
      </c>
      <c r="J109" s="158">
        <f t="shared" si="3"/>
        <v>0.31041778228929401</v>
      </c>
      <c r="K109" s="158">
        <f t="shared" si="3"/>
        <v>80.36107369563544</v>
      </c>
      <c r="L109" s="158">
        <f t="shared" si="3"/>
        <v>3.2435423496054736</v>
      </c>
      <c r="M109" s="158">
        <f t="shared" si="3"/>
        <v>10.231259915705364</v>
      </c>
      <c r="N109" s="158">
        <f t="shared" si="3"/>
        <v>208.98454941368365</v>
      </c>
      <c r="O109" s="158">
        <f t="shared" si="3"/>
        <v>0</v>
      </c>
      <c r="P109" s="158">
        <f t="shared" si="3"/>
        <v>0.20468758286458785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91" activePane="bottomRight" state="frozen"/>
      <selection pane="topRight"/>
      <selection pane="bottomLeft"/>
      <selection pane="bottomRight" activeCell="I96" sqref="I9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1588</v>
      </c>
      <c r="B9" s="100">
        <v>8.52</v>
      </c>
      <c r="C9" s="100">
        <v>14.92</v>
      </c>
      <c r="D9" s="100">
        <v>14.62</v>
      </c>
      <c r="E9" s="100">
        <v>7.07</v>
      </c>
      <c r="F9" s="100">
        <v>2</v>
      </c>
      <c r="G9" s="100">
        <v>56.83</v>
      </c>
      <c r="H9" s="100">
        <v>15.87</v>
      </c>
      <c r="I9" s="100">
        <v>12.77</v>
      </c>
      <c r="J9" s="100">
        <v>0.1</v>
      </c>
      <c r="K9" s="100">
        <v>176.95</v>
      </c>
      <c r="L9" s="100">
        <v>17.25</v>
      </c>
      <c r="M9" s="100">
        <v>25.55</v>
      </c>
      <c r="N9" s="100">
        <v>1.1000000000000001</v>
      </c>
      <c r="O9" s="100">
        <v>0</v>
      </c>
      <c r="P9" s="100">
        <v>0.64</v>
      </c>
      <c r="Q9" s="100">
        <v>9.32</v>
      </c>
      <c r="R9" s="6"/>
      <c r="S9" s="6"/>
      <c r="T9" s="156"/>
      <c r="U9" s="6"/>
    </row>
    <row r="10" spans="1:21" customFormat="1">
      <c r="A10" s="201" t="s">
        <v>1589</v>
      </c>
      <c r="B10" s="100">
        <v>8.9</v>
      </c>
      <c r="C10" s="100">
        <v>14.99</v>
      </c>
      <c r="D10" s="100">
        <v>14.97</v>
      </c>
      <c r="E10" s="100">
        <v>7.12</v>
      </c>
      <c r="F10" s="100">
        <v>2</v>
      </c>
      <c r="G10" s="100">
        <v>56.83</v>
      </c>
      <c r="H10" s="100">
        <v>15.87</v>
      </c>
      <c r="I10" s="100">
        <v>13.06</v>
      </c>
      <c r="J10" s="100">
        <v>0.19</v>
      </c>
      <c r="K10" s="100">
        <v>197.03</v>
      </c>
      <c r="L10" s="100">
        <v>17.36</v>
      </c>
      <c r="M10" s="100">
        <v>25.88</v>
      </c>
      <c r="N10" s="100">
        <v>0.9</v>
      </c>
      <c r="O10" s="100">
        <v>0</v>
      </c>
      <c r="P10" s="100">
        <v>0.66</v>
      </c>
      <c r="Q10" s="100">
        <v>9.32</v>
      </c>
      <c r="R10" s="6"/>
      <c r="S10" s="6"/>
      <c r="T10" s="156"/>
      <c r="U10" s="6"/>
    </row>
    <row r="11" spans="1:21" customFormat="1">
      <c r="A11" s="201" t="s">
        <v>1590</v>
      </c>
      <c r="B11" s="100">
        <v>9.51</v>
      </c>
      <c r="C11" s="100">
        <v>14.88</v>
      </c>
      <c r="D11" s="100">
        <v>15.4</v>
      </c>
      <c r="E11" s="100">
        <v>7.6</v>
      </c>
      <c r="F11" s="100">
        <v>2</v>
      </c>
      <c r="G11" s="100">
        <v>56.96</v>
      </c>
      <c r="H11" s="100">
        <v>17.84</v>
      </c>
      <c r="I11" s="100">
        <v>13.53</v>
      </c>
      <c r="J11" s="100">
        <v>0.13</v>
      </c>
      <c r="K11" s="100">
        <v>182.53</v>
      </c>
      <c r="L11" s="100">
        <v>16.399999999999999</v>
      </c>
      <c r="M11" s="100">
        <v>23.48</v>
      </c>
      <c r="N11" s="100">
        <v>1.2</v>
      </c>
      <c r="O11" s="100">
        <v>0</v>
      </c>
      <c r="P11" s="100">
        <v>0.67</v>
      </c>
      <c r="Q11" s="100">
        <v>9.32</v>
      </c>
      <c r="R11" s="6"/>
      <c r="S11" s="6"/>
      <c r="T11" s="156"/>
      <c r="U11" s="6"/>
    </row>
    <row r="12" spans="1:21" customFormat="1">
      <c r="A12" s="201" t="s">
        <v>1591</v>
      </c>
      <c r="B12" s="100">
        <v>9.81</v>
      </c>
      <c r="C12" s="100">
        <v>14.74</v>
      </c>
      <c r="D12" s="100">
        <v>15.57</v>
      </c>
      <c r="E12" s="100">
        <v>7.75</v>
      </c>
      <c r="F12" s="100">
        <v>2</v>
      </c>
      <c r="G12" s="100">
        <v>58.16</v>
      </c>
      <c r="H12" s="100">
        <v>18.68</v>
      </c>
      <c r="I12" s="100">
        <v>14.09</v>
      </c>
      <c r="J12" s="100">
        <v>0.34</v>
      </c>
      <c r="K12" s="100">
        <v>18.03</v>
      </c>
      <c r="L12" s="100">
        <v>13.55</v>
      </c>
      <c r="M12" s="100">
        <v>16.100000000000001</v>
      </c>
      <c r="N12" s="100">
        <v>1</v>
      </c>
      <c r="O12" s="100">
        <v>0</v>
      </c>
      <c r="P12" s="100">
        <v>0.68</v>
      </c>
      <c r="Q12" s="100">
        <v>9.32</v>
      </c>
      <c r="R12" s="6"/>
      <c r="S12" s="6"/>
      <c r="T12" s="156"/>
      <c r="U12" s="6"/>
    </row>
    <row r="13" spans="1:21" customFormat="1">
      <c r="A13" s="201" t="s">
        <v>1592</v>
      </c>
      <c r="B13" s="100">
        <v>10.48</v>
      </c>
      <c r="C13" s="100">
        <v>14.94</v>
      </c>
      <c r="D13" s="100">
        <v>16.22</v>
      </c>
      <c r="E13" s="100">
        <v>7.82</v>
      </c>
      <c r="F13" s="100">
        <v>2</v>
      </c>
      <c r="G13" s="100">
        <v>58.16</v>
      </c>
      <c r="H13" s="100">
        <v>18.68</v>
      </c>
      <c r="I13" s="100">
        <v>14.6</v>
      </c>
      <c r="J13" s="100">
        <v>0.36</v>
      </c>
      <c r="K13" s="100">
        <v>63.55</v>
      </c>
      <c r="L13" s="100">
        <v>11.24</v>
      </c>
      <c r="M13" s="100">
        <v>10.33</v>
      </c>
      <c r="N13" s="100">
        <v>0.5</v>
      </c>
      <c r="O13" s="100">
        <v>0</v>
      </c>
      <c r="P13" s="100">
        <v>0.69</v>
      </c>
      <c r="Q13" s="100">
        <v>9.32</v>
      </c>
      <c r="R13" s="6"/>
      <c r="S13" s="6"/>
      <c r="T13" s="156"/>
      <c r="U13" s="6"/>
    </row>
    <row r="14" spans="1:21" customFormat="1">
      <c r="A14" s="201" t="s">
        <v>1593</v>
      </c>
      <c r="B14" s="100">
        <v>10.85</v>
      </c>
      <c r="C14" s="100">
        <v>15.3</v>
      </c>
      <c r="D14" s="100">
        <v>16.7</v>
      </c>
      <c r="E14" s="100">
        <v>7.29</v>
      </c>
      <c r="F14" s="100">
        <v>2</v>
      </c>
      <c r="G14" s="100">
        <v>58.16</v>
      </c>
      <c r="H14" s="100">
        <v>18.68</v>
      </c>
      <c r="I14" s="100">
        <v>15.03</v>
      </c>
      <c r="J14" s="100">
        <v>0.05</v>
      </c>
      <c r="K14" s="100">
        <v>116.53</v>
      </c>
      <c r="L14" s="100">
        <v>14.97</v>
      </c>
      <c r="M14" s="100">
        <v>19.79</v>
      </c>
      <c r="N14" s="100">
        <v>1.2</v>
      </c>
      <c r="O14" s="100">
        <v>0</v>
      </c>
      <c r="P14" s="100">
        <v>0.69</v>
      </c>
      <c r="Q14" s="100">
        <v>9.32</v>
      </c>
      <c r="R14" s="6"/>
      <c r="S14" s="6"/>
      <c r="T14" s="156"/>
      <c r="U14" s="6"/>
    </row>
    <row r="15" spans="1:21" customFormat="1">
      <c r="A15" s="201" t="s">
        <v>1594</v>
      </c>
      <c r="B15" s="100">
        <v>10.99</v>
      </c>
      <c r="C15" s="100">
        <v>15.59</v>
      </c>
      <c r="D15" s="100">
        <v>16.95</v>
      </c>
      <c r="E15" s="100">
        <v>7.31</v>
      </c>
      <c r="F15" s="100">
        <v>2</v>
      </c>
      <c r="G15" s="100">
        <v>57.72</v>
      </c>
      <c r="H15" s="100">
        <v>18.579999999999998</v>
      </c>
      <c r="I15" s="100">
        <v>15.18</v>
      </c>
      <c r="J15" s="100">
        <v>0.14000000000000001</v>
      </c>
      <c r="K15" s="100">
        <v>187.2</v>
      </c>
      <c r="L15" s="100">
        <v>18.75</v>
      </c>
      <c r="M15" s="100">
        <v>29.33</v>
      </c>
      <c r="N15" s="100">
        <v>1.6</v>
      </c>
      <c r="O15" s="100">
        <v>0</v>
      </c>
      <c r="P15" s="100">
        <v>0.7</v>
      </c>
      <c r="Q15" s="100">
        <v>9.32</v>
      </c>
      <c r="R15" s="6"/>
      <c r="S15" s="6"/>
      <c r="T15" s="156"/>
      <c r="U15" s="6"/>
    </row>
    <row r="16" spans="1:21" customFormat="1">
      <c r="A16" s="201" t="s">
        <v>1595</v>
      </c>
      <c r="B16" s="100">
        <v>11.49</v>
      </c>
      <c r="C16" s="100">
        <v>15.87</v>
      </c>
      <c r="D16" s="100">
        <v>17.510000000000002</v>
      </c>
      <c r="E16" s="100">
        <v>7.29</v>
      </c>
      <c r="F16" s="100">
        <v>2</v>
      </c>
      <c r="G16" s="100">
        <v>53.8</v>
      </c>
      <c r="H16" s="100">
        <v>17.7</v>
      </c>
      <c r="I16" s="100">
        <v>15.03</v>
      </c>
      <c r="J16" s="100">
        <v>0.08</v>
      </c>
      <c r="K16" s="100">
        <v>137.08000000000001</v>
      </c>
      <c r="L16" s="100">
        <v>14.11</v>
      </c>
      <c r="M16" s="100">
        <v>17.670000000000002</v>
      </c>
      <c r="N16" s="100">
        <v>1.5</v>
      </c>
      <c r="O16" s="100">
        <v>0</v>
      </c>
      <c r="P16" s="100">
        <v>0.71</v>
      </c>
      <c r="Q16" s="100">
        <v>9.32</v>
      </c>
      <c r="R16" s="6"/>
      <c r="S16" s="6"/>
      <c r="T16" s="156"/>
      <c r="U16" s="6"/>
    </row>
    <row r="17" spans="1:21" customFormat="1">
      <c r="A17" s="201" t="s">
        <v>1596</v>
      </c>
      <c r="B17" s="100">
        <v>12.4</v>
      </c>
      <c r="C17" s="100">
        <v>16.190000000000001</v>
      </c>
      <c r="D17" s="100">
        <v>18.399999999999999</v>
      </c>
      <c r="E17" s="100">
        <v>4.37</v>
      </c>
      <c r="F17" s="100">
        <v>2</v>
      </c>
      <c r="G17" s="100">
        <v>53.8</v>
      </c>
      <c r="H17" s="100">
        <v>17.7</v>
      </c>
      <c r="I17" s="100">
        <v>14.83</v>
      </c>
      <c r="J17" s="100">
        <v>0.12</v>
      </c>
      <c r="K17" s="100">
        <v>147.91999999999999</v>
      </c>
      <c r="L17" s="100">
        <v>13.98</v>
      </c>
      <c r="M17" s="100">
        <v>17.37</v>
      </c>
      <c r="N17" s="100">
        <v>1.3</v>
      </c>
      <c r="O17" s="100">
        <v>0</v>
      </c>
      <c r="P17" s="100">
        <v>0.7</v>
      </c>
      <c r="Q17" s="100">
        <v>9.32</v>
      </c>
      <c r="R17" s="6"/>
      <c r="S17" s="6"/>
      <c r="T17" s="156"/>
      <c r="U17" s="6"/>
    </row>
    <row r="18" spans="1:21" customFormat="1">
      <c r="A18" s="201" t="s">
        <v>1597</v>
      </c>
      <c r="B18" s="100">
        <v>12.97</v>
      </c>
      <c r="C18" s="100">
        <v>16.23</v>
      </c>
      <c r="D18" s="100">
        <v>18.88</v>
      </c>
      <c r="E18" s="100">
        <v>5.62</v>
      </c>
      <c r="F18" s="100">
        <v>2</v>
      </c>
      <c r="G18" s="100">
        <v>53.8</v>
      </c>
      <c r="H18" s="100">
        <v>17.7</v>
      </c>
      <c r="I18" s="100">
        <v>14.7</v>
      </c>
      <c r="J18" s="100">
        <v>0.16</v>
      </c>
      <c r="K18" s="100">
        <v>157.65</v>
      </c>
      <c r="L18" s="100">
        <v>14.8</v>
      </c>
      <c r="M18" s="100">
        <v>19.420000000000002</v>
      </c>
      <c r="N18" s="100">
        <v>1.4</v>
      </c>
      <c r="O18" s="100">
        <v>0</v>
      </c>
      <c r="P18" s="100">
        <v>0.7</v>
      </c>
      <c r="Q18" s="100">
        <v>9.32</v>
      </c>
      <c r="R18" s="6"/>
      <c r="S18" s="6"/>
      <c r="T18" s="156"/>
      <c r="U18" s="6"/>
    </row>
    <row r="19" spans="1:21" customFormat="1">
      <c r="A19" s="201" t="s">
        <v>1598</v>
      </c>
      <c r="B19" s="100">
        <v>13.01</v>
      </c>
      <c r="C19" s="100">
        <v>16.23</v>
      </c>
      <c r="D19" s="100">
        <v>18.920000000000002</v>
      </c>
      <c r="E19" s="100">
        <v>5.54</v>
      </c>
      <c r="F19" s="100">
        <v>2</v>
      </c>
      <c r="G19" s="100">
        <v>53.69</v>
      </c>
      <c r="H19" s="100">
        <v>17.61</v>
      </c>
      <c r="I19" s="100">
        <v>14.59</v>
      </c>
      <c r="J19" s="100">
        <v>0.14000000000000001</v>
      </c>
      <c r="K19" s="100">
        <v>156.6</v>
      </c>
      <c r="L19" s="100">
        <v>14.78</v>
      </c>
      <c r="M19" s="100">
        <v>19.38</v>
      </c>
      <c r="N19" s="100">
        <v>1.2</v>
      </c>
      <c r="O19" s="100">
        <v>0</v>
      </c>
      <c r="P19" s="100">
        <v>0.69</v>
      </c>
      <c r="Q19" s="100">
        <v>9.32</v>
      </c>
      <c r="R19" s="6"/>
      <c r="S19" s="6"/>
      <c r="T19" s="156"/>
      <c r="U19" s="6"/>
    </row>
    <row r="20" spans="1:21" customFormat="1">
      <c r="A20" s="201" t="s">
        <v>1599</v>
      </c>
      <c r="B20" s="100">
        <v>13.05</v>
      </c>
      <c r="C20" s="100">
        <v>16.100000000000001</v>
      </c>
      <c r="D20" s="100">
        <v>18.87</v>
      </c>
      <c r="E20" s="100">
        <v>5.25</v>
      </c>
      <c r="F20" s="100">
        <v>2</v>
      </c>
      <c r="G20" s="100">
        <v>52.65</v>
      </c>
      <c r="H20" s="100">
        <v>16.84</v>
      </c>
      <c r="I20" s="100">
        <v>14.47</v>
      </c>
      <c r="J20" s="100">
        <v>0.13</v>
      </c>
      <c r="K20" s="100">
        <v>188.02</v>
      </c>
      <c r="L20" s="100">
        <v>17.170000000000002</v>
      </c>
      <c r="M20" s="100">
        <v>25.32</v>
      </c>
      <c r="N20" s="100">
        <v>1.2</v>
      </c>
      <c r="O20" s="100">
        <v>0</v>
      </c>
      <c r="P20" s="100">
        <v>0.69</v>
      </c>
      <c r="Q20" s="100">
        <v>9.32</v>
      </c>
      <c r="R20" s="6"/>
      <c r="S20" s="6"/>
      <c r="T20" s="156"/>
      <c r="U20" s="6"/>
    </row>
    <row r="21" spans="1:21" customFormat="1">
      <c r="A21" s="201" t="s">
        <v>1600</v>
      </c>
      <c r="B21" s="100">
        <v>12.95</v>
      </c>
      <c r="C21" s="100">
        <v>15.91</v>
      </c>
      <c r="D21" s="100">
        <v>18.7</v>
      </c>
      <c r="E21" s="100">
        <v>5</v>
      </c>
      <c r="F21" s="100">
        <v>2</v>
      </c>
      <c r="G21" s="100">
        <v>52.65</v>
      </c>
      <c r="H21" s="100">
        <v>16.84</v>
      </c>
      <c r="I21" s="100">
        <v>14.32</v>
      </c>
      <c r="J21" s="100">
        <v>0.1</v>
      </c>
      <c r="K21" s="100">
        <v>205.45</v>
      </c>
      <c r="L21" s="100">
        <v>18</v>
      </c>
      <c r="M21" s="100">
        <v>27.25</v>
      </c>
      <c r="N21" s="100">
        <v>1.2</v>
      </c>
      <c r="O21" s="100">
        <v>0</v>
      </c>
      <c r="P21" s="100">
        <v>0.68</v>
      </c>
      <c r="Q21" s="100">
        <v>9.32</v>
      </c>
      <c r="R21" s="6"/>
      <c r="S21" s="6"/>
      <c r="T21" s="156"/>
      <c r="U21" s="6"/>
    </row>
    <row r="22" spans="1:21" customFormat="1">
      <c r="A22" s="201" t="s">
        <v>1601</v>
      </c>
      <c r="B22" s="100">
        <v>13.23</v>
      </c>
      <c r="C22" s="100">
        <v>15.81</v>
      </c>
      <c r="D22" s="100">
        <v>18.87</v>
      </c>
      <c r="E22" s="100">
        <v>5.34</v>
      </c>
      <c r="F22" s="100">
        <v>2</v>
      </c>
      <c r="G22" s="100">
        <v>52.65</v>
      </c>
      <c r="H22" s="100">
        <v>16.84</v>
      </c>
      <c r="I22" s="100">
        <v>14.17</v>
      </c>
      <c r="J22" s="100">
        <v>0.11</v>
      </c>
      <c r="K22" s="100">
        <v>204.78</v>
      </c>
      <c r="L22" s="100">
        <v>18.7</v>
      </c>
      <c r="M22" s="100">
        <v>29.19</v>
      </c>
      <c r="N22" s="100">
        <v>1.1000000000000001</v>
      </c>
      <c r="O22" s="100">
        <v>0</v>
      </c>
      <c r="P22" s="100">
        <v>0.68</v>
      </c>
      <c r="Q22" s="100">
        <v>9.32</v>
      </c>
      <c r="R22" s="6"/>
      <c r="S22" s="6"/>
      <c r="T22" s="156"/>
      <c r="U22" s="6"/>
    </row>
    <row r="23" spans="1:21" customFormat="1">
      <c r="A23" s="201" t="s">
        <v>1602</v>
      </c>
      <c r="B23" s="100">
        <v>14.71</v>
      </c>
      <c r="C23" s="100">
        <v>16.059999999999999</v>
      </c>
      <c r="D23" s="100">
        <v>20.190000000000001</v>
      </c>
      <c r="E23" s="100">
        <v>5.0999999999999996</v>
      </c>
      <c r="F23" s="100">
        <v>2</v>
      </c>
      <c r="G23" s="100">
        <v>52.26</v>
      </c>
      <c r="H23" s="100">
        <v>16.739999999999998</v>
      </c>
      <c r="I23" s="100">
        <v>14.05</v>
      </c>
      <c r="J23" s="100">
        <v>0.12</v>
      </c>
      <c r="K23" s="100">
        <v>178.93</v>
      </c>
      <c r="L23" s="100">
        <v>16.600000000000001</v>
      </c>
      <c r="M23" s="100">
        <v>23.95</v>
      </c>
      <c r="N23" s="100">
        <v>1.1000000000000001</v>
      </c>
      <c r="O23" s="100">
        <v>0</v>
      </c>
      <c r="P23" s="100">
        <v>0.67</v>
      </c>
      <c r="Q23" s="100">
        <v>9.32</v>
      </c>
      <c r="R23" s="6"/>
      <c r="S23" s="6"/>
      <c r="T23" s="156"/>
      <c r="U23" s="6"/>
    </row>
    <row r="24" spans="1:21" customFormat="1">
      <c r="A24" s="201" t="s">
        <v>1603</v>
      </c>
      <c r="B24" s="100">
        <v>16.239999999999998</v>
      </c>
      <c r="C24" s="100">
        <v>16.29</v>
      </c>
      <c r="D24" s="100">
        <v>21.53</v>
      </c>
      <c r="E24" s="100">
        <v>5.17</v>
      </c>
      <c r="F24" s="100">
        <v>2</v>
      </c>
      <c r="G24" s="100">
        <v>48.72</v>
      </c>
      <c r="H24" s="100">
        <v>15.84</v>
      </c>
      <c r="I24" s="100">
        <v>13.93</v>
      </c>
      <c r="J24" s="100">
        <v>7.0000000000000007E-2</v>
      </c>
      <c r="K24" s="100">
        <v>64.010000000000005</v>
      </c>
      <c r="L24" s="100">
        <v>12.76</v>
      </c>
      <c r="M24" s="100">
        <v>14.16</v>
      </c>
      <c r="N24" s="100">
        <v>0.9</v>
      </c>
      <c r="O24" s="100">
        <v>0</v>
      </c>
      <c r="P24" s="100">
        <v>0.66</v>
      </c>
      <c r="Q24" s="100">
        <v>9.32</v>
      </c>
      <c r="R24" s="6"/>
      <c r="S24" s="6"/>
      <c r="T24" s="156"/>
      <c r="U24" s="6"/>
    </row>
    <row r="25" spans="1:21" customFormat="1">
      <c r="A25" s="201" t="s">
        <v>1604</v>
      </c>
      <c r="B25" s="100">
        <v>16.95</v>
      </c>
      <c r="C25" s="100">
        <v>16.399999999999999</v>
      </c>
      <c r="D25" s="100">
        <v>22.16</v>
      </c>
      <c r="E25" s="100">
        <v>4.96</v>
      </c>
      <c r="F25" s="100">
        <v>2</v>
      </c>
      <c r="G25" s="100">
        <v>48.72</v>
      </c>
      <c r="H25" s="100">
        <v>15.84</v>
      </c>
      <c r="I25" s="100">
        <v>13.83</v>
      </c>
      <c r="J25" s="100">
        <v>0.06</v>
      </c>
      <c r="K25" s="100">
        <v>150.66</v>
      </c>
      <c r="L25" s="100">
        <v>16.05</v>
      </c>
      <c r="M25" s="100">
        <v>22.47</v>
      </c>
      <c r="N25" s="100">
        <v>1.1000000000000001</v>
      </c>
      <c r="O25" s="100">
        <v>0</v>
      </c>
      <c r="P25" s="100">
        <v>0.66</v>
      </c>
      <c r="Q25" s="100">
        <v>9.32</v>
      </c>
      <c r="R25" s="6"/>
      <c r="S25" s="6"/>
      <c r="T25" s="156"/>
      <c r="U25" s="6"/>
    </row>
    <row r="26" spans="1:21" customFormat="1">
      <c r="A26" s="201" t="s">
        <v>1605</v>
      </c>
      <c r="B26" s="100">
        <v>17.32</v>
      </c>
      <c r="C26" s="100">
        <v>16.39</v>
      </c>
      <c r="D26" s="100">
        <v>22.45</v>
      </c>
      <c r="E26" s="100">
        <v>5.26</v>
      </c>
      <c r="F26" s="100">
        <v>2</v>
      </c>
      <c r="G26" s="100">
        <v>48.72</v>
      </c>
      <c r="H26" s="100">
        <v>15.84</v>
      </c>
      <c r="I26" s="100">
        <v>13.74</v>
      </c>
      <c r="J26" s="100">
        <v>0.2</v>
      </c>
      <c r="K26" s="100">
        <v>165.01</v>
      </c>
      <c r="L26" s="100">
        <v>15.54</v>
      </c>
      <c r="M26" s="100">
        <v>21.3</v>
      </c>
      <c r="N26" s="100">
        <v>1.2</v>
      </c>
      <c r="O26" s="100">
        <v>0</v>
      </c>
      <c r="P26" s="100">
        <v>0.67</v>
      </c>
      <c r="Q26" s="100">
        <v>9.32</v>
      </c>
      <c r="R26" s="6"/>
      <c r="S26" s="6"/>
      <c r="T26" s="156"/>
      <c r="U26" s="6"/>
    </row>
    <row r="27" spans="1:21" customFormat="1">
      <c r="A27" s="201" t="s">
        <v>1606</v>
      </c>
      <c r="B27" s="100">
        <v>17.54</v>
      </c>
      <c r="C27" s="100">
        <v>16.329999999999998</v>
      </c>
      <c r="D27" s="100">
        <v>22.6</v>
      </c>
      <c r="E27" s="100">
        <v>5.03</v>
      </c>
      <c r="F27" s="100">
        <v>2</v>
      </c>
      <c r="G27" s="100">
        <v>48.73</v>
      </c>
      <c r="H27" s="100">
        <v>15.87</v>
      </c>
      <c r="I27" s="100">
        <v>13.64</v>
      </c>
      <c r="J27" s="100">
        <v>0.12</v>
      </c>
      <c r="K27" s="100">
        <v>169.3</v>
      </c>
      <c r="L27" s="100">
        <v>15.84</v>
      </c>
      <c r="M27" s="100">
        <v>22.05</v>
      </c>
      <c r="N27" s="100">
        <v>1.2</v>
      </c>
      <c r="O27" s="100">
        <v>0</v>
      </c>
      <c r="P27" s="100">
        <v>0.66</v>
      </c>
      <c r="Q27" s="100">
        <v>9.32</v>
      </c>
      <c r="R27" s="6"/>
      <c r="S27" s="6"/>
      <c r="T27" s="156"/>
      <c r="U27" s="6"/>
    </row>
    <row r="28" spans="1:21" customFormat="1">
      <c r="A28" s="201" t="s">
        <v>1607</v>
      </c>
      <c r="B28" s="100">
        <v>17.95</v>
      </c>
      <c r="C28" s="100">
        <v>16.28</v>
      </c>
      <c r="D28" s="100">
        <v>22.9</v>
      </c>
      <c r="E28" s="100">
        <v>5.18</v>
      </c>
      <c r="F28" s="100">
        <v>2</v>
      </c>
      <c r="G28" s="100">
        <v>48.87</v>
      </c>
      <c r="H28" s="100">
        <v>16.09</v>
      </c>
      <c r="I28" s="100">
        <v>13.57</v>
      </c>
      <c r="J28" s="100">
        <v>0.15</v>
      </c>
      <c r="K28" s="100">
        <v>197.89</v>
      </c>
      <c r="L28" s="100">
        <v>17.98</v>
      </c>
      <c r="M28" s="100">
        <v>27.38</v>
      </c>
      <c r="N28" s="100">
        <v>1.1000000000000001</v>
      </c>
      <c r="O28" s="100">
        <v>0</v>
      </c>
      <c r="P28" s="100">
        <v>0.66</v>
      </c>
      <c r="Q28" s="100">
        <v>9.32</v>
      </c>
      <c r="R28" s="6"/>
      <c r="S28" s="6"/>
      <c r="T28" s="156"/>
      <c r="U28" s="6"/>
    </row>
    <row r="29" spans="1:21" customFormat="1">
      <c r="A29" s="201" t="s">
        <v>1608</v>
      </c>
      <c r="B29" s="100">
        <v>18.64</v>
      </c>
      <c r="C29" s="100">
        <v>16.329999999999998</v>
      </c>
      <c r="D29" s="100">
        <v>23.48</v>
      </c>
      <c r="E29" s="100">
        <v>4.92</v>
      </c>
      <c r="F29" s="100">
        <v>2</v>
      </c>
      <c r="G29" s="100">
        <v>48.87</v>
      </c>
      <c r="H29" s="100">
        <v>16.09</v>
      </c>
      <c r="I29" s="100">
        <v>13.53</v>
      </c>
      <c r="J29" s="100">
        <v>0.15</v>
      </c>
      <c r="K29" s="100">
        <v>227.31</v>
      </c>
      <c r="L29" s="100">
        <v>20.09</v>
      </c>
      <c r="M29" s="100">
        <v>32.659999999999997</v>
      </c>
      <c r="N29" s="100">
        <v>1.3</v>
      </c>
      <c r="O29" s="100">
        <v>0</v>
      </c>
      <c r="P29" s="100">
        <v>0.67</v>
      </c>
      <c r="Q29" s="100">
        <v>9.32</v>
      </c>
      <c r="R29" s="6"/>
      <c r="S29" s="6"/>
      <c r="T29" s="156"/>
      <c r="U29" s="6"/>
    </row>
    <row r="30" spans="1:21" customFormat="1">
      <c r="A30" s="201" t="s">
        <v>1609</v>
      </c>
      <c r="B30" s="100">
        <v>18.64</v>
      </c>
      <c r="C30" s="100">
        <v>16.09</v>
      </c>
      <c r="D30" s="100">
        <v>23.36</v>
      </c>
      <c r="E30" s="100">
        <v>5.0599999999999996</v>
      </c>
      <c r="F30" s="100">
        <v>2</v>
      </c>
      <c r="G30" s="100">
        <v>48.87</v>
      </c>
      <c r="H30" s="100">
        <v>16.09</v>
      </c>
      <c r="I30" s="100">
        <v>13.54</v>
      </c>
      <c r="J30" s="100">
        <v>0.15</v>
      </c>
      <c r="K30" s="100">
        <v>232.47</v>
      </c>
      <c r="L30" s="100">
        <v>20.81</v>
      </c>
      <c r="M30" s="100">
        <v>34.450000000000003</v>
      </c>
      <c r="N30" s="100">
        <v>1.3</v>
      </c>
      <c r="O30" s="100">
        <v>0</v>
      </c>
      <c r="P30" s="100">
        <v>0.67</v>
      </c>
      <c r="Q30" s="100">
        <v>9.32</v>
      </c>
      <c r="R30" s="6"/>
      <c r="S30" s="6"/>
      <c r="T30" s="156"/>
      <c r="U30" s="6"/>
    </row>
    <row r="31" spans="1:21" customFormat="1">
      <c r="A31" s="201" t="s">
        <v>1610</v>
      </c>
      <c r="B31" s="100">
        <v>18.600000000000001</v>
      </c>
      <c r="C31" s="100">
        <v>15.86</v>
      </c>
      <c r="D31" s="100">
        <v>23.2</v>
      </c>
      <c r="E31" s="100">
        <v>4.96</v>
      </c>
      <c r="F31" s="100">
        <v>2</v>
      </c>
      <c r="G31" s="100">
        <v>48.65</v>
      </c>
      <c r="H31" s="100">
        <v>16.059999999999999</v>
      </c>
      <c r="I31" s="100">
        <v>13.56</v>
      </c>
      <c r="J31" s="100">
        <v>0.16</v>
      </c>
      <c r="K31" s="100">
        <v>172.57</v>
      </c>
      <c r="L31" s="100">
        <v>16.12</v>
      </c>
      <c r="M31" s="100">
        <v>22.74</v>
      </c>
      <c r="N31" s="100">
        <v>1.2</v>
      </c>
      <c r="O31" s="100">
        <v>0</v>
      </c>
      <c r="P31" s="100">
        <v>0.67</v>
      </c>
      <c r="Q31" s="100">
        <v>9.32</v>
      </c>
      <c r="R31" s="6"/>
      <c r="S31" s="6"/>
      <c r="T31" s="156"/>
      <c r="U31" s="6"/>
    </row>
    <row r="32" spans="1:21" customFormat="1">
      <c r="A32" s="201" t="s">
        <v>1611</v>
      </c>
      <c r="B32" s="100">
        <v>18.690000000000001</v>
      </c>
      <c r="C32" s="100">
        <v>15.75</v>
      </c>
      <c r="D32" s="100">
        <v>23.22</v>
      </c>
      <c r="E32" s="100">
        <v>5.0999999999999996</v>
      </c>
      <c r="F32" s="100">
        <v>2</v>
      </c>
      <c r="G32" s="100">
        <v>46.66</v>
      </c>
      <c r="H32" s="100">
        <v>15.74</v>
      </c>
      <c r="I32" s="100">
        <v>13.52</v>
      </c>
      <c r="J32" s="100">
        <v>0.14000000000000001</v>
      </c>
      <c r="K32" s="100">
        <v>163.76</v>
      </c>
      <c r="L32" s="100">
        <v>15.91</v>
      </c>
      <c r="M32" s="100">
        <v>22.21</v>
      </c>
      <c r="N32" s="100">
        <v>1.4</v>
      </c>
      <c r="O32" s="100">
        <v>0</v>
      </c>
      <c r="P32" s="100">
        <v>0.66</v>
      </c>
      <c r="Q32" s="100">
        <v>9.32</v>
      </c>
      <c r="R32" s="6"/>
      <c r="S32" s="6"/>
      <c r="T32" s="156"/>
      <c r="U32" s="6"/>
    </row>
    <row r="33" spans="1:21" customFormat="1">
      <c r="A33" s="201" t="s">
        <v>1612</v>
      </c>
      <c r="B33" s="100">
        <v>18.91</v>
      </c>
      <c r="C33" s="100">
        <v>15.74</v>
      </c>
      <c r="D33" s="100">
        <v>23.39</v>
      </c>
      <c r="E33" s="100">
        <v>5.33</v>
      </c>
      <c r="F33" s="100">
        <v>2</v>
      </c>
      <c r="G33" s="100">
        <v>46.66</v>
      </c>
      <c r="H33" s="100">
        <v>15.74</v>
      </c>
      <c r="I33" s="100">
        <v>13.51</v>
      </c>
      <c r="J33" s="100">
        <v>0.15</v>
      </c>
      <c r="K33" s="100">
        <v>189.51</v>
      </c>
      <c r="L33" s="100">
        <v>17.75</v>
      </c>
      <c r="M33" s="100">
        <v>26.75</v>
      </c>
      <c r="N33" s="100">
        <v>2.7</v>
      </c>
      <c r="O33" s="100">
        <v>0</v>
      </c>
      <c r="P33" s="100">
        <v>0.67</v>
      </c>
      <c r="Q33" s="100">
        <v>9.32</v>
      </c>
      <c r="R33" s="6"/>
      <c r="S33" s="6"/>
      <c r="T33" s="156"/>
      <c r="U33" s="6"/>
    </row>
    <row r="34" spans="1:21" customFormat="1">
      <c r="A34" s="201" t="s">
        <v>1613</v>
      </c>
      <c r="B34" s="100">
        <v>18.739999999999998</v>
      </c>
      <c r="C34" s="100">
        <v>15.58</v>
      </c>
      <c r="D34" s="100">
        <v>23.17</v>
      </c>
      <c r="E34" s="100">
        <v>5.0599999999999996</v>
      </c>
      <c r="F34" s="100">
        <v>2</v>
      </c>
      <c r="G34" s="100">
        <v>46.66</v>
      </c>
      <c r="H34" s="100">
        <v>15.74</v>
      </c>
      <c r="I34" s="100">
        <v>13.56</v>
      </c>
      <c r="J34" s="100">
        <v>0.14000000000000001</v>
      </c>
      <c r="K34" s="100">
        <v>214.72</v>
      </c>
      <c r="L34" s="100">
        <v>19.05</v>
      </c>
      <c r="M34" s="100">
        <v>29.95</v>
      </c>
      <c r="N34" s="100">
        <v>8.6</v>
      </c>
      <c r="O34" s="100">
        <v>0</v>
      </c>
      <c r="P34" s="100">
        <v>0.66</v>
      </c>
      <c r="Q34" s="100">
        <v>9.32</v>
      </c>
      <c r="R34" s="6"/>
      <c r="S34" s="6"/>
      <c r="T34" s="156"/>
      <c r="U34" s="6"/>
    </row>
    <row r="35" spans="1:21" customFormat="1">
      <c r="A35" s="201" t="s">
        <v>1614</v>
      </c>
      <c r="B35" s="100">
        <v>18.45</v>
      </c>
      <c r="C35" s="100">
        <v>15.49</v>
      </c>
      <c r="D35" s="100">
        <v>22.89</v>
      </c>
      <c r="E35" s="100">
        <v>5.0599999999999996</v>
      </c>
      <c r="F35" s="100">
        <v>2</v>
      </c>
      <c r="G35" s="100">
        <v>46.61</v>
      </c>
      <c r="H35" s="100">
        <v>15.77</v>
      </c>
      <c r="I35" s="100">
        <v>13.65</v>
      </c>
      <c r="J35" s="100">
        <v>0.14000000000000001</v>
      </c>
      <c r="K35" s="100">
        <v>211.86</v>
      </c>
      <c r="L35" s="100">
        <v>19.079999999999998</v>
      </c>
      <c r="M35" s="100">
        <v>29.78</v>
      </c>
      <c r="N35" s="100">
        <v>18.3</v>
      </c>
      <c r="O35" s="100">
        <v>0</v>
      </c>
      <c r="P35" s="100">
        <v>0.65</v>
      </c>
      <c r="Q35" s="100">
        <v>9.32</v>
      </c>
      <c r="R35" s="6"/>
      <c r="S35" s="6"/>
      <c r="T35" s="156"/>
      <c r="U35" s="6"/>
    </row>
    <row r="36" spans="1:21" customFormat="1">
      <c r="A36" s="201" t="s">
        <v>1615</v>
      </c>
      <c r="B36" s="100">
        <v>18.36</v>
      </c>
      <c r="C36" s="100">
        <v>15.26</v>
      </c>
      <c r="D36" s="100">
        <v>22.7</v>
      </c>
      <c r="E36" s="100">
        <v>5.21</v>
      </c>
      <c r="F36" s="100">
        <v>2</v>
      </c>
      <c r="G36" s="100">
        <v>46.15</v>
      </c>
      <c r="H36" s="100">
        <v>16.059999999999999</v>
      </c>
      <c r="I36" s="100">
        <v>13.71</v>
      </c>
      <c r="J36" s="100">
        <v>7.0000000000000007E-2</v>
      </c>
      <c r="K36" s="100">
        <v>196.72</v>
      </c>
      <c r="L36" s="100">
        <v>17.97</v>
      </c>
      <c r="M36" s="100">
        <v>26.69</v>
      </c>
      <c r="N36" s="100">
        <v>30.6</v>
      </c>
      <c r="O36" s="100">
        <v>0</v>
      </c>
      <c r="P36" s="100">
        <v>0.65</v>
      </c>
      <c r="Q36" s="100">
        <v>9.32</v>
      </c>
      <c r="R36" s="6"/>
      <c r="S36" s="6"/>
      <c r="T36" s="156"/>
      <c r="U36" s="6"/>
    </row>
    <row r="37" spans="1:21" customFormat="1">
      <c r="A37" s="201" t="s">
        <v>1616</v>
      </c>
      <c r="B37" s="100">
        <v>19.010000000000002</v>
      </c>
      <c r="C37" s="100">
        <v>15.56</v>
      </c>
      <c r="D37" s="100">
        <v>23.37</v>
      </c>
      <c r="E37" s="100">
        <v>5.14</v>
      </c>
      <c r="F37" s="100">
        <v>2</v>
      </c>
      <c r="G37" s="100">
        <v>46.15</v>
      </c>
      <c r="H37" s="100">
        <v>16.059999999999999</v>
      </c>
      <c r="I37" s="100">
        <v>13.71</v>
      </c>
      <c r="J37" s="100">
        <v>0.2</v>
      </c>
      <c r="K37" s="100">
        <v>65.67</v>
      </c>
      <c r="L37" s="100">
        <v>10.97</v>
      </c>
      <c r="M37" s="100">
        <v>8.66</v>
      </c>
      <c r="N37" s="100">
        <v>42.3</v>
      </c>
      <c r="O37" s="100">
        <v>0</v>
      </c>
      <c r="P37" s="100">
        <v>0.66</v>
      </c>
      <c r="Q37" s="100">
        <v>9.32</v>
      </c>
      <c r="R37" s="6"/>
      <c r="S37" s="6"/>
      <c r="T37" s="156"/>
      <c r="U37" s="6"/>
    </row>
    <row r="38" spans="1:21" customFormat="1">
      <c r="A38" s="201" t="s">
        <v>1617</v>
      </c>
      <c r="B38" s="100">
        <v>19.28</v>
      </c>
      <c r="C38" s="100">
        <v>15.8</v>
      </c>
      <c r="D38" s="100">
        <v>23.72</v>
      </c>
      <c r="E38" s="100">
        <v>5.07</v>
      </c>
      <c r="F38" s="100">
        <v>2</v>
      </c>
      <c r="G38" s="100">
        <v>46.15</v>
      </c>
      <c r="H38" s="100">
        <v>16.059999999999999</v>
      </c>
      <c r="I38" s="100">
        <v>13.74</v>
      </c>
      <c r="J38" s="100">
        <v>0.21</v>
      </c>
      <c r="K38" s="100">
        <v>41.19</v>
      </c>
      <c r="L38" s="100">
        <v>10.02</v>
      </c>
      <c r="M38" s="100">
        <v>5.87</v>
      </c>
      <c r="N38" s="100">
        <v>54.2</v>
      </c>
      <c r="O38" s="100">
        <v>0</v>
      </c>
      <c r="P38" s="100">
        <v>0.67</v>
      </c>
      <c r="Q38" s="100">
        <v>9.32</v>
      </c>
      <c r="R38" s="6"/>
      <c r="S38" s="6"/>
      <c r="T38" s="156"/>
      <c r="U38" s="6"/>
    </row>
    <row r="39" spans="1:21" customFormat="1">
      <c r="A39" s="201" t="s">
        <v>1618</v>
      </c>
      <c r="B39" s="100">
        <v>19.12</v>
      </c>
      <c r="C39" s="100">
        <v>16.23</v>
      </c>
      <c r="D39" s="100">
        <v>23.81</v>
      </c>
      <c r="E39" s="100">
        <v>5.37</v>
      </c>
      <c r="F39" s="100">
        <v>2</v>
      </c>
      <c r="G39" s="100">
        <v>46.69</v>
      </c>
      <c r="H39" s="100">
        <v>16.16</v>
      </c>
      <c r="I39" s="100">
        <v>13.76</v>
      </c>
      <c r="J39" s="100">
        <v>0.4</v>
      </c>
      <c r="K39" s="100">
        <v>28.98</v>
      </c>
      <c r="L39" s="100">
        <v>12.58</v>
      </c>
      <c r="M39" s="100">
        <v>11.92</v>
      </c>
      <c r="N39" s="100">
        <v>68.900000000000006</v>
      </c>
      <c r="O39" s="100">
        <v>0</v>
      </c>
      <c r="P39" s="100">
        <v>0.68</v>
      </c>
      <c r="Q39" s="100">
        <v>9.32</v>
      </c>
      <c r="R39" s="6"/>
      <c r="S39" s="6"/>
      <c r="T39" s="156"/>
      <c r="U39" s="6"/>
    </row>
    <row r="40" spans="1:21" customFormat="1">
      <c r="A40" s="201" t="s">
        <v>1619</v>
      </c>
      <c r="B40" s="100">
        <v>19.010000000000002</v>
      </c>
      <c r="C40" s="100">
        <v>16.850000000000001</v>
      </c>
      <c r="D40" s="100">
        <v>24.05</v>
      </c>
      <c r="E40" s="100">
        <v>5.47</v>
      </c>
      <c r="F40" s="100">
        <v>2</v>
      </c>
      <c r="G40" s="100">
        <v>51.61</v>
      </c>
      <c r="H40" s="100">
        <v>17</v>
      </c>
      <c r="I40" s="100">
        <v>13.74</v>
      </c>
      <c r="J40" s="100">
        <v>0.44</v>
      </c>
      <c r="K40" s="100">
        <v>24.01</v>
      </c>
      <c r="L40" s="100">
        <v>12.16</v>
      </c>
      <c r="M40" s="100">
        <v>9.25</v>
      </c>
      <c r="N40" s="100">
        <v>168</v>
      </c>
      <c r="O40" s="100">
        <v>0</v>
      </c>
      <c r="P40" s="100">
        <v>0.69</v>
      </c>
      <c r="Q40" s="100">
        <v>9.32</v>
      </c>
      <c r="R40" s="6"/>
      <c r="S40" s="6"/>
      <c r="T40" s="156"/>
      <c r="U40" s="6"/>
    </row>
    <row r="41" spans="1:21" customFormat="1">
      <c r="A41" s="201" t="s">
        <v>1620</v>
      </c>
      <c r="B41" s="100">
        <v>18.399999999999999</v>
      </c>
      <c r="C41" s="100">
        <v>17.329999999999998</v>
      </c>
      <c r="D41" s="100">
        <v>23.81</v>
      </c>
      <c r="E41" s="100">
        <v>5.63</v>
      </c>
      <c r="F41" s="100">
        <v>2</v>
      </c>
      <c r="G41" s="100">
        <v>51.61</v>
      </c>
      <c r="H41" s="100">
        <v>17</v>
      </c>
      <c r="I41" s="100">
        <v>13.72</v>
      </c>
      <c r="J41" s="100">
        <v>0.67</v>
      </c>
      <c r="K41" s="100">
        <v>59.32</v>
      </c>
      <c r="L41" s="100">
        <v>9.65</v>
      </c>
      <c r="M41" s="100">
        <v>1.35</v>
      </c>
      <c r="N41" s="100">
        <v>211</v>
      </c>
      <c r="O41" s="100">
        <v>0</v>
      </c>
      <c r="P41" s="100">
        <v>0.7</v>
      </c>
      <c r="Q41" s="100">
        <v>9.32</v>
      </c>
      <c r="R41" s="6"/>
      <c r="S41" s="6"/>
      <c r="T41" s="156"/>
      <c r="U41" s="6"/>
    </row>
    <row r="42" spans="1:21" customFormat="1">
      <c r="A42" s="201" t="s">
        <v>1621</v>
      </c>
      <c r="B42" s="100">
        <v>17.53</v>
      </c>
      <c r="C42" s="100">
        <v>17.600000000000001</v>
      </c>
      <c r="D42" s="100">
        <v>23.25</v>
      </c>
      <c r="E42" s="100">
        <v>5.41</v>
      </c>
      <c r="F42" s="100">
        <v>2</v>
      </c>
      <c r="G42" s="100">
        <v>51.61</v>
      </c>
      <c r="H42" s="100">
        <v>17</v>
      </c>
      <c r="I42" s="100">
        <v>13.73</v>
      </c>
      <c r="J42" s="100">
        <v>0.82</v>
      </c>
      <c r="K42" s="100">
        <v>43.75</v>
      </c>
      <c r="L42" s="100">
        <v>10.050000000000001</v>
      </c>
      <c r="M42" s="100">
        <v>1.36</v>
      </c>
      <c r="N42" s="100">
        <v>250.1</v>
      </c>
      <c r="O42" s="100">
        <v>0</v>
      </c>
      <c r="P42" s="100">
        <v>0.7</v>
      </c>
      <c r="Q42" s="100">
        <v>9.32</v>
      </c>
      <c r="R42" s="6"/>
      <c r="S42" s="6"/>
      <c r="T42" s="156"/>
      <c r="U42" s="6"/>
    </row>
    <row r="43" spans="1:21" customFormat="1">
      <c r="A43" s="201" t="s">
        <v>1622</v>
      </c>
      <c r="B43" s="100">
        <v>16.71</v>
      </c>
      <c r="C43" s="100">
        <v>17.97</v>
      </c>
      <c r="D43" s="100">
        <v>22.79</v>
      </c>
      <c r="E43" s="100">
        <v>5.36</v>
      </c>
      <c r="F43" s="100">
        <v>2</v>
      </c>
      <c r="G43" s="100">
        <v>51.68</v>
      </c>
      <c r="H43" s="100">
        <v>17.04</v>
      </c>
      <c r="I43" s="100">
        <v>13.77</v>
      </c>
      <c r="J43" s="100">
        <v>0.69</v>
      </c>
      <c r="K43" s="100">
        <v>42.38</v>
      </c>
      <c r="L43" s="100">
        <v>11.49</v>
      </c>
      <c r="M43" s="100">
        <v>3.93</v>
      </c>
      <c r="N43" s="100">
        <v>288</v>
      </c>
      <c r="O43" s="100">
        <v>0</v>
      </c>
      <c r="P43" s="100">
        <v>0.69</v>
      </c>
      <c r="Q43" s="100">
        <v>9.32</v>
      </c>
      <c r="R43" s="6"/>
      <c r="S43" s="6"/>
      <c r="T43" s="156"/>
      <c r="U43" s="6"/>
    </row>
    <row r="44" spans="1:21" customFormat="1">
      <c r="A44" s="201" t="s">
        <v>1623</v>
      </c>
      <c r="B44" s="100">
        <v>15.83</v>
      </c>
      <c r="C44" s="100">
        <v>18.32</v>
      </c>
      <c r="D44" s="100">
        <v>22.27</v>
      </c>
      <c r="E44" s="100">
        <v>5.36</v>
      </c>
      <c r="F44" s="100">
        <v>2</v>
      </c>
      <c r="G44" s="100">
        <v>52.43</v>
      </c>
      <c r="H44" s="100">
        <v>17.39</v>
      </c>
      <c r="I44" s="100">
        <v>13.8</v>
      </c>
      <c r="J44" s="100">
        <v>0.8</v>
      </c>
      <c r="K44" s="100">
        <v>44.62</v>
      </c>
      <c r="L44" s="100">
        <v>11.6</v>
      </c>
      <c r="M44" s="100">
        <v>3.48</v>
      </c>
      <c r="N44" s="100">
        <v>325.89999999999998</v>
      </c>
      <c r="O44" s="100">
        <v>0</v>
      </c>
      <c r="P44" s="100">
        <v>0.7</v>
      </c>
      <c r="Q44" s="100">
        <v>9.32</v>
      </c>
      <c r="R44" s="6"/>
      <c r="S44" s="6"/>
      <c r="T44" s="156"/>
      <c r="U44" s="6"/>
    </row>
    <row r="45" spans="1:21" customFormat="1">
      <c r="A45" s="201" t="s">
        <v>1624</v>
      </c>
      <c r="B45" s="100">
        <v>15.04</v>
      </c>
      <c r="C45" s="100">
        <v>18.829999999999998</v>
      </c>
      <c r="D45" s="100">
        <v>21.9</v>
      </c>
      <c r="E45" s="100">
        <v>5.75</v>
      </c>
      <c r="F45" s="100">
        <v>2.11</v>
      </c>
      <c r="G45" s="100">
        <v>52.43</v>
      </c>
      <c r="H45" s="100">
        <v>17.39</v>
      </c>
      <c r="I45" s="100">
        <v>13.8</v>
      </c>
      <c r="J45" s="100">
        <v>0.89</v>
      </c>
      <c r="K45" s="100">
        <v>42.44</v>
      </c>
      <c r="L45" s="100">
        <v>11.94</v>
      </c>
      <c r="M45" s="100">
        <v>3.36</v>
      </c>
      <c r="N45" s="100">
        <v>364.8</v>
      </c>
      <c r="O45" s="100">
        <v>0</v>
      </c>
      <c r="P45" s="100">
        <v>0.69</v>
      </c>
      <c r="Q45" s="100">
        <v>9.32</v>
      </c>
      <c r="R45" s="6"/>
      <c r="S45" s="6"/>
      <c r="T45" s="156"/>
      <c r="U45" s="6"/>
    </row>
    <row r="46" spans="1:21" customFormat="1">
      <c r="A46" s="201" t="s">
        <v>1625</v>
      </c>
      <c r="B46" s="100">
        <v>14.34</v>
      </c>
      <c r="C46" s="100">
        <v>19.28</v>
      </c>
      <c r="D46" s="100">
        <v>21.57</v>
      </c>
      <c r="E46" s="100">
        <v>5.5</v>
      </c>
      <c r="F46" s="100">
        <v>2.04</v>
      </c>
      <c r="G46" s="100">
        <v>52.43</v>
      </c>
      <c r="H46" s="100">
        <v>17.39</v>
      </c>
      <c r="I46" s="100">
        <v>13.73</v>
      </c>
      <c r="J46" s="100">
        <v>0.92</v>
      </c>
      <c r="K46" s="100">
        <v>41.01</v>
      </c>
      <c r="L46" s="100">
        <v>12.1</v>
      </c>
      <c r="M46" s="100">
        <v>2.99</v>
      </c>
      <c r="N46" s="100">
        <v>397.4</v>
      </c>
      <c r="O46" s="100">
        <v>0</v>
      </c>
      <c r="P46" s="100">
        <v>0.68</v>
      </c>
      <c r="Q46" s="100">
        <v>9.32</v>
      </c>
      <c r="R46" s="6"/>
      <c r="S46" s="6"/>
      <c r="T46" s="156"/>
      <c r="U46" s="6"/>
    </row>
    <row r="47" spans="1:21" customFormat="1">
      <c r="A47" s="201" t="s">
        <v>1626</v>
      </c>
      <c r="B47" s="100">
        <v>13.44</v>
      </c>
      <c r="C47" s="100">
        <v>19.8</v>
      </c>
      <c r="D47" s="100">
        <v>21.13</v>
      </c>
      <c r="E47" s="100">
        <v>5.69</v>
      </c>
      <c r="F47" s="100">
        <v>2.13</v>
      </c>
      <c r="G47" s="100">
        <v>52.74</v>
      </c>
      <c r="H47" s="100">
        <v>17.32</v>
      </c>
      <c r="I47" s="100">
        <v>13.61</v>
      </c>
      <c r="J47" s="100">
        <v>0.87</v>
      </c>
      <c r="K47" s="100">
        <v>45.01</v>
      </c>
      <c r="L47" s="100">
        <v>11.83</v>
      </c>
      <c r="M47" s="100">
        <v>5.04</v>
      </c>
      <c r="N47" s="100">
        <v>285.2</v>
      </c>
      <c r="O47" s="100">
        <v>0</v>
      </c>
      <c r="P47" s="100">
        <v>0.67</v>
      </c>
      <c r="Q47" s="100">
        <v>9.32</v>
      </c>
      <c r="R47" s="6"/>
      <c r="S47" s="6"/>
      <c r="T47" s="156"/>
      <c r="U47" s="6"/>
    </row>
    <row r="48" spans="1:21" customFormat="1">
      <c r="A48" s="201" t="s">
        <v>1627</v>
      </c>
      <c r="B48" s="100">
        <v>12.26</v>
      </c>
      <c r="C48" s="100">
        <v>20.079999999999998</v>
      </c>
      <c r="D48" s="100">
        <v>20.329999999999998</v>
      </c>
      <c r="E48" s="100">
        <v>5.88</v>
      </c>
      <c r="F48" s="100">
        <v>2</v>
      </c>
      <c r="G48" s="100">
        <v>55.57</v>
      </c>
      <c r="H48" s="100">
        <v>16.82</v>
      </c>
      <c r="I48" s="100">
        <v>13.48</v>
      </c>
      <c r="J48" s="100">
        <v>1.2</v>
      </c>
      <c r="K48" s="100">
        <v>43.74</v>
      </c>
      <c r="L48" s="100">
        <v>12.06</v>
      </c>
      <c r="M48" s="100">
        <v>3.28</v>
      </c>
      <c r="N48" s="100">
        <v>380.1</v>
      </c>
      <c r="O48" s="100">
        <v>0</v>
      </c>
      <c r="P48" s="100">
        <v>0.66</v>
      </c>
      <c r="Q48" s="100">
        <v>9.32</v>
      </c>
      <c r="R48" s="6"/>
      <c r="S48" s="6"/>
      <c r="T48" s="156"/>
      <c r="U48" s="6"/>
    </row>
    <row r="49" spans="1:21" customFormat="1">
      <c r="A49" s="201" t="s">
        <v>1628</v>
      </c>
      <c r="B49" s="100">
        <v>11.02</v>
      </c>
      <c r="C49" s="100">
        <v>20.2</v>
      </c>
      <c r="D49" s="100">
        <v>19.39</v>
      </c>
      <c r="E49" s="100">
        <v>5.92</v>
      </c>
      <c r="F49" s="100">
        <v>2.2400000000000002</v>
      </c>
      <c r="G49" s="100">
        <v>55.57</v>
      </c>
      <c r="H49" s="100">
        <v>16.82</v>
      </c>
      <c r="I49" s="100">
        <v>13.3</v>
      </c>
      <c r="J49" s="100">
        <v>0.99</v>
      </c>
      <c r="K49" s="100">
        <v>45.77</v>
      </c>
      <c r="L49" s="100">
        <v>13.72</v>
      </c>
      <c r="M49" s="100">
        <v>4.57</v>
      </c>
      <c r="N49" s="100">
        <v>503.4</v>
      </c>
      <c r="O49" s="100">
        <v>0</v>
      </c>
      <c r="P49" s="100">
        <v>0.65</v>
      </c>
      <c r="Q49" s="100">
        <v>9.32</v>
      </c>
      <c r="R49" s="6"/>
      <c r="S49" s="6"/>
      <c r="T49" s="156"/>
      <c r="U49" s="6"/>
    </row>
    <row r="50" spans="1:21" customFormat="1">
      <c r="A50" s="201" t="s">
        <v>1629</v>
      </c>
      <c r="B50" s="100">
        <v>9.82</v>
      </c>
      <c r="C50" s="100">
        <v>20.2</v>
      </c>
      <c r="D50" s="100">
        <v>18.43</v>
      </c>
      <c r="E50" s="100">
        <v>6.72</v>
      </c>
      <c r="F50" s="100">
        <v>3.48</v>
      </c>
      <c r="G50" s="100">
        <v>55.57</v>
      </c>
      <c r="H50" s="100">
        <v>16.82</v>
      </c>
      <c r="I50" s="100">
        <v>13.09</v>
      </c>
      <c r="J50" s="100">
        <v>1.1000000000000001</v>
      </c>
      <c r="K50" s="100">
        <v>43.85</v>
      </c>
      <c r="L50" s="100">
        <v>14.25</v>
      </c>
      <c r="M50" s="100">
        <v>5.28</v>
      </c>
      <c r="N50" s="100">
        <v>529.6</v>
      </c>
      <c r="O50" s="100">
        <v>0</v>
      </c>
      <c r="P50" s="100">
        <v>0.64</v>
      </c>
      <c r="Q50" s="100">
        <v>9.32</v>
      </c>
      <c r="R50" s="6"/>
      <c r="S50" s="6"/>
      <c r="T50" s="156"/>
      <c r="U50" s="6"/>
    </row>
    <row r="51" spans="1:21" customFormat="1">
      <c r="A51" s="201" t="s">
        <v>1630</v>
      </c>
      <c r="B51" s="100">
        <v>8.61</v>
      </c>
      <c r="C51" s="100">
        <v>20.3</v>
      </c>
      <c r="D51" s="100">
        <v>17.510000000000002</v>
      </c>
      <c r="E51" s="100">
        <v>7.01</v>
      </c>
      <c r="F51" s="100">
        <v>3.08</v>
      </c>
      <c r="G51" s="100">
        <v>55.08</v>
      </c>
      <c r="H51" s="100">
        <v>16.66</v>
      </c>
      <c r="I51" s="100">
        <v>12.9</v>
      </c>
      <c r="J51" s="100">
        <v>0.67</v>
      </c>
      <c r="K51" s="100">
        <v>41.12</v>
      </c>
      <c r="L51" s="100">
        <v>14.68</v>
      </c>
      <c r="M51" s="100">
        <v>5.86</v>
      </c>
      <c r="N51" s="100">
        <v>552.4</v>
      </c>
      <c r="O51" s="100">
        <v>0</v>
      </c>
      <c r="P51" s="100">
        <v>0.62</v>
      </c>
      <c r="Q51" s="100">
        <v>9.32</v>
      </c>
      <c r="R51" s="6"/>
      <c r="S51" s="6"/>
      <c r="T51" s="156"/>
      <c r="U51" s="6"/>
    </row>
    <row r="52" spans="1:21" customFormat="1">
      <c r="A52" s="201" t="s">
        <v>1631</v>
      </c>
      <c r="B52" s="100">
        <v>7.42</v>
      </c>
      <c r="C52" s="100">
        <v>20.29</v>
      </c>
      <c r="D52" s="100">
        <v>16.55</v>
      </c>
      <c r="E52" s="100">
        <v>6.97</v>
      </c>
      <c r="F52" s="100">
        <v>3.48</v>
      </c>
      <c r="G52" s="100">
        <v>50.6</v>
      </c>
      <c r="H52" s="100">
        <v>15.38</v>
      </c>
      <c r="I52" s="100">
        <v>12.7</v>
      </c>
      <c r="J52" s="100">
        <v>0.9</v>
      </c>
      <c r="K52" s="100">
        <v>44.74</v>
      </c>
      <c r="L52" s="100">
        <v>15.09</v>
      </c>
      <c r="M52" s="100">
        <v>7.4</v>
      </c>
      <c r="N52" s="100">
        <v>528.4</v>
      </c>
      <c r="O52" s="100">
        <v>0</v>
      </c>
      <c r="P52" s="100">
        <v>0.61</v>
      </c>
      <c r="Q52" s="100">
        <v>9.32</v>
      </c>
      <c r="R52" s="6"/>
      <c r="S52" s="6"/>
      <c r="T52" s="156"/>
      <c r="U52" s="6"/>
    </row>
    <row r="53" spans="1:21" customFormat="1">
      <c r="A53" s="201" t="s">
        <v>1632</v>
      </c>
      <c r="B53" s="100">
        <v>6.22</v>
      </c>
      <c r="C53" s="100">
        <v>20.239999999999998</v>
      </c>
      <c r="D53" s="100">
        <v>15.56</v>
      </c>
      <c r="E53" s="100">
        <v>7.09</v>
      </c>
      <c r="F53" s="100">
        <v>2.02</v>
      </c>
      <c r="G53" s="100">
        <v>50.6</v>
      </c>
      <c r="H53" s="100">
        <v>15.38</v>
      </c>
      <c r="I53" s="100">
        <v>12.45</v>
      </c>
      <c r="J53" s="100">
        <v>1.45</v>
      </c>
      <c r="K53" s="100">
        <v>40.21</v>
      </c>
      <c r="L53" s="100">
        <v>13.16</v>
      </c>
      <c r="M53" s="100">
        <v>1.18</v>
      </c>
      <c r="N53" s="100">
        <v>586</v>
      </c>
      <c r="O53" s="100">
        <v>0</v>
      </c>
      <c r="P53" s="100">
        <v>0.6</v>
      </c>
      <c r="Q53" s="100">
        <v>9.32</v>
      </c>
      <c r="R53" s="6"/>
      <c r="S53" s="6"/>
      <c r="T53" s="156"/>
      <c r="U53" s="6"/>
    </row>
    <row r="54" spans="1:21" customFormat="1">
      <c r="A54" s="201" t="s">
        <v>1633</v>
      </c>
      <c r="B54" s="100">
        <v>5.16</v>
      </c>
      <c r="C54" s="100">
        <v>20.260000000000002</v>
      </c>
      <c r="D54" s="100">
        <v>14.72</v>
      </c>
      <c r="E54" s="100">
        <v>7.38</v>
      </c>
      <c r="F54" s="100">
        <v>2.95</v>
      </c>
      <c r="G54" s="100">
        <v>50.6</v>
      </c>
      <c r="H54" s="100">
        <v>15.38</v>
      </c>
      <c r="I54" s="100">
        <v>12.05</v>
      </c>
      <c r="J54" s="100">
        <v>0.86</v>
      </c>
      <c r="K54" s="100">
        <v>48.78</v>
      </c>
      <c r="L54" s="100">
        <v>14.58</v>
      </c>
      <c r="M54" s="100">
        <v>4.68</v>
      </c>
      <c r="N54" s="100">
        <v>593.4</v>
      </c>
      <c r="O54" s="100">
        <v>0</v>
      </c>
      <c r="P54" s="100">
        <v>0.59</v>
      </c>
      <c r="Q54" s="100">
        <v>9.32</v>
      </c>
      <c r="R54" s="6"/>
      <c r="S54" s="6"/>
      <c r="T54" s="156"/>
      <c r="U54" s="6"/>
    </row>
    <row r="55" spans="1:21" customFormat="1">
      <c r="A55" s="201" t="s">
        <v>1634</v>
      </c>
      <c r="B55" s="100">
        <v>4.45</v>
      </c>
      <c r="C55" s="100">
        <v>19.91</v>
      </c>
      <c r="D55" s="100">
        <v>13.97</v>
      </c>
      <c r="E55" s="100">
        <v>7.67</v>
      </c>
      <c r="F55" s="100">
        <v>2.04</v>
      </c>
      <c r="G55" s="100">
        <v>49.87</v>
      </c>
      <c r="H55" s="100">
        <v>15.12</v>
      </c>
      <c r="I55" s="100">
        <v>11.65</v>
      </c>
      <c r="J55" s="100">
        <v>0.56999999999999995</v>
      </c>
      <c r="K55" s="100">
        <v>66.040000000000006</v>
      </c>
      <c r="L55" s="100">
        <v>17.22</v>
      </c>
      <c r="M55" s="100">
        <v>11.08</v>
      </c>
      <c r="N55" s="100">
        <v>601.9</v>
      </c>
      <c r="O55" s="100">
        <v>0</v>
      </c>
      <c r="P55" s="100">
        <v>0.61</v>
      </c>
      <c r="Q55" s="100">
        <v>9.32</v>
      </c>
      <c r="R55" s="6"/>
      <c r="S55" s="6"/>
      <c r="T55" s="156"/>
      <c r="U55" s="6"/>
    </row>
    <row r="56" spans="1:21" customFormat="1">
      <c r="A56" s="201" t="s">
        <v>1635</v>
      </c>
      <c r="B56" s="100">
        <v>3.86</v>
      </c>
      <c r="C56" s="100">
        <v>19.48</v>
      </c>
      <c r="D56" s="100">
        <v>13.27</v>
      </c>
      <c r="E56" s="100">
        <v>7.77</v>
      </c>
      <c r="F56" s="100">
        <v>2.09</v>
      </c>
      <c r="G56" s="100">
        <v>43.26</v>
      </c>
      <c r="H56" s="100">
        <v>12.98</v>
      </c>
      <c r="I56" s="100">
        <v>11.41</v>
      </c>
      <c r="J56" s="100">
        <v>0.32</v>
      </c>
      <c r="K56" s="100">
        <v>83.77</v>
      </c>
      <c r="L56" s="100">
        <v>18.309999999999999</v>
      </c>
      <c r="M56" s="100">
        <v>13.69</v>
      </c>
      <c r="N56" s="100">
        <v>608.9</v>
      </c>
      <c r="O56" s="100">
        <v>0</v>
      </c>
      <c r="P56" s="100">
        <v>0.6</v>
      </c>
      <c r="Q56" s="100">
        <v>9.32</v>
      </c>
      <c r="R56" s="6"/>
      <c r="S56" s="6"/>
      <c r="T56" s="156"/>
      <c r="U56" s="6"/>
    </row>
    <row r="57" spans="1:21" customFormat="1">
      <c r="A57" s="201" t="s">
        <v>1636</v>
      </c>
      <c r="B57" s="100">
        <v>3.38</v>
      </c>
      <c r="C57" s="100">
        <v>18.82</v>
      </c>
      <c r="D57" s="100">
        <v>12.54</v>
      </c>
      <c r="E57" s="100">
        <v>7.56</v>
      </c>
      <c r="F57" s="100">
        <v>2.1800000000000002</v>
      </c>
      <c r="G57" s="100">
        <v>43.26</v>
      </c>
      <c r="H57" s="100">
        <v>12.98</v>
      </c>
      <c r="I57" s="100">
        <v>11.17</v>
      </c>
      <c r="J57" s="100">
        <v>0.73</v>
      </c>
      <c r="K57" s="100">
        <v>29.45</v>
      </c>
      <c r="L57" s="100">
        <v>17.329999999999998</v>
      </c>
      <c r="M57" s="100">
        <v>11.61</v>
      </c>
      <c r="N57" s="100">
        <v>588.70000000000005</v>
      </c>
      <c r="O57" s="100">
        <v>0</v>
      </c>
      <c r="P57" s="100">
        <v>0.59</v>
      </c>
      <c r="Q57" s="100">
        <v>9.32</v>
      </c>
      <c r="R57" s="6"/>
      <c r="S57" s="6"/>
      <c r="T57" s="156"/>
      <c r="U57" s="6"/>
    </row>
    <row r="58" spans="1:21" customFormat="1">
      <c r="A58" s="201" t="s">
        <v>1637</v>
      </c>
      <c r="B58" s="100">
        <v>3.06</v>
      </c>
      <c r="C58" s="100">
        <v>18.22</v>
      </c>
      <c r="D58" s="100">
        <v>11.97</v>
      </c>
      <c r="E58" s="100">
        <v>7.33</v>
      </c>
      <c r="F58" s="100">
        <v>3.79</v>
      </c>
      <c r="G58" s="100">
        <v>43.26</v>
      </c>
      <c r="H58" s="100">
        <v>12.98</v>
      </c>
      <c r="I58" s="100">
        <v>10.98</v>
      </c>
      <c r="J58" s="100">
        <v>0.63</v>
      </c>
      <c r="K58" s="100">
        <v>36.85</v>
      </c>
      <c r="L58" s="100">
        <v>15.77</v>
      </c>
      <c r="M58" s="100">
        <v>8.23</v>
      </c>
      <c r="N58" s="100">
        <v>568.79999999999995</v>
      </c>
      <c r="O58" s="100">
        <v>0</v>
      </c>
      <c r="P58" s="100">
        <v>0.57999999999999996</v>
      </c>
      <c r="Q58" s="100">
        <v>9.32</v>
      </c>
      <c r="R58" s="6"/>
      <c r="S58" s="6"/>
      <c r="T58" s="156"/>
      <c r="U58" s="6"/>
    </row>
    <row r="59" spans="1:21" customFormat="1">
      <c r="A59" s="201" t="s">
        <v>1638</v>
      </c>
      <c r="B59" s="100">
        <v>2.82</v>
      </c>
      <c r="C59" s="100">
        <v>17.73</v>
      </c>
      <c r="D59" s="100">
        <v>11.53</v>
      </c>
      <c r="E59" s="100">
        <v>7.51</v>
      </c>
      <c r="F59" s="100">
        <v>2.8</v>
      </c>
      <c r="G59" s="100">
        <v>42.7</v>
      </c>
      <c r="H59" s="100">
        <v>12.84</v>
      </c>
      <c r="I59" s="100">
        <v>10.82</v>
      </c>
      <c r="J59" s="100">
        <v>0.28999999999999998</v>
      </c>
      <c r="K59" s="100">
        <v>74.92</v>
      </c>
      <c r="L59" s="100">
        <v>17.510000000000002</v>
      </c>
      <c r="M59" s="100">
        <v>13.15</v>
      </c>
      <c r="N59" s="100">
        <v>547.70000000000005</v>
      </c>
      <c r="O59" s="100">
        <v>0</v>
      </c>
      <c r="P59" s="100">
        <v>0.56999999999999995</v>
      </c>
      <c r="Q59" s="100">
        <v>9.32</v>
      </c>
      <c r="R59" s="6"/>
      <c r="S59" s="6"/>
      <c r="T59" s="156"/>
      <c r="U59" s="6"/>
    </row>
    <row r="60" spans="1:21" customFormat="1">
      <c r="A60" s="201" t="s">
        <v>1639</v>
      </c>
      <c r="B60" s="100">
        <v>2.67</v>
      </c>
      <c r="C60" s="100">
        <v>17.329999999999998</v>
      </c>
      <c r="D60" s="100">
        <v>11.19</v>
      </c>
      <c r="E60" s="100">
        <v>8.1</v>
      </c>
      <c r="F60" s="100">
        <v>2.2200000000000002</v>
      </c>
      <c r="G60" s="100">
        <v>37.69</v>
      </c>
      <c r="H60" s="100">
        <v>11.73</v>
      </c>
      <c r="I60" s="100">
        <v>10.66</v>
      </c>
      <c r="J60" s="100">
        <v>0.79</v>
      </c>
      <c r="K60" s="100">
        <v>40.409999999999997</v>
      </c>
      <c r="L60" s="100">
        <v>15.4</v>
      </c>
      <c r="M60" s="100">
        <v>8.7200000000000006</v>
      </c>
      <c r="N60" s="100">
        <v>507.7</v>
      </c>
      <c r="O60" s="100">
        <v>0</v>
      </c>
      <c r="P60" s="100">
        <v>0.55000000000000004</v>
      </c>
      <c r="Q60" s="100">
        <v>9.32</v>
      </c>
      <c r="R60" s="6"/>
      <c r="S60" s="6"/>
      <c r="T60" s="156"/>
      <c r="U60" s="6"/>
    </row>
    <row r="61" spans="1:21" customFormat="1">
      <c r="A61" s="201" t="s">
        <v>1640</v>
      </c>
      <c r="B61" s="100">
        <v>2.61</v>
      </c>
      <c r="C61" s="100">
        <v>17.010000000000002</v>
      </c>
      <c r="D61" s="100">
        <v>10.98</v>
      </c>
      <c r="E61" s="100">
        <v>7.87</v>
      </c>
      <c r="F61" s="100">
        <v>2.58</v>
      </c>
      <c r="G61" s="100">
        <v>37.69</v>
      </c>
      <c r="H61" s="100">
        <v>11.73</v>
      </c>
      <c r="I61" s="100">
        <v>10.43</v>
      </c>
      <c r="J61" s="100">
        <v>0.61</v>
      </c>
      <c r="K61" s="100">
        <v>43.57</v>
      </c>
      <c r="L61" s="100">
        <v>17.32</v>
      </c>
      <c r="M61" s="100">
        <v>13.79</v>
      </c>
      <c r="N61" s="100">
        <v>499.4</v>
      </c>
      <c r="O61" s="100">
        <v>0</v>
      </c>
      <c r="P61" s="100">
        <v>0.55000000000000004</v>
      </c>
      <c r="Q61" s="100">
        <v>9.32</v>
      </c>
      <c r="R61" s="6"/>
      <c r="S61" s="6"/>
      <c r="T61" s="156"/>
      <c r="U61" s="6"/>
    </row>
    <row r="62" spans="1:21" customFormat="1">
      <c r="A62" s="201" t="s">
        <v>1641</v>
      </c>
      <c r="B62" s="100">
        <v>2.5099999999999998</v>
      </c>
      <c r="C62" s="100">
        <v>16.829999999999998</v>
      </c>
      <c r="D62" s="100">
        <v>10.8</v>
      </c>
      <c r="E62" s="100">
        <v>8.2899999999999991</v>
      </c>
      <c r="F62" s="100">
        <v>3.24</v>
      </c>
      <c r="G62" s="100">
        <v>37.69</v>
      </c>
      <c r="H62" s="100">
        <v>11.73</v>
      </c>
      <c r="I62" s="100">
        <v>10.28</v>
      </c>
      <c r="J62" s="100">
        <v>0.32</v>
      </c>
      <c r="K62" s="100">
        <v>24.05</v>
      </c>
      <c r="L62" s="100">
        <v>18.899999999999999</v>
      </c>
      <c r="M62" s="100">
        <v>20.77</v>
      </c>
      <c r="N62" s="100">
        <v>366.9</v>
      </c>
      <c r="O62" s="100">
        <v>0</v>
      </c>
      <c r="P62" s="100">
        <v>0.54</v>
      </c>
      <c r="Q62" s="100">
        <v>9.32</v>
      </c>
      <c r="R62" s="6"/>
      <c r="S62" s="6"/>
      <c r="T62" s="156"/>
      <c r="U62" s="6"/>
    </row>
    <row r="63" spans="1:21" customFormat="1">
      <c r="A63" s="201" t="s">
        <v>1642</v>
      </c>
      <c r="B63" s="100">
        <v>2.4900000000000002</v>
      </c>
      <c r="C63" s="100">
        <v>16.78</v>
      </c>
      <c r="D63" s="100">
        <v>10.77</v>
      </c>
      <c r="E63" s="100">
        <v>5.7</v>
      </c>
      <c r="F63" s="100">
        <v>4.9400000000000004</v>
      </c>
      <c r="G63" s="100">
        <v>37.47</v>
      </c>
      <c r="H63" s="100">
        <v>11.68</v>
      </c>
      <c r="I63" s="100">
        <v>10.15</v>
      </c>
      <c r="J63" s="100">
        <v>0.39</v>
      </c>
      <c r="K63" s="100">
        <v>59.9</v>
      </c>
      <c r="L63" s="100">
        <v>14.78</v>
      </c>
      <c r="M63" s="100">
        <v>11.14</v>
      </c>
      <c r="N63" s="100">
        <v>341.3</v>
      </c>
      <c r="O63" s="100">
        <v>0</v>
      </c>
      <c r="P63" s="100">
        <v>0.53</v>
      </c>
      <c r="Q63" s="100">
        <v>9.32</v>
      </c>
      <c r="R63" s="6"/>
      <c r="S63" s="6"/>
      <c r="T63" s="156"/>
      <c r="U63" s="6"/>
    </row>
    <row r="64" spans="1:21" customFormat="1">
      <c r="A64" s="201" t="s">
        <v>1643</v>
      </c>
      <c r="B64" s="100">
        <v>2.46</v>
      </c>
      <c r="C64" s="100">
        <v>16.64</v>
      </c>
      <c r="D64" s="100">
        <v>10.67</v>
      </c>
      <c r="E64" s="100">
        <v>8.14</v>
      </c>
      <c r="F64" s="100">
        <v>3.06</v>
      </c>
      <c r="G64" s="100">
        <v>35.47</v>
      </c>
      <c r="H64" s="100">
        <v>11.21</v>
      </c>
      <c r="I64" s="100">
        <v>10.01</v>
      </c>
      <c r="J64" s="100">
        <v>0.41</v>
      </c>
      <c r="K64" s="100">
        <v>36.81</v>
      </c>
      <c r="L64" s="100">
        <v>14.49</v>
      </c>
      <c r="M64" s="100">
        <v>12.68</v>
      </c>
      <c r="N64" s="100">
        <v>239.5</v>
      </c>
      <c r="O64" s="100">
        <v>0</v>
      </c>
      <c r="P64" s="100">
        <v>0.52</v>
      </c>
      <c r="Q64" s="100">
        <v>9.32</v>
      </c>
      <c r="R64" s="6"/>
      <c r="S64" s="6"/>
      <c r="T64" s="156"/>
      <c r="U64" s="6"/>
    </row>
    <row r="65" spans="1:21" customFormat="1">
      <c r="A65" s="201" t="s">
        <v>1644</v>
      </c>
      <c r="B65" s="100">
        <v>2.46</v>
      </c>
      <c r="C65" s="100">
        <v>16.97</v>
      </c>
      <c r="D65" s="100">
        <v>10.84</v>
      </c>
      <c r="E65" s="100">
        <v>9.0500000000000007</v>
      </c>
      <c r="F65" s="100">
        <v>3.59</v>
      </c>
      <c r="G65" s="100">
        <v>35.47</v>
      </c>
      <c r="H65" s="100">
        <v>11.21</v>
      </c>
      <c r="I65" s="100">
        <v>9.86</v>
      </c>
      <c r="J65" s="100">
        <v>0.56999999999999995</v>
      </c>
      <c r="K65" s="100">
        <v>4.03</v>
      </c>
      <c r="L65" s="100">
        <v>19.760000000000002</v>
      </c>
      <c r="M65" s="100">
        <v>28.03</v>
      </c>
      <c r="N65" s="100">
        <v>124.5</v>
      </c>
      <c r="O65" s="100">
        <v>0</v>
      </c>
      <c r="P65" s="100">
        <v>0.45</v>
      </c>
      <c r="Q65" s="100">
        <v>9.32</v>
      </c>
      <c r="R65" s="6"/>
      <c r="S65" s="6"/>
      <c r="T65" s="156"/>
      <c r="U65" s="6"/>
    </row>
    <row r="66" spans="1:21" customFormat="1">
      <c r="A66" s="201" t="s">
        <v>1645</v>
      </c>
      <c r="B66" s="100">
        <v>2.48</v>
      </c>
      <c r="C66" s="100">
        <v>16.7</v>
      </c>
      <c r="D66" s="100">
        <v>10.71</v>
      </c>
      <c r="E66" s="100">
        <v>8.86</v>
      </c>
      <c r="F66" s="100">
        <v>6.23</v>
      </c>
      <c r="G66" s="100">
        <v>35.47</v>
      </c>
      <c r="H66" s="100">
        <v>11.21</v>
      </c>
      <c r="I66" s="100">
        <v>9.69</v>
      </c>
      <c r="J66" s="100">
        <v>0.2</v>
      </c>
      <c r="K66" s="100">
        <v>119.48</v>
      </c>
      <c r="L66" s="100">
        <v>14.9</v>
      </c>
      <c r="M66" s="100">
        <v>16.98</v>
      </c>
      <c r="N66" s="100">
        <v>106</v>
      </c>
      <c r="O66" s="100">
        <v>0</v>
      </c>
      <c r="P66" s="100">
        <v>0.47</v>
      </c>
      <c r="Q66" s="100">
        <v>9.32</v>
      </c>
      <c r="R66" s="6"/>
      <c r="S66" s="6"/>
      <c r="T66" s="156"/>
      <c r="U66" s="6"/>
    </row>
    <row r="67" spans="1:21" customFormat="1">
      <c r="A67" s="201" t="s">
        <v>1646</v>
      </c>
      <c r="B67" s="100">
        <v>2.34</v>
      </c>
      <c r="C67" s="100">
        <v>16.25</v>
      </c>
      <c r="D67" s="100">
        <v>10.37</v>
      </c>
      <c r="E67" s="100">
        <v>8.9600000000000009</v>
      </c>
      <c r="F67" s="100">
        <v>2.42</v>
      </c>
      <c r="G67" s="100">
        <v>35.19</v>
      </c>
      <c r="H67" s="100">
        <v>11.12</v>
      </c>
      <c r="I67" s="100">
        <v>9.51</v>
      </c>
      <c r="J67" s="100">
        <v>0.4</v>
      </c>
      <c r="K67" s="100">
        <v>78.62</v>
      </c>
      <c r="L67" s="100">
        <v>12.33</v>
      </c>
      <c r="M67" s="100">
        <v>10.75</v>
      </c>
      <c r="N67" s="100">
        <v>98.9</v>
      </c>
      <c r="O67" s="100">
        <v>0</v>
      </c>
      <c r="P67" s="100">
        <v>0.46</v>
      </c>
      <c r="Q67" s="100">
        <v>9.32</v>
      </c>
      <c r="R67" s="6"/>
      <c r="S67" s="6"/>
      <c r="T67" s="156"/>
      <c r="U67" s="6"/>
    </row>
    <row r="68" spans="1:21" customFormat="1">
      <c r="A68" s="201" t="s">
        <v>1647</v>
      </c>
      <c r="B68" s="100">
        <v>2.33</v>
      </c>
      <c r="C68" s="100">
        <v>16.420000000000002</v>
      </c>
      <c r="D68" s="100">
        <v>10.44</v>
      </c>
      <c r="E68" s="100">
        <v>9.59</v>
      </c>
      <c r="F68" s="100">
        <v>3.31</v>
      </c>
      <c r="G68" s="100">
        <v>32.630000000000003</v>
      </c>
      <c r="H68" s="100">
        <v>10.32</v>
      </c>
      <c r="I68" s="100">
        <v>9.4600000000000009</v>
      </c>
      <c r="J68" s="100">
        <v>0.51</v>
      </c>
      <c r="K68" s="100">
        <v>39.64</v>
      </c>
      <c r="L68" s="100">
        <v>13.05</v>
      </c>
      <c r="M68" s="100">
        <v>13.2</v>
      </c>
      <c r="N68" s="100">
        <v>92.8</v>
      </c>
      <c r="O68" s="100">
        <v>0</v>
      </c>
      <c r="P68" s="100">
        <v>0.46</v>
      </c>
      <c r="Q68" s="100">
        <v>9.32</v>
      </c>
      <c r="R68" s="6"/>
      <c r="S68" s="6"/>
      <c r="T68" s="156"/>
      <c r="U68" s="6"/>
    </row>
    <row r="69" spans="1:21" customFormat="1">
      <c r="A69" s="201" t="s">
        <v>1648</v>
      </c>
      <c r="B69" s="100">
        <v>2.3199999999999998</v>
      </c>
      <c r="C69" s="100">
        <v>16.57</v>
      </c>
      <c r="D69" s="100">
        <v>10.51</v>
      </c>
      <c r="E69" s="100">
        <v>11.63</v>
      </c>
      <c r="F69" s="100">
        <v>3.08</v>
      </c>
      <c r="G69" s="100">
        <v>32.630000000000003</v>
      </c>
      <c r="H69" s="100">
        <v>10.32</v>
      </c>
      <c r="I69" s="100">
        <v>9.3699999999999992</v>
      </c>
      <c r="J69" s="100">
        <v>0.35</v>
      </c>
      <c r="K69" s="100">
        <v>66.58</v>
      </c>
      <c r="L69" s="100">
        <v>12.8</v>
      </c>
      <c r="M69" s="100">
        <v>12.26</v>
      </c>
      <c r="N69" s="100">
        <v>82.2</v>
      </c>
      <c r="O69" s="100">
        <v>0</v>
      </c>
      <c r="P69" s="100">
        <v>0.45</v>
      </c>
      <c r="Q69" s="100">
        <v>9.32</v>
      </c>
      <c r="R69" s="6"/>
      <c r="S69" s="6"/>
      <c r="T69" s="156"/>
      <c r="U69" s="6"/>
    </row>
    <row r="70" spans="1:21" customFormat="1">
      <c r="A70" s="201" t="s">
        <v>1649</v>
      </c>
      <c r="B70" s="100">
        <v>2.36</v>
      </c>
      <c r="C70" s="100">
        <v>16.55</v>
      </c>
      <c r="D70" s="100">
        <v>10.54</v>
      </c>
      <c r="E70" s="100">
        <v>9.7200000000000006</v>
      </c>
      <c r="F70" s="100">
        <v>4.45</v>
      </c>
      <c r="G70" s="100">
        <v>32.630000000000003</v>
      </c>
      <c r="H70" s="100">
        <v>10.32</v>
      </c>
      <c r="I70" s="100">
        <v>9.2200000000000006</v>
      </c>
      <c r="J70" s="100">
        <v>0.63</v>
      </c>
      <c r="K70" s="100">
        <v>47.13</v>
      </c>
      <c r="L70" s="100">
        <v>9.5</v>
      </c>
      <c r="M70" s="100">
        <v>4.22</v>
      </c>
      <c r="N70" s="100">
        <v>69.3</v>
      </c>
      <c r="O70" s="100">
        <v>0</v>
      </c>
      <c r="P70" s="100">
        <v>0.45</v>
      </c>
      <c r="Q70" s="100">
        <v>9.32</v>
      </c>
      <c r="R70" s="6"/>
      <c r="S70" s="6"/>
      <c r="T70" s="156"/>
      <c r="U70" s="6"/>
    </row>
    <row r="71" spans="1:21" customFormat="1">
      <c r="A71" s="201" t="s">
        <v>1650</v>
      </c>
      <c r="B71" s="100">
        <v>2.38</v>
      </c>
      <c r="C71" s="100">
        <v>16.62</v>
      </c>
      <c r="D71" s="100">
        <v>10.59</v>
      </c>
      <c r="E71" s="100">
        <v>11.57</v>
      </c>
      <c r="F71" s="100">
        <v>4.13</v>
      </c>
      <c r="G71" s="100">
        <v>32.99</v>
      </c>
      <c r="H71" s="100">
        <v>10.34</v>
      </c>
      <c r="I71" s="100">
        <v>9.23</v>
      </c>
      <c r="J71" s="100">
        <v>0.35</v>
      </c>
      <c r="K71" s="100">
        <v>80.94</v>
      </c>
      <c r="L71" s="100">
        <v>11.93</v>
      </c>
      <c r="M71" s="100">
        <v>10.68</v>
      </c>
      <c r="N71" s="100">
        <v>60.8</v>
      </c>
      <c r="O71" s="100">
        <v>0</v>
      </c>
      <c r="P71" s="100">
        <v>0.44</v>
      </c>
      <c r="Q71" s="100">
        <v>9.32</v>
      </c>
      <c r="R71" s="6"/>
      <c r="S71" s="6"/>
      <c r="T71" s="156"/>
      <c r="U71" s="6"/>
    </row>
    <row r="72" spans="1:21" customFormat="1">
      <c r="A72" s="201" t="s">
        <v>1651</v>
      </c>
      <c r="B72" s="100">
        <v>2.33</v>
      </c>
      <c r="C72" s="100">
        <v>16.78</v>
      </c>
      <c r="D72" s="100">
        <v>10.64</v>
      </c>
      <c r="E72" s="100">
        <v>11.98</v>
      </c>
      <c r="F72" s="100">
        <v>2.08</v>
      </c>
      <c r="G72" s="100">
        <v>36.28</v>
      </c>
      <c r="H72" s="100">
        <v>10.47</v>
      </c>
      <c r="I72" s="100">
        <v>9.1199999999999992</v>
      </c>
      <c r="J72" s="100">
        <v>0.57999999999999996</v>
      </c>
      <c r="K72" s="100">
        <v>40.81</v>
      </c>
      <c r="L72" s="100">
        <v>9.66</v>
      </c>
      <c r="M72" s="100">
        <v>4.9800000000000004</v>
      </c>
      <c r="N72" s="100">
        <v>51.1</v>
      </c>
      <c r="O72" s="100">
        <v>0</v>
      </c>
      <c r="P72" s="100">
        <v>0.44</v>
      </c>
      <c r="Q72" s="100">
        <v>9.32</v>
      </c>
      <c r="R72" s="6"/>
      <c r="S72" s="6"/>
      <c r="T72" s="156"/>
      <c r="U72" s="6"/>
    </row>
    <row r="73" spans="1:21" customFormat="1">
      <c r="A73" s="201" t="s">
        <v>1652</v>
      </c>
      <c r="B73" s="100">
        <v>2.38</v>
      </c>
      <c r="C73" s="100">
        <v>16.78</v>
      </c>
      <c r="D73" s="100">
        <v>10.68</v>
      </c>
      <c r="E73" s="100">
        <v>8.69</v>
      </c>
      <c r="F73" s="100">
        <v>3.65</v>
      </c>
      <c r="G73" s="100">
        <v>36.28</v>
      </c>
      <c r="H73" s="100">
        <v>10.47</v>
      </c>
      <c r="I73" s="100">
        <v>9.01</v>
      </c>
      <c r="J73" s="100">
        <v>0.17</v>
      </c>
      <c r="K73" s="100">
        <v>97.03</v>
      </c>
      <c r="L73" s="100">
        <v>12.91</v>
      </c>
      <c r="M73" s="100">
        <v>13.54</v>
      </c>
      <c r="N73" s="100">
        <v>43</v>
      </c>
      <c r="O73" s="100">
        <v>0</v>
      </c>
      <c r="P73" s="100">
        <v>0.44</v>
      </c>
      <c r="Q73" s="100">
        <v>9.32</v>
      </c>
      <c r="R73" s="6"/>
      <c r="S73" s="6"/>
      <c r="T73" s="156"/>
      <c r="U73" s="6"/>
    </row>
    <row r="74" spans="1:21" customFormat="1">
      <c r="A74" s="201" t="s">
        <v>1653</v>
      </c>
      <c r="B74" s="100">
        <v>2.31</v>
      </c>
      <c r="C74" s="100">
        <v>16.23</v>
      </c>
      <c r="D74" s="100">
        <v>10.33</v>
      </c>
      <c r="E74" s="100">
        <v>7.54</v>
      </c>
      <c r="F74" s="100">
        <v>7.47</v>
      </c>
      <c r="G74" s="100">
        <v>36.28</v>
      </c>
      <c r="H74" s="100">
        <v>10.47</v>
      </c>
      <c r="I74" s="100">
        <v>8.9600000000000009</v>
      </c>
      <c r="J74" s="100">
        <v>0.37</v>
      </c>
      <c r="K74" s="100">
        <v>54.8</v>
      </c>
      <c r="L74" s="100">
        <v>8.34</v>
      </c>
      <c r="M74" s="100">
        <v>2.21</v>
      </c>
      <c r="N74" s="100">
        <v>33.4</v>
      </c>
      <c r="O74" s="100">
        <v>0</v>
      </c>
      <c r="P74" s="100">
        <v>0.42</v>
      </c>
      <c r="Q74" s="100">
        <v>9.32</v>
      </c>
      <c r="R74" s="6"/>
      <c r="S74" s="6"/>
      <c r="T74" s="156"/>
      <c r="U74" s="6"/>
    </row>
    <row r="75" spans="1:21" customFormat="1">
      <c r="A75" s="201" t="s">
        <v>1654</v>
      </c>
      <c r="B75" s="100">
        <v>2.25</v>
      </c>
      <c r="C75" s="100">
        <v>16.329999999999998</v>
      </c>
      <c r="D75" s="100">
        <v>10.34</v>
      </c>
      <c r="E75" s="100">
        <v>7.11</v>
      </c>
      <c r="F75" s="100">
        <v>6.19</v>
      </c>
      <c r="G75" s="100">
        <v>36.200000000000003</v>
      </c>
      <c r="H75" s="100">
        <v>10.46</v>
      </c>
      <c r="I75" s="100">
        <v>9</v>
      </c>
      <c r="J75" s="100">
        <v>0.24</v>
      </c>
      <c r="K75" s="100">
        <v>45.19</v>
      </c>
      <c r="L75" s="100">
        <v>11.28</v>
      </c>
      <c r="M75" s="100">
        <v>9.77</v>
      </c>
      <c r="N75" s="100">
        <v>24.5</v>
      </c>
      <c r="O75" s="100">
        <v>0</v>
      </c>
      <c r="P75" s="100">
        <v>0.41</v>
      </c>
      <c r="Q75" s="100">
        <v>9.32</v>
      </c>
      <c r="R75" s="6"/>
      <c r="S75" s="6"/>
      <c r="T75" s="156"/>
      <c r="U75" s="6"/>
    </row>
    <row r="76" spans="1:21" customFormat="1">
      <c r="A76" s="201" t="s">
        <v>1655</v>
      </c>
      <c r="B76" s="100">
        <v>2.25</v>
      </c>
      <c r="C76" s="100">
        <v>16.28</v>
      </c>
      <c r="D76" s="100">
        <v>10.31</v>
      </c>
      <c r="E76" s="100">
        <v>7.11</v>
      </c>
      <c r="F76" s="100">
        <v>3.73</v>
      </c>
      <c r="G76" s="100">
        <v>35.409999999999997</v>
      </c>
      <c r="H76" s="100">
        <v>10.42</v>
      </c>
      <c r="I76" s="100">
        <v>8.9600000000000009</v>
      </c>
      <c r="J76" s="100">
        <v>0.27</v>
      </c>
      <c r="K76" s="100">
        <v>156.47999999999999</v>
      </c>
      <c r="L76" s="100">
        <v>14.82</v>
      </c>
      <c r="M76" s="100">
        <v>19.18</v>
      </c>
      <c r="N76" s="100">
        <v>16</v>
      </c>
      <c r="O76" s="100">
        <v>0</v>
      </c>
      <c r="P76" s="100">
        <v>0.41</v>
      </c>
      <c r="Q76" s="100">
        <v>9.32</v>
      </c>
      <c r="R76" s="6"/>
      <c r="S76" s="6"/>
      <c r="T76" s="156"/>
      <c r="U76" s="6"/>
    </row>
    <row r="77" spans="1:21" customFormat="1">
      <c r="A77" s="201" t="s">
        <v>1656</v>
      </c>
      <c r="B77" s="100">
        <v>2.2599999999999998</v>
      </c>
      <c r="C77" s="100">
        <v>16.22</v>
      </c>
      <c r="D77" s="100">
        <v>10.29</v>
      </c>
      <c r="E77" s="100">
        <v>7.05</v>
      </c>
      <c r="F77" s="100">
        <v>2.0499999999999998</v>
      </c>
      <c r="G77" s="100">
        <v>35.409999999999997</v>
      </c>
      <c r="H77" s="100">
        <v>10.42</v>
      </c>
      <c r="I77" s="100">
        <v>8.89</v>
      </c>
      <c r="J77" s="100">
        <v>0.31</v>
      </c>
      <c r="K77" s="100">
        <v>164.7</v>
      </c>
      <c r="L77" s="100">
        <v>15.68</v>
      </c>
      <c r="M77" s="100">
        <v>21.49</v>
      </c>
      <c r="N77" s="100">
        <v>8</v>
      </c>
      <c r="O77" s="100">
        <v>0</v>
      </c>
      <c r="P77" s="100">
        <v>0.41</v>
      </c>
      <c r="Q77" s="100">
        <v>9.32</v>
      </c>
      <c r="R77" s="6"/>
      <c r="S77" s="6"/>
      <c r="T77" s="156"/>
      <c r="U77" s="6"/>
    </row>
    <row r="78" spans="1:21" customFormat="1">
      <c r="A78" s="201" t="s">
        <v>1657</v>
      </c>
      <c r="B78" s="100">
        <v>2.33</v>
      </c>
      <c r="C78" s="100">
        <v>16.29</v>
      </c>
      <c r="D78" s="100">
        <v>10.38</v>
      </c>
      <c r="E78" s="100">
        <v>6.83</v>
      </c>
      <c r="F78" s="100">
        <v>2</v>
      </c>
      <c r="G78" s="100">
        <v>35.409999999999997</v>
      </c>
      <c r="H78" s="100">
        <v>10.42</v>
      </c>
      <c r="I78" s="100">
        <v>8.9</v>
      </c>
      <c r="J78" s="100">
        <v>0.27</v>
      </c>
      <c r="K78" s="100">
        <v>156.66</v>
      </c>
      <c r="L78" s="100">
        <v>14.97</v>
      </c>
      <c r="M78" s="100">
        <v>19.84</v>
      </c>
      <c r="N78" s="100">
        <v>3.3</v>
      </c>
      <c r="O78" s="100">
        <v>0</v>
      </c>
      <c r="P78" s="100">
        <v>0.41</v>
      </c>
      <c r="Q78" s="100">
        <v>9.32</v>
      </c>
      <c r="R78" s="6"/>
      <c r="S78" s="6"/>
      <c r="T78" s="156"/>
      <c r="U78" s="6"/>
    </row>
    <row r="79" spans="1:21" customFormat="1">
      <c r="A79" s="201" t="s">
        <v>1658</v>
      </c>
      <c r="B79" s="100">
        <v>2.5</v>
      </c>
      <c r="C79" s="100">
        <v>16.57</v>
      </c>
      <c r="D79" s="100">
        <v>10.66</v>
      </c>
      <c r="E79" s="100">
        <v>6.84</v>
      </c>
      <c r="F79" s="100">
        <v>2</v>
      </c>
      <c r="G79" s="100">
        <v>36.04</v>
      </c>
      <c r="H79" s="100">
        <v>10.55</v>
      </c>
      <c r="I79" s="100">
        <v>8.9499999999999993</v>
      </c>
      <c r="J79" s="100">
        <v>0.25</v>
      </c>
      <c r="K79" s="100">
        <v>163.03</v>
      </c>
      <c r="L79" s="100">
        <v>15.41</v>
      </c>
      <c r="M79" s="100">
        <v>20.98</v>
      </c>
      <c r="N79" s="100">
        <v>1.9</v>
      </c>
      <c r="O79" s="100">
        <v>0</v>
      </c>
      <c r="P79" s="100">
        <v>0.42</v>
      </c>
      <c r="Q79" s="100">
        <v>9.32</v>
      </c>
      <c r="R79" s="6"/>
      <c r="S79" s="6"/>
      <c r="T79" s="156"/>
      <c r="U79" s="6"/>
    </row>
    <row r="80" spans="1:21" customFormat="1">
      <c r="A80" s="201" t="s">
        <v>1659</v>
      </c>
      <c r="B80" s="100">
        <v>2.66</v>
      </c>
      <c r="C80" s="100">
        <v>16.93</v>
      </c>
      <c r="D80" s="100">
        <v>10.98</v>
      </c>
      <c r="E80" s="100">
        <v>7.09</v>
      </c>
      <c r="F80" s="100">
        <v>2</v>
      </c>
      <c r="G80" s="100">
        <v>41.74</v>
      </c>
      <c r="H80" s="100">
        <v>11.65</v>
      </c>
      <c r="I80" s="100">
        <v>9.0500000000000007</v>
      </c>
      <c r="J80" s="100">
        <v>0.28000000000000003</v>
      </c>
      <c r="K80" s="100">
        <v>161.94999999999999</v>
      </c>
      <c r="L80" s="100">
        <v>15.23</v>
      </c>
      <c r="M80" s="100">
        <v>20.56</v>
      </c>
      <c r="N80" s="100">
        <v>1.6</v>
      </c>
      <c r="O80" s="100">
        <v>0</v>
      </c>
      <c r="P80" s="100">
        <v>0.43</v>
      </c>
      <c r="Q80" s="100">
        <v>9.32</v>
      </c>
      <c r="R80" s="6"/>
      <c r="S80" s="6"/>
      <c r="T80" s="156"/>
      <c r="U80" s="6"/>
    </row>
    <row r="81" spans="1:21" customFormat="1">
      <c r="A81" s="201" t="s">
        <v>1660</v>
      </c>
      <c r="B81" s="100">
        <v>2.93</v>
      </c>
      <c r="C81" s="100">
        <v>17.2</v>
      </c>
      <c r="D81" s="100">
        <v>11.34</v>
      </c>
      <c r="E81" s="100">
        <v>5.35</v>
      </c>
      <c r="F81" s="100">
        <v>2</v>
      </c>
      <c r="G81" s="100">
        <v>41.74</v>
      </c>
      <c r="H81" s="100">
        <v>11.65</v>
      </c>
      <c r="I81" s="100">
        <v>9.14</v>
      </c>
      <c r="J81" s="100">
        <v>0.26</v>
      </c>
      <c r="K81" s="100">
        <v>158.31</v>
      </c>
      <c r="L81" s="100">
        <v>15.06</v>
      </c>
      <c r="M81" s="100">
        <v>20.14</v>
      </c>
      <c r="N81" s="100">
        <v>1.7</v>
      </c>
      <c r="O81" s="100">
        <v>0</v>
      </c>
      <c r="P81" s="100">
        <v>0.44</v>
      </c>
      <c r="Q81" s="100">
        <v>9.32</v>
      </c>
      <c r="R81" s="6"/>
      <c r="S81" s="6"/>
      <c r="T81" s="156"/>
      <c r="U81" s="6"/>
    </row>
    <row r="82" spans="1:21" customFormat="1">
      <c r="A82" s="201" t="s">
        <v>1661</v>
      </c>
      <c r="B82" s="100">
        <v>3.33</v>
      </c>
      <c r="C82" s="100">
        <v>17.57</v>
      </c>
      <c r="D82" s="100">
        <v>11.85</v>
      </c>
      <c r="E82" s="100">
        <v>6.34</v>
      </c>
      <c r="F82" s="100">
        <v>2</v>
      </c>
      <c r="G82" s="100">
        <v>41.74</v>
      </c>
      <c r="H82" s="100">
        <v>11.65</v>
      </c>
      <c r="I82" s="100">
        <v>9.4</v>
      </c>
      <c r="J82" s="100">
        <v>0.26</v>
      </c>
      <c r="K82" s="100">
        <v>164.55</v>
      </c>
      <c r="L82" s="100">
        <v>15.48</v>
      </c>
      <c r="M82" s="100">
        <v>21.21</v>
      </c>
      <c r="N82" s="100">
        <v>1.6</v>
      </c>
      <c r="O82" s="100">
        <v>0</v>
      </c>
      <c r="P82" s="100">
        <v>0.45</v>
      </c>
      <c r="Q82" s="100">
        <v>9.32</v>
      </c>
      <c r="R82" s="6"/>
      <c r="S82" s="6"/>
      <c r="T82" s="156"/>
      <c r="U82" s="6"/>
    </row>
    <row r="83" spans="1:21" customFormat="1">
      <c r="A83" s="201" t="s">
        <v>1662</v>
      </c>
      <c r="B83" s="100">
        <v>3.76</v>
      </c>
      <c r="C83" s="100">
        <v>18.05</v>
      </c>
      <c r="D83" s="100">
        <v>12.44</v>
      </c>
      <c r="E83" s="100">
        <v>6.35</v>
      </c>
      <c r="F83" s="100">
        <v>2</v>
      </c>
      <c r="G83" s="100">
        <v>42.72</v>
      </c>
      <c r="H83" s="100">
        <v>11.79</v>
      </c>
      <c r="I83" s="100">
        <v>9.9499999999999993</v>
      </c>
      <c r="J83" s="100">
        <v>0.31</v>
      </c>
      <c r="K83" s="100">
        <v>163.18</v>
      </c>
      <c r="L83" s="100">
        <v>15.36</v>
      </c>
      <c r="M83" s="100">
        <v>20.86</v>
      </c>
      <c r="N83" s="100">
        <v>1.6</v>
      </c>
      <c r="O83" s="100">
        <v>0</v>
      </c>
      <c r="P83" s="100">
        <v>0.48</v>
      </c>
      <c r="Q83" s="100">
        <v>9.32</v>
      </c>
      <c r="R83" s="6"/>
      <c r="S83" s="6"/>
      <c r="T83" s="156"/>
      <c r="U83" s="6"/>
    </row>
    <row r="84" spans="1:21" customFormat="1">
      <c r="A84" s="201" t="s">
        <v>1663</v>
      </c>
      <c r="B84" s="100">
        <v>4.1500000000000004</v>
      </c>
      <c r="C84" s="100">
        <v>18.12</v>
      </c>
      <c r="D84" s="100">
        <v>12.8</v>
      </c>
      <c r="E84" s="100">
        <v>6.23</v>
      </c>
      <c r="F84" s="100">
        <v>2</v>
      </c>
      <c r="G84" s="100">
        <v>51.52</v>
      </c>
      <c r="H84" s="100">
        <v>12.99</v>
      </c>
      <c r="I84" s="100">
        <v>10.53</v>
      </c>
      <c r="J84" s="100">
        <v>0.21</v>
      </c>
      <c r="K84" s="100">
        <v>164.55</v>
      </c>
      <c r="L84" s="100">
        <v>15.64</v>
      </c>
      <c r="M84" s="100">
        <v>21.58</v>
      </c>
      <c r="N84" s="100">
        <v>1.4</v>
      </c>
      <c r="O84" s="100">
        <v>0</v>
      </c>
      <c r="P84" s="100">
        <v>0.49</v>
      </c>
      <c r="Q84" s="100">
        <v>9.32</v>
      </c>
      <c r="R84" s="6"/>
      <c r="S84" s="6"/>
      <c r="T84" s="156"/>
      <c r="U84" s="6"/>
    </row>
    <row r="85" spans="1:21" customFormat="1">
      <c r="A85" s="201" t="s">
        <v>1664</v>
      </c>
      <c r="B85" s="100">
        <v>4.5999999999999996</v>
      </c>
      <c r="C85" s="100">
        <v>18.350000000000001</v>
      </c>
      <c r="D85" s="100">
        <v>13.28</v>
      </c>
      <c r="E85" s="100">
        <v>6.33</v>
      </c>
      <c r="F85" s="100">
        <v>2</v>
      </c>
      <c r="G85" s="100">
        <v>51.52</v>
      </c>
      <c r="H85" s="100">
        <v>12.99</v>
      </c>
      <c r="I85" s="100">
        <v>11.06</v>
      </c>
      <c r="J85" s="100">
        <v>0.16</v>
      </c>
      <c r="K85" s="100">
        <v>186.03</v>
      </c>
      <c r="L85" s="100">
        <v>17.260000000000002</v>
      </c>
      <c r="M85" s="100">
        <v>25.64</v>
      </c>
      <c r="N85" s="100">
        <v>1.4</v>
      </c>
      <c r="O85" s="100">
        <v>0</v>
      </c>
      <c r="P85" s="100">
        <v>0.51</v>
      </c>
      <c r="Q85" s="100">
        <v>9.32</v>
      </c>
      <c r="R85" s="6"/>
      <c r="S85" s="6"/>
      <c r="T85" s="156"/>
      <c r="U85" s="6"/>
    </row>
    <row r="86" spans="1:21" customFormat="1">
      <c r="A86" s="201" t="s">
        <v>1665</v>
      </c>
      <c r="B86" s="100">
        <v>5.33</v>
      </c>
      <c r="C86" s="100">
        <v>18.71</v>
      </c>
      <c r="D86" s="100">
        <v>14.05</v>
      </c>
      <c r="E86" s="100">
        <v>6.26</v>
      </c>
      <c r="F86" s="100">
        <v>2</v>
      </c>
      <c r="G86" s="100">
        <v>51.52</v>
      </c>
      <c r="H86" s="100">
        <v>12.99</v>
      </c>
      <c r="I86" s="100">
        <v>11.43</v>
      </c>
      <c r="J86" s="100">
        <v>0.27</v>
      </c>
      <c r="K86" s="100">
        <v>167.46</v>
      </c>
      <c r="L86" s="100">
        <v>15.72</v>
      </c>
      <c r="M86" s="100">
        <v>21.77</v>
      </c>
      <c r="N86" s="100">
        <v>1.2</v>
      </c>
      <c r="O86" s="100">
        <v>0</v>
      </c>
      <c r="P86" s="100">
        <v>0.54</v>
      </c>
      <c r="Q86" s="100">
        <v>9.32</v>
      </c>
      <c r="R86" s="6"/>
      <c r="S86" s="6"/>
      <c r="T86" s="156"/>
      <c r="U86" s="6"/>
    </row>
    <row r="87" spans="1:21" customFormat="1">
      <c r="A87" s="201" t="s">
        <v>1666</v>
      </c>
      <c r="B87" s="100">
        <v>5.85</v>
      </c>
      <c r="C87" s="100">
        <v>18.77</v>
      </c>
      <c r="D87" s="100">
        <v>14.5</v>
      </c>
      <c r="E87" s="100">
        <v>6.17</v>
      </c>
      <c r="F87" s="100">
        <v>2</v>
      </c>
      <c r="G87" s="100">
        <v>51.88</v>
      </c>
      <c r="H87" s="100">
        <v>13.12</v>
      </c>
      <c r="I87" s="100">
        <v>11.75</v>
      </c>
      <c r="J87" s="100">
        <v>0.24</v>
      </c>
      <c r="K87" s="100">
        <v>167.52</v>
      </c>
      <c r="L87" s="100">
        <v>15.79</v>
      </c>
      <c r="M87" s="100">
        <v>21.99</v>
      </c>
      <c r="N87" s="100">
        <v>1.4</v>
      </c>
      <c r="O87" s="100">
        <v>0</v>
      </c>
      <c r="P87" s="100">
        <v>0.56000000000000005</v>
      </c>
      <c r="Q87" s="100">
        <v>9.32</v>
      </c>
      <c r="R87" s="6"/>
      <c r="S87" s="6"/>
      <c r="T87" s="156"/>
      <c r="U87" s="6"/>
    </row>
    <row r="88" spans="1:21" customFormat="1">
      <c r="A88" s="201" t="s">
        <v>1667</v>
      </c>
      <c r="B88" s="100">
        <v>6.26</v>
      </c>
      <c r="C88" s="100">
        <v>18.68</v>
      </c>
      <c r="D88" s="100">
        <v>14.78</v>
      </c>
      <c r="E88" s="100">
        <v>6.4</v>
      </c>
      <c r="F88" s="100">
        <v>2</v>
      </c>
      <c r="G88" s="100">
        <v>55.16</v>
      </c>
      <c r="H88" s="100">
        <v>14.18</v>
      </c>
      <c r="I88" s="100">
        <v>12.05</v>
      </c>
      <c r="J88" s="100">
        <v>0.28000000000000003</v>
      </c>
      <c r="K88" s="100">
        <v>167.05</v>
      </c>
      <c r="L88" s="100">
        <v>15.86</v>
      </c>
      <c r="M88" s="100">
        <v>22.12</v>
      </c>
      <c r="N88" s="100">
        <v>1.3</v>
      </c>
      <c r="O88" s="100">
        <v>0</v>
      </c>
      <c r="P88" s="100">
        <v>0.59</v>
      </c>
      <c r="Q88" s="100">
        <v>9.32</v>
      </c>
      <c r="R88" s="6"/>
      <c r="S88" s="6"/>
      <c r="T88" s="156"/>
      <c r="U88" s="6"/>
    </row>
    <row r="89" spans="1:21" customFormat="1">
      <c r="A89" s="201" t="s">
        <v>1668</v>
      </c>
      <c r="B89" s="100">
        <v>6.63</v>
      </c>
      <c r="C89" s="100">
        <v>18.46</v>
      </c>
      <c r="D89" s="100">
        <v>14.96</v>
      </c>
      <c r="E89" s="100">
        <v>6.46</v>
      </c>
      <c r="F89" s="100">
        <v>2</v>
      </c>
      <c r="G89" s="100">
        <v>55.16</v>
      </c>
      <c r="H89" s="100">
        <v>14.18</v>
      </c>
      <c r="I89" s="100">
        <v>12.54</v>
      </c>
      <c r="J89" s="100">
        <v>0.21</v>
      </c>
      <c r="K89" s="100">
        <v>189.76</v>
      </c>
      <c r="L89" s="100">
        <v>17.43</v>
      </c>
      <c r="M89" s="100">
        <v>26.11</v>
      </c>
      <c r="N89" s="100">
        <v>1.4</v>
      </c>
      <c r="O89" s="100">
        <v>0</v>
      </c>
      <c r="P89" s="100">
        <v>0.62</v>
      </c>
      <c r="Q89" s="100">
        <v>9.32</v>
      </c>
      <c r="R89" s="6"/>
      <c r="S89" s="6"/>
      <c r="T89" s="156"/>
      <c r="U89" s="6"/>
    </row>
    <row r="90" spans="1:21" customFormat="1">
      <c r="A90" s="201" t="s">
        <v>1669</v>
      </c>
      <c r="B90" s="100">
        <v>6.97</v>
      </c>
      <c r="C90" s="100">
        <v>18.34</v>
      </c>
      <c r="D90" s="100">
        <v>15.17</v>
      </c>
      <c r="E90" s="100">
        <v>6.24</v>
      </c>
      <c r="F90" s="100">
        <v>2</v>
      </c>
      <c r="G90" s="100">
        <v>55.16</v>
      </c>
      <c r="H90" s="100">
        <v>14.18</v>
      </c>
      <c r="I90" s="100">
        <v>13.01</v>
      </c>
      <c r="J90" s="100">
        <v>0.22</v>
      </c>
      <c r="K90" s="100">
        <v>177.57</v>
      </c>
      <c r="L90" s="100">
        <v>16.62</v>
      </c>
      <c r="M90" s="100">
        <v>24.05</v>
      </c>
      <c r="N90" s="100">
        <v>1.4</v>
      </c>
      <c r="O90" s="100">
        <v>0</v>
      </c>
      <c r="P90" s="100">
        <v>0.63</v>
      </c>
      <c r="Q90" s="100">
        <v>9.32</v>
      </c>
      <c r="R90" s="6"/>
      <c r="S90" s="6"/>
      <c r="T90" s="156"/>
      <c r="U90" s="6"/>
    </row>
    <row r="91" spans="1:21" customFormat="1">
      <c r="A91" s="201" t="s">
        <v>1670</v>
      </c>
      <c r="B91" s="100">
        <v>7.5</v>
      </c>
      <c r="C91" s="100">
        <v>18.27</v>
      </c>
      <c r="D91" s="100">
        <v>15.56</v>
      </c>
      <c r="E91" s="100">
        <v>6.67</v>
      </c>
      <c r="F91" s="100">
        <v>2</v>
      </c>
      <c r="G91" s="100">
        <v>55.06</v>
      </c>
      <c r="H91" s="100">
        <v>14.21</v>
      </c>
      <c r="I91" s="100">
        <v>13.18</v>
      </c>
      <c r="J91" s="100">
        <v>0.15</v>
      </c>
      <c r="K91" s="100">
        <v>184.92</v>
      </c>
      <c r="L91" s="100">
        <v>17.05</v>
      </c>
      <c r="M91" s="100">
        <v>25.11</v>
      </c>
      <c r="N91" s="100">
        <v>1.2</v>
      </c>
      <c r="O91" s="100">
        <v>0</v>
      </c>
      <c r="P91" s="100">
        <v>0.66</v>
      </c>
      <c r="Q91" s="100">
        <v>9.32</v>
      </c>
      <c r="R91" s="6"/>
      <c r="S91" s="6"/>
      <c r="T91" s="156"/>
      <c r="U91" s="6"/>
    </row>
    <row r="92" spans="1:21" customFormat="1">
      <c r="A92" s="201" t="s">
        <v>1671</v>
      </c>
      <c r="B92" s="100">
        <v>8.89</v>
      </c>
      <c r="C92" s="100">
        <v>18.48</v>
      </c>
      <c r="D92" s="100">
        <v>16.78</v>
      </c>
      <c r="E92" s="100">
        <v>6.63</v>
      </c>
      <c r="F92" s="100">
        <v>2</v>
      </c>
      <c r="G92" s="100">
        <v>54.13</v>
      </c>
      <c r="H92" s="100">
        <v>14.46</v>
      </c>
      <c r="I92" s="100">
        <v>13.37</v>
      </c>
      <c r="J92" s="100">
        <v>0.19</v>
      </c>
      <c r="K92" s="100">
        <v>193.81</v>
      </c>
      <c r="L92" s="100">
        <v>17.79</v>
      </c>
      <c r="M92" s="100">
        <v>26.98</v>
      </c>
      <c r="N92" s="100">
        <v>1.2</v>
      </c>
      <c r="O92" s="100">
        <v>0</v>
      </c>
      <c r="P92" s="100">
        <v>0.69</v>
      </c>
      <c r="Q92" s="100">
        <v>9.32</v>
      </c>
      <c r="R92" s="6"/>
      <c r="S92" s="6"/>
      <c r="T92" s="156"/>
      <c r="U92" s="6"/>
    </row>
    <row r="93" spans="1:21" customFormat="1">
      <c r="A93" s="201" t="s">
        <v>1672</v>
      </c>
      <c r="B93" s="100">
        <v>10.38</v>
      </c>
      <c r="C93" s="100">
        <v>18.68</v>
      </c>
      <c r="D93" s="100">
        <v>18.079999999999998</v>
      </c>
      <c r="E93" s="100">
        <v>6.58</v>
      </c>
      <c r="F93" s="100">
        <v>2</v>
      </c>
      <c r="G93" s="100">
        <v>54.13</v>
      </c>
      <c r="H93" s="100">
        <v>14.46</v>
      </c>
      <c r="I93" s="100">
        <v>13.59</v>
      </c>
      <c r="J93" s="100">
        <v>0.21</v>
      </c>
      <c r="K93" s="100">
        <v>212.38</v>
      </c>
      <c r="L93" s="100">
        <v>19.010000000000002</v>
      </c>
      <c r="M93" s="100">
        <v>30.04</v>
      </c>
      <c r="N93" s="100">
        <v>1.4</v>
      </c>
      <c r="O93" s="100">
        <v>0</v>
      </c>
      <c r="P93" s="100">
        <v>0.7</v>
      </c>
      <c r="Q93" s="100">
        <v>9.32</v>
      </c>
      <c r="R93" s="6"/>
      <c r="S93" s="6"/>
      <c r="T93" s="156"/>
      <c r="U93" s="6"/>
    </row>
    <row r="94" spans="1:21" customFormat="1">
      <c r="A94" s="201" t="s">
        <v>1673</v>
      </c>
      <c r="B94" s="100">
        <v>11.21</v>
      </c>
      <c r="C94" s="100">
        <v>18.350000000000001</v>
      </c>
      <c r="D94" s="100">
        <v>18.57</v>
      </c>
      <c r="E94" s="100">
        <v>6.68</v>
      </c>
      <c r="F94" s="100">
        <v>2</v>
      </c>
      <c r="G94" s="100">
        <v>54.13</v>
      </c>
      <c r="H94" s="100">
        <v>14.46</v>
      </c>
      <c r="I94" s="100">
        <v>13.81</v>
      </c>
      <c r="J94" s="100">
        <v>0.26</v>
      </c>
      <c r="K94" s="100">
        <v>194.57</v>
      </c>
      <c r="L94" s="100">
        <v>18.23</v>
      </c>
      <c r="M94" s="100">
        <v>28.06</v>
      </c>
      <c r="N94" s="100">
        <v>1.4</v>
      </c>
      <c r="O94" s="100">
        <v>0</v>
      </c>
      <c r="P94" s="100">
        <v>0.74</v>
      </c>
      <c r="Q94" s="100">
        <v>9.32</v>
      </c>
      <c r="R94" s="6"/>
      <c r="S94" s="6"/>
      <c r="T94" s="156"/>
      <c r="U94" s="6"/>
    </row>
    <row r="95" spans="1:21" customFormat="1">
      <c r="A95" s="201" t="s">
        <v>1674</v>
      </c>
      <c r="B95" s="100">
        <v>11.64</v>
      </c>
      <c r="C95" s="100">
        <v>17.97</v>
      </c>
      <c r="D95" s="100">
        <v>18.73</v>
      </c>
      <c r="E95" s="100">
        <v>6.79</v>
      </c>
      <c r="F95" s="100">
        <v>2</v>
      </c>
      <c r="G95" s="100">
        <v>54.61</v>
      </c>
      <c r="H95" s="100">
        <v>14.5</v>
      </c>
      <c r="I95" s="100">
        <v>13.97</v>
      </c>
      <c r="J95" s="100">
        <v>0.15</v>
      </c>
      <c r="K95" s="100">
        <v>198.51</v>
      </c>
      <c r="L95" s="100">
        <v>18.48</v>
      </c>
      <c r="M95" s="100">
        <v>28.7</v>
      </c>
      <c r="N95" s="100">
        <v>1.5</v>
      </c>
      <c r="O95" s="100">
        <v>0</v>
      </c>
      <c r="P95" s="100">
        <v>0.74</v>
      </c>
      <c r="Q95" s="100">
        <v>9.44</v>
      </c>
      <c r="R95" s="6"/>
      <c r="S95" s="6"/>
      <c r="T95" s="156"/>
      <c r="U95" s="6"/>
    </row>
    <row r="96" spans="1:21" customFormat="1">
      <c r="A96" s="201" t="s">
        <v>1675</v>
      </c>
      <c r="B96" s="100">
        <v>11.87</v>
      </c>
      <c r="C96" s="100">
        <v>17.579999999999998</v>
      </c>
      <c r="D96" s="100">
        <v>18.7</v>
      </c>
      <c r="E96" s="100">
        <v>6.36</v>
      </c>
      <c r="F96" s="100">
        <v>2</v>
      </c>
      <c r="G96" s="100">
        <v>58.91</v>
      </c>
      <c r="H96" s="100">
        <v>14.79</v>
      </c>
      <c r="I96" s="100">
        <v>14.01</v>
      </c>
      <c r="J96" s="100">
        <v>0.12</v>
      </c>
      <c r="K96" s="100">
        <v>190.33</v>
      </c>
      <c r="L96" s="100">
        <v>17.239999999999998</v>
      </c>
      <c r="M96" s="100">
        <v>25.56</v>
      </c>
      <c r="N96" s="100">
        <v>1.3</v>
      </c>
      <c r="O96" s="100">
        <v>0</v>
      </c>
      <c r="P96" s="100">
        <v>0.75</v>
      </c>
      <c r="Q96" s="100">
        <v>10.92</v>
      </c>
      <c r="R96" s="6"/>
      <c r="S96" s="6"/>
      <c r="T96" s="156"/>
      <c r="U96" s="6"/>
    </row>
    <row r="97" spans="1:28" customFormat="1">
      <c r="A97" s="201" t="s">
        <v>1676</v>
      </c>
      <c r="B97" s="100">
        <v>11.97</v>
      </c>
      <c r="C97" s="100">
        <v>17.190000000000001</v>
      </c>
      <c r="D97" s="100">
        <v>18.579999999999998</v>
      </c>
      <c r="E97" s="100">
        <v>6.12</v>
      </c>
      <c r="F97" s="100">
        <v>2</v>
      </c>
      <c r="G97" s="100">
        <v>58.91</v>
      </c>
      <c r="H97" s="100">
        <v>14.79</v>
      </c>
      <c r="I97" s="100">
        <v>14</v>
      </c>
      <c r="J97" s="100">
        <v>0.14000000000000001</v>
      </c>
      <c r="K97" s="100">
        <v>175.34</v>
      </c>
      <c r="L97" s="100">
        <v>16.010000000000002</v>
      </c>
      <c r="M97" s="100">
        <v>22.5</v>
      </c>
      <c r="N97" s="100">
        <v>1.2</v>
      </c>
      <c r="O97" s="100">
        <v>0</v>
      </c>
      <c r="P97" s="100">
        <v>0.74</v>
      </c>
      <c r="Q97" s="100">
        <v>12.08</v>
      </c>
      <c r="R97" s="6"/>
      <c r="S97" s="6"/>
      <c r="T97" s="156"/>
      <c r="U97" s="6"/>
    </row>
    <row r="98" spans="1:28" customFormat="1">
      <c r="A98" s="201" t="s">
        <v>1677</v>
      </c>
      <c r="B98" s="100">
        <v>12.06</v>
      </c>
      <c r="C98" s="100">
        <v>16.829999999999998</v>
      </c>
      <c r="D98" s="100">
        <v>18.46</v>
      </c>
      <c r="E98" s="100">
        <v>6.4</v>
      </c>
      <c r="F98" s="100">
        <v>2</v>
      </c>
      <c r="G98" s="100">
        <v>58.91</v>
      </c>
      <c r="H98" s="100">
        <v>14.79</v>
      </c>
      <c r="I98" s="100">
        <v>13.97</v>
      </c>
      <c r="J98" s="100">
        <v>0.16</v>
      </c>
      <c r="K98" s="100">
        <v>129.51</v>
      </c>
      <c r="L98" s="100">
        <v>14.25</v>
      </c>
      <c r="M98" s="100">
        <v>18.079999999999998</v>
      </c>
      <c r="N98" s="100">
        <v>1.1000000000000001</v>
      </c>
      <c r="O98" s="100">
        <v>0</v>
      </c>
      <c r="P98" s="100">
        <v>0.74</v>
      </c>
      <c r="Q98" s="100">
        <v>13.89</v>
      </c>
      <c r="R98" s="6"/>
      <c r="S98" s="6"/>
      <c r="T98" s="156"/>
      <c r="U98" s="6"/>
    </row>
    <row r="99" spans="1:28" customFormat="1">
      <c r="A99" s="201" t="s">
        <v>1678</v>
      </c>
      <c r="B99" s="100">
        <v>12.4</v>
      </c>
      <c r="C99" s="100">
        <v>16.95</v>
      </c>
      <c r="D99" s="100">
        <v>18.8</v>
      </c>
      <c r="E99" s="100">
        <v>6.1</v>
      </c>
      <c r="F99" s="100">
        <v>2</v>
      </c>
      <c r="G99" s="100">
        <v>58.95</v>
      </c>
      <c r="H99" s="100">
        <v>14.89</v>
      </c>
      <c r="I99" s="100">
        <v>13.92</v>
      </c>
      <c r="J99" s="100">
        <v>0.14000000000000001</v>
      </c>
      <c r="K99" s="100">
        <v>179.41</v>
      </c>
      <c r="L99" s="100">
        <v>16.440000000000001</v>
      </c>
      <c r="M99" s="100">
        <v>23.53</v>
      </c>
      <c r="N99" s="100">
        <v>0.9</v>
      </c>
      <c r="O99" s="100">
        <v>0</v>
      </c>
      <c r="P99" s="100">
        <v>0.75</v>
      </c>
      <c r="Q99" s="100">
        <v>13.63</v>
      </c>
      <c r="R99" s="6"/>
      <c r="S99" s="6"/>
      <c r="T99" s="156"/>
      <c r="U99" s="6"/>
    </row>
    <row r="100" spans="1:28" customFormat="1">
      <c r="A100" s="201" t="s">
        <v>1679</v>
      </c>
      <c r="B100" s="100">
        <v>13.82</v>
      </c>
      <c r="C100" s="100">
        <v>17.11</v>
      </c>
      <c r="D100" s="100">
        <v>20.02</v>
      </c>
      <c r="E100" s="100">
        <v>6.1</v>
      </c>
      <c r="F100" s="100">
        <v>2</v>
      </c>
      <c r="G100" s="100">
        <v>59.31</v>
      </c>
      <c r="H100" s="100">
        <v>15.71</v>
      </c>
      <c r="I100" s="100">
        <v>13.9</v>
      </c>
      <c r="J100" s="100">
        <v>0.18</v>
      </c>
      <c r="K100" s="100">
        <v>211.27</v>
      </c>
      <c r="L100" s="100">
        <v>18.899999999999999</v>
      </c>
      <c r="M100" s="100">
        <v>29.72</v>
      </c>
      <c r="N100" s="100">
        <v>1.2</v>
      </c>
      <c r="O100" s="100">
        <v>0</v>
      </c>
      <c r="P100" s="100">
        <v>0.77</v>
      </c>
      <c r="Q100" s="100">
        <v>11.51</v>
      </c>
      <c r="R100" s="6"/>
      <c r="S100" s="6"/>
      <c r="T100" s="156"/>
      <c r="U100" s="6"/>
      <c r="AB100" s="161"/>
    </row>
    <row r="101" spans="1:28" customFormat="1">
      <c r="A101" s="201" t="s">
        <v>1680</v>
      </c>
      <c r="B101" s="100">
        <v>15.76</v>
      </c>
      <c r="C101" s="100">
        <v>17.38</v>
      </c>
      <c r="D101" s="100">
        <v>21.72</v>
      </c>
      <c r="E101" s="100">
        <v>5.93</v>
      </c>
      <c r="F101" s="100">
        <v>2</v>
      </c>
      <c r="G101" s="100">
        <v>59.31</v>
      </c>
      <c r="H101" s="100">
        <v>15.71</v>
      </c>
      <c r="I101" s="100">
        <v>13.94</v>
      </c>
      <c r="J101" s="100">
        <v>0.13</v>
      </c>
      <c r="K101" s="100">
        <v>204.99</v>
      </c>
      <c r="L101" s="100">
        <v>18.57</v>
      </c>
      <c r="M101" s="100">
        <v>28.87</v>
      </c>
      <c r="N101" s="100">
        <v>1.3</v>
      </c>
      <c r="O101" s="100">
        <v>0</v>
      </c>
      <c r="P101" s="100">
        <v>0.77</v>
      </c>
      <c r="Q101" s="100">
        <v>9.64</v>
      </c>
      <c r="R101" s="6"/>
      <c r="S101" s="6"/>
      <c r="T101" s="156"/>
      <c r="U101" s="6"/>
    </row>
    <row r="102" spans="1:28" customFormat="1">
      <c r="A102" s="201" t="s">
        <v>1681</v>
      </c>
      <c r="B102" s="100">
        <v>17.690000000000001</v>
      </c>
      <c r="C102" s="100">
        <v>17.670000000000002</v>
      </c>
      <c r="D102" s="100">
        <v>23.42</v>
      </c>
      <c r="E102" s="100">
        <v>6.41</v>
      </c>
      <c r="F102" s="100">
        <v>2</v>
      </c>
      <c r="G102" s="100">
        <v>59.31</v>
      </c>
      <c r="H102" s="100">
        <v>15.71</v>
      </c>
      <c r="I102" s="100">
        <v>14.03</v>
      </c>
      <c r="J102" s="100">
        <v>0.17</v>
      </c>
      <c r="K102" s="100">
        <v>225.02</v>
      </c>
      <c r="L102" s="100">
        <v>19.79</v>
      </c>
      <c r="M102" s="100">
        <v>31.96</v>
      </c>
      <c r="N102" s="100">
        <v>1.1000000000000001</v>
      </c>
      <c r="O102" s="100">
        <v>0</v>
      </c>
      <c r="P102" s="100">
        <v>0.79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1682</v>
      </c>
      <c r="B103" s="100">
        <v>20.05</v>
      </c>
      <c r="C103" s="100">
        <v>18.059999999999999</v>
      </c>
      <c r="D103" s="100">
        <v>25.51</v>
      </c>
      <c r="E103" s="100">
        <v>6.31</v>
      </c>
      <c r="F103" s="100">
        <v>2</v>
      </c>
      <c r="G103" s="100">
        <v>59.49</v>
      </c>
      <c r="H103" s="100">
        <v>16.059999999999999</v>
      </c>
      <c r="I103" s="100">
        <v>14.13</v>
      </c>
      <c r="J103" s="100">
        <v>0.15</v>
      </c>
      <c r="K103" s="100">
        <v>169.32</v>
      </c>
      <c r="L103" s="100">
        <v>15.72</v>
      </c>
      <c r="M103" s="100">
        <v>21.78</v>
      </c>
      <c r="N103" s="100">
        <v>1.3</v>
      </c>
      <c r="O103" s="100">
        <v>0</v>
      </c>
      <c r="P103" s="100">
        <v>0.8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1683</v>
      </c>
      <c r="B104" s="100">
        <v>22.6</v>
      </c>
      <c r="C104" s="100">
        <v>18.41</v>
      </c>
      <c r="D104" s="100">
        <v>27.74</v>
      </c>
      <c r="E104" s="100">
        <v>6.15</v>
      </c>
      <c r="F104" s="100">
        <v>2</v>
      </c>
      <c r="G104" s="100">
        <v>61.11</v>
      </c>
      <c r="H104" s="100">
        <v>16.510000000000002</v>
      </c>
      <c r="I104" s="100">
        <v>14.24</v>
      </c>
      <c r="J104" s="100">
        <v>0.17</v>
      </c>
      <c r="K104" s="100">
        <v>219.53</v>
      </c>
      <c r="L104" s="100">
        <v>19.52</v>
      </c>
      <c r="M104" s="100">
        <v>31.28</v>
      </c>
      <c r="N104" s="100">
        <v>1.2</v>
      </c>
      <c r="O104" s="100">
        <v>0</v>
      </c>
      <c r="P104" s="100">
        <v>0.8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2.25</v>
      </c>
      <c r="C106" s="158">
        <f>MIN(C9:C104)</f>
        <v>14.74</v>
      </c>
      <c r="D106" s="158">
        <f t="shared" ref="D106:Q106" si="0">MIN(D9:D104)</f>
        <v>10.29</v>
      </c>
      <c r="E106" s="158">
        <f t="shared" si="0"/>
        <v>4.37</v>
      </c>
      <c r="F106" s="158">
        <f t="shared" si="0"/>
        <v>2</v>
      </c>
      <c r="G106" s="158">
        <f t="shared" si="0"/>
        <v>32.630000000000003</v>
      </c>
      <c r="H106" s="158">
        <f t="shared" si="0"/>
        <v>10.32</v>
      </c>
      <c r="I106" s="158">
        <f t="shared" si="0"/>
        <v>8.89</v>
      </c>
      <c r="J106" s="158">
        <f t="shared" si="0"/>
        <v>0.05</v>
      </c>
      <c r="K106" s="158">
        <f t="shared" si="0"/>
        <v>4.03</v>
      </c>
      <c r="L106" s="158">
        <f t="shared" si="0"/>
        <v>8.34</v>
      </c>
      <c r="M106" s="158">
        <f t="shared" si="0"/>
        <v>1.18</v>
      </c>
      <c r="N106" s="158">
        <f t="shared" si="0"/>
        <v>0.5</v>
      </c>
      <c r="O106" s="158">
        <f t="shared" si="0"/>
        <v>0</v>
      </c>
      <c r="P106" s="158">
        <f t="shared" si="0"/>
        <v>0.41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22.6</v>
      </c>
      <c r="C107" s="157">
        <f t="shared" ref="C107:Q107" si="1">MAX(C9:C104)</f>
        <v>20.3</v>
      </c>
      <c r="D107" s="157">
        <f t="shared" si="1"/>
        <v>27.74</v>
      </c>
      <c r="E107" s="157">
        <f t="shared" si="1"/>
        <v>11.98</v>
      </c>
      <c r="F107" s="157">
        <f t="shared" si="1"/>
        <v>7.47</v>
      </c>
      <c r="G107" s="157">
        <f t="shared" si="1"/>
        <v>61.11</v>
      </c>
      <c r="H107" s="157">
        <f t="shared" si="1"/>
        <v>18.68</v>
      </c>
      <c r="I107" s="157">
        <f t="shared" si="1"/>
        <v>15.18</v>
      </c>
      <c r="J107" s="157">
        <f t="shared" si="1"/>
        <v>1.45</v>
      </c>
      <c r="K107" s="157">
        <f t="shared" si="1"/>
        <v>232.47</v>
      </c>
      <c r="L107" s="157">
        <f t="shared" si="1"/>
        <v>20.81</v>
      </c>
      <c r="M107" s="157">
        <f t="shared" si="1"/>
        <v>34.450000000000003</v>
      </c>
      <c r="N107" s="157">
        <f t="shared" si="1"/>
        <v>608.9</v>
      </c>
      <c r="O107" s="157">
        <f t="shared" si="1"/>
        <v>0</v>
      </c>
      <c r="P107" s="157">
        <f t="shared" si="1"/>
        <v>0.8</v>
      </c>
      <c r="Q107" s="157">
        <f t="shared" si="1"/>
        <v>13.89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10.021041666666671</v>
      </c>
      <c r="C108" s="158">
        <f t="shared" ref="C108:Q108" si="2">AVERAGE(C9:C104)</f>
        <v>17.199062499999997</v>
      </c>
      <c r="D108" s="158">
        <f t="shared" si="2"/>
        <v>17.022083333333327</v>
      </c>
      <c r="E108" s="158">
        <f t="shared" si="2"/>
        <v>6.6188541666666643</v>
      </c>
      <c r="F108" s="158">
        <f t="shared" si="2"/>
        <v>2.4255208333333331</v>
      </c>
      <c r="G108" s="158">
        <f t="shared" si="2"/>
        <v>48.530624999999993</v>
      </c>
      <c r="H108" s="158">
        <f t="shared" si="2"/>
        <v>14.624270833333343</v>
      </c>
      <c r="I108" s="158">
        <f t="shared" si="2"/>
        <v>12.421354166666665</v>
      </c>
      <c r="J108" s="158">
        <f t="shared" si="2"/>
        <v>0.35000000000000003</v>
      </c>
      <c r="K108" s="158">
        <f t="shared" si="2"/>
        <v>123.21208333333333</v>
      </c>
      <c r="L108" s="158">
        <f t="shared" si="2"/>
        <v>15.326666666666663</v>
      </c>
      <c r="M108" s="158">
        <f t="shared" si="2"/>
        <v>17.741979166666656</v>
      </c>
      <c r="N108" s="158">
        <f t="shared" si="2"/>
        <v>124.34687499999995</v>
      </c>
      <c r="O108" s="158">
        <f t="shared" si="2"/>
        <v>0</v>
      </c>
      <c r="P108" s="158">
        <f t="shared" si="2"/>
        <v>0.61583333333333334</v>
      </c>
      <c r="Q108" s="158">
        <f t="shared" si="2"/>
        <v>9.4853125000000151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6.2175524849822317</v>
      </c>
      <c r="C109" s="158">
        <f t="shared" ref="C109:Q109" si="3">STDEV(C9:C104)</f>
        <v>1.4438297597016065</v>
      </c>
      <c r="D109" s="158">
        <f t="shared" si="3"/>
        <v>4.9018241323574285</v>
      </c>
      <c r="E109" s="158">
        <f t="shared" si="3"/>
        <v>1.4775554988537711</v>
      </c>
      <c r="F109" s="158">
        <f t="shared" si="3"/>
        <v>0.98382804423030978</v>
      </c>
      <c r="G109" s="158">
        <f t="shared" si="3"/>
        <v>8.0916777015843024</v>
      </c>
      <c r="H109" s="158">
        <f t="shared" si="3"/>
        <v>2.5060086717166183</v>
      </c>
      <c r="I109" s="158">
        <f t="shared" si="3"/>
        <v>1.9533321704160937</v>
      </c>
      <c r="J109" s="158">
        <f t="shared" si="3"/>
        <v>0.28959136363976196</v>
      </c>
      <c r="K109" s="158">
        <f t="shared" si="3"/>
        <v>68.897311182988886</v>
      </c>
      <c r="L109" s="158">
        <f t="shared" si="3"/>
        <v>2.7770016646761495</v>
      </c>
      <c r="M109" s="158">
        <f t="shared" si="3"/>
        <v>9.0831836083346751</v>
      </c>
      <c r="N109" s="158">
        <f t="shared" si="3"/>
        <v>199.13514583297714</v>
      </c>
      <c r="O109" s="158">
        <f t="shared" si="3"/>
        <v>0</v>
      </c>
      <c r="P109" s="158">
        <f t="shared" si="3"/>
        <v>0.10724950414967344</v>
      </c>
      <c r="Q109" s="158">
        <f t="shared" si="3"/>
        <v>0.73933106767643608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1684</v>
      </c>
      <c r="B9" s="100">
        <v>24.47</v>
      </c>
      <c r="C9" s="100">
        <v>18.440000000000001</v>
      </c>
      <c r="D9" s="100">
        <v>29.26</v>
      </c>
      <c r="E9" s="100">
        <v>6.34</v>
      </c>
      <c r="F9" s="151" t="s">
        <v>8</v>
      </c>
      <c r="G9" s="100">
        <v>61.11</v>
      </c>
      <c r="H9" s="100">
        <v>16.510000000000002</v>
      </c>
      <c r="I9" s="100">
        <v>14.36</v>
      </c>
      <c r="J9" s="100">
        <v>0.21</v>
      </c>
      <c r="K9" s="100">
        <v>230.31</v>
      </c>
      <c r="L9" s="100">
        <v>19.96</v>
      </c>
      <c r="M9" s="100">
        <v>32.36</v>
      </c>
      <c r="N9" s="100">
        <v>1.3</v>
      </c>
      <c r="O9" s="100">
        <v>0</v>
      </c>
      <c r="P9" s="100">
        <v>0.81</v>
      </c>
      <c r="Q9" s="100">
        <v>9.32</v>
      </c>
      <c r="R9" s="6"/>
      <c r="S9" s="6"/>
      <c r="T9" s="156"/>
      <c r="U9" s="6"/>
    </row>
    <row r="10" spans="1:21" customFormat="1">
      <c r="A10" s="201" t="s">
        <v>1685</v>
      </c>
      <c r="B10" s="100">
        <v>24.98</v>
      </c>
      <c r="C10" s="100">
        <v>18.52</v>
      </c>
      <c r="D10" s="100">
        <v>29.71</v>
      </c>
      <c r="E10" s="100">
        <v>6.31</v>
      </c>
      <c r="F10" s="151" t="s">
        <v>8</v>
      </c>
      <c r="G10" s="100">
        <v>61.11</v>
      </c>
      <c r="H10" s="100">
        <v>16.510000000000002</v>
      </c>
      <c r="I10" s="100">
        <v>14.47</v>
      </c>
      <c r="J10" s="100">
        <v>0.15</v>
      </c>
      <c r="K10" s="100">
        <v>208.96</v>
      </c>
      <c r="L10" s="100">
        <v>18.760000000000002</v>
      </c>
      <c r="M10" s="100">
        <v>29.37</v>
      </c>
      <c r="N10" s="100">
        <v>1.3</v>
      </c>
      <c r="O10" s="100">
        <v>0</v>
      </c>
      <c r="P10" s="100">
        <v>0.81</v>
      </c>
      <c r="Q10" s="100">
        <v>9.32</v>
      </c>
      <c r="R10" s="6"/>
      <c r="S10" s="6"/>
      <c r="T10" s="156"/>
      <c r="U10" s="6"/>
    </row>
    <row r="11" spans="1:21" customFormat="1">
      <c r="A11" s="201" t="s">
        <v>1686</v>
      </c>
      <c r="B11" s="100">
        <v>26.09</v>
      </c>
      <c r="C11" s="100">
        <v>18.8</v>
      </c>
      <c r="D11" s="100">
        <v>30.75</v>
      </c>
      <c r="E11" s="100">
        <v>6.31</v>
      </c>
      <c r="F11" s="151" t="s">
        <v>8</v>
      </c>
      <c r="G11" s="100">
        <v>61.09</v>
      </c>
      <c r="H11" s="100">
        <v>17.190000000000001</v>
      </c>
      <c r="I11" s="100">
        <v>14.52</v>
      </c>
      <c r="J11" s="100">
        <v>0.17</v>
      </c>
      <c r="K11" s="100">
        <v>184.86</v>
      </c>
      <c r="L11" s="100">
        <v>17.03</v>
      </c>
      <c r="M11" s="100">
        <v>25.06</v>
      </c>
      <c r="N11" s="100">
        <v>1.3</v>
      </c>
      <c r="O11" s="100">
        <v>0</v>
      </c>
      <c r="P11" s="100">
        <v>0.82</v>
      </c>
      <c r="Q11" s="100">
        <v>9.32</v>
      </c>
      <c r="R11" s="6"/>
      <c r="S11" s="6"/>
      <c r="T11" s="156"/>
      <c r="U11" s="6"/>
    </row>
    <row r="12" spans="1:21" customFormat="1">
      <c r="A12" s="201" t="s">
        <v>1687</v>
      </c>
      <c r="B12" s="100">
        <v>27.14</v>
      </c>
      <c r="C12" s="100">
        <v>19.09</v>
      </c>
      <c r="D12" s="100">
        <v>31.74</v>
      </c>
      <c r="E12" s="100">
        <v>6.41</v>
      </c>
      <c r="F12" s="151" t="s">
        <v>8</v>
      </c>
      <c r="G12" s="100">
        <v>60.86</v>
      </c>
      <c r="H12" s="100">
        <v>17.39</v>
      </c>
      <c r="I12" s="100">
        <v>14.6</v>
      </c>
      <c r="J12" s="100">
        <v>0.13</v>
      </c>
      <c r="K12" s="100">
        <v>197.13</v>
      </c>
      <c r="L12" s="100">
        <v>17.649999999999999</v>
      </c>
      <c r="M12" s="100">
        <v>26.71</v>
      </c>
      <c r="N12" s="100">
        <v>1.2</v>
      </c>
      <c r="O12" s="100">
        <v>0</v>
      </c>
      <c r="P12" s="100">
        <v>0.82</v>
      </c>
      <c r="Q12" s="100">
        <v>9.32</v>
      </c>
      <c r="R12" s="6"/>
      <c r="S12" s="6"/>
      <c r="T12" s="156"/>
      <c r="U12" s="6"/>
    </row>
    <row r="13" spans="1:21" customFormat="1">
      <c r="A13" s="201" t="s">
        <v>1688</v>
      </c>
      <c r="B13" s="100">
        <v>27.92</v>
      </c>
      <c r="C13" s="100">
        <v>19.16</v>
      </c>
      <c r="D13" s="100">
        <v>32.4</v>
      </c>
      <c r="E13" s="100">
        <v>6.16</v>
      </c>
      <c r="F13" s="151" t="s">
        <v>8</v>
      </c>
      <c r="G13" s="100">
        <v>60.86</v>
      </c>
      <c r="H13" s="100">
        <v>17.39</v>
      </c>
      <c r="I13" s="100">
        <v>14.73</v>
      </c>
      <c r="J13" s="100">
        <v>0.12</v>
      </c>
      <c r="K13" s="100">
        <v>177.64</v>
      </c>
      <c r="L13" s="100">
        <v>16.2</v>
      </c>
      <c r="M13" s="100">
        <v>22.95</v>
      </c>
      <c r="N13" s="100">
        <v>1.1000000000000001</v>
      </c>
      <c r="O13" s="100">
        <v>0</v>
      </c>
      <c r="P13" s="100">
        <v>0.82</v>
      </c>
      <c r="Q13" s="100">
        <v>9.32</v>
      </c>
      <c r="R13" s="6"/>
      <c r="S13" s="6"/>
      <c r="T13" s="156"/>
      <c r="U13" s="6"/>
    </row>
    <row r="14" spans="1:21" customFormat="1">
      <c r="A14" s="201" t="s">
        <v>1689</v>
      </c>
      <c r="B14" s="100">
        <v>28.93</v>
      </c>
      <c r="C14" s="100">
        <v>19.34</v>
      </c>
      <c r="D14" s="100">
        <v>33.299999999999997</v>
      </c>
      <c r="E14" s="100">
        <v>6.36</v>
      </c>
      <c r="F14" s="151" t="s">
        <v>8</v>
      </c>
      <c r="G14" s="100">
        <v>60.86</v>
      </c>
      <c r="H14" s="100">
        <v>17.39</v>
      </c>
      <c r="I14" s="100">
        <v>14.83</v>
      </c>
      <c r="J14" s="100">
        <v>0.1</v>
      </c>
      <c r="K14" s="100">
        <v>117.97</v>
      </c>
      <c r="L14" s="100">
        <v>12.87</v>
      </c>
      <c r="M14" s="100">
        <v>14.55</v>
      </c>
      <c r="N14" s="100">
        <v>1.2</v>
      </c>
      <c r="O14" s="100">
        <v>0</v>
      </c>
      <c r="P14" s="100">
        <v>0.83</v>
      </c>
      <c r="Q14" s="100">
        <v>9.32</v>
      </c>
      <c r="R14" s="6"/>
      <c r="S14" s="6"/>
      <c r="T14" s="156"/>
      <c r="U14" s="6"/>
    </row>
    <row r="15" spans="1:21" customFormat="1">
      <c r="A15" s="201" t="s">
        <v>1690</v>
      </c>
      <c r="B15" s="100">
        <v>29.38</v>
      </c>
      <c r="C15" s="100">
        <v>19.510000000000002</v>
      </c>
      <c r="D15" s="100">
        <v>33.75</v>
      </c>
      <c r="E15" s="100">
        <v>6.39</v>
      </c>
      <c r="F15" s="151" t="s">
        <v>8</v>
      </c>
      <c r="G15" s="100">
        <v>60.77</v>
      </c>
      <c r="H15" s="100">
        <v>17.399999999999999</v>
      </c>
      <c r="I15" s="100">
        <v>14.96</v>
      </c>
      <c r="J15" s="100">
        <v>0.21</v>
      </c>
      <c r="K15" s="100">
        <v>84.34</v>
      </c>
      <c r="L15" s="100">
        <v>10.43</v>
      </c>
      <c r="M15" s="100">
        <v>8.36</v>
      </c>
      <c r="N15" s="100">
        <v>0.8</v>
      </c>
      <c r="O15" s="100">
        <v>0</v>
      </c>
      <c r="P15" s="100">
        <v>0.84</v>
      </c>
      <c r="Q15" s="100">
        <v>9.32</v>
      </c>
      <c r="R15" s="6"/>
      <c r="S15" s="6"/>
      <c r="T15" s="156"/>
      <c r="U15" s="6"/>
    </row>
    <row r="16" spans="1:21" customFormat="1">
      <c r="A16" s="201" t="s">
        <v>1691</v>
      </c>
      <c r="B16" s="100">
        <v>29.33</v>
      </c>
      <c r="C16" s="100">
        <v>19.53</v>
      </c>
      <c r="D16" s="100">
        <v>33.72</v>
      </c>
      <c r="E16" s="100">
        <v>6.18</v>
      </c>
      <c r="F16" s="151" t="s">
        <v>8</v>
      </c>
      <c r="G16" s="100">
        <v>59.98</v>
      </c>
      <c r="H16" s="100">
        <v>17.54</v>
      </c>
      <c r="I16" s="100">
        <v>15.21</v>
      </c>
      <c r="J16" s="100">
        <v>0.15</v>
      </c>
      <c r="K16" s="100">
        <v>25.59</v>
      </c>
      <c r="L16" s="100">
        <v>14.03</v>
      </c>
      <c r="M16" s="100">
        <v>17.3</v>
      </c>
      <c r="N16" s="100">
        <v>1.1000000000000001</v>
      </c>
      <c r="O16" s="100">
        <v>0</v>
      </c>
      <c r="P16" s="100">
        <v>0.86</v>
      </c>
      <c r="Q16" s="100">
        <v>9.32</v>
      </c>
      <c r="R16" s="6"/>
      <c r="S16" s="6"/>
      <c r="T16" s="156"/>
      <c r="U16" s="6"/>
    </row>
    <row r="17" spans="1:21" customFormat="1">
      <c r="A17" s="201" t="s">
        <v>1692</v>
      </c>
      <c r="B17" s="100">
        <v>28.88</v>
      </c>
      <c r="C17" s="100">
        <v>19.309999999999999</v>
      </c>
      <c r="D17" s="100">
        <v>33.25</v>
      </c>
      <c r="E17" s="100">
        <v>5.73</v>
      </c>
      <c r="F17" s="151" t="s">
        <v>8</v>
      </c>
      <c r="G17" s="100">
        <v>59.98</v>
      </c>
      <c r="H17" s="100">
        <v>17.54</v>
      </c>
      <c r="I17" s="100">
        <v>15.61</v>
      </c>
      <c r="J17" s="100">
        <v>0.24</v>
      </c>
      <c r="K17" s="100">
        <v>37.76</v>
      </c>
      <c r="L17" s="100">
        <v>10.18</v>
      </c>
      <c r="M17" s="100">
        <v>7.61</v>
      </c>
      <c r="N17" s="100">
        <v>1.1000000000000001</v>
      </c>
      <c r="O17" s="100">
        <v>0</v>
      </c>
      <c r="P17" s="100">
        <v>0.85</v>
      </c>
      <c r="Q17" s="100">
        <v>9.32</v>
      </c>
      <c r="R17" s="6"/>
      <c r="S17" s="6"/>
      <c r="T17" s="156"/>
      <c r="U17" s="6"/>
    </row>
    <row r="18" spans="1:21" customFormat="1">
      <c r="A18" s="201" t="s">
        <v>1693</v>
      </c>
      <c r="B18" s="100">
        <v>28.08</v>
      </c>
      <c r="C18" s="100">
        <v>19.079999999999998</v>
      </c>
      <c r="D18" s="100">
        <v>32.49</v>
      </c>
      <c r="E18" s="100">
        <v>6.72</v>
      </c>
      <c r="F18" s="151" t="s">
        <v>8</v>
      </c>
      <c r="G18" s="100">
        <v>59.98</v>
      </c>
      <c r="H18" s="100">
        <v>17.54</v>
      </c>
      <c r="I18" s="100">
        <v>16.12</v>
      </c>
      <c r="J18" s="100">
        <v>0.09</v>
      </c>
      <c r="K18" s="100">
        <v>45.57</v>
      </c>
      <c r="L18" s="100">
        <v>12.27</v>
      </c>
      <c r="M18" s="100">
        <v>12.9</v>
      </c>
      <c r="N18" s="100">
        <v>1.4</v>
      </c>
      <c r="O18" s="100">
        <v>0</v>
      </c>
      <c r="P18" s="100">
        <v>0.86</v>
      </c>
      <c r="Q18" s="100">
        <v>9.32</v>
      </c>
      <c r="R18" s="6"/>
      <c r="S18" s="6"/>
      <c r="T18" s="156"/>
      <c r="U18" s="6"/>
    </row>
    <row r="19" spans="1:21" customFormat="1">
      <c r="A19" s="201" t="s">
        <v>1694</v>
      </c>
      <c r="B19" s="100">
        <v>27.24</v>
      </c>
      <c r="C19" s="100">
        <v>18.850000000000001</v>
      </c>
      <c r="D19" s="100">
        <v>31.69</v>
      </c>
      <c r="E19" s="100">
        <v>7.15</v>
      </c>
      <c r="F19" s="151" t="s">
        <v>8</v>
      </c>
      <c r="G19" s="100">
        <v>60.66</v>
      </c>
      <c r="H19" s="100">
        <v>17.670000000000002</v>
      </c>
      <c r="I19" s="100">
        <v>16.63</v>
      </c>
      <c r="J19" s="100">
        <v>0.25</v>
      </c>
      <c r="K19" s="100">
        <v>35.04</v>
      </c>
      <c r="L19" s="100">
        <v>10.23</v>
      </c>
      <c r="M19" s="100">
        <v>7.65</v>
      </c>
      <c r="N19" s="100">
        <v>1.1000000000000001</v>
      </c>
      <c r="O19" s="100">
        <v>0</v>
      </c>
      <c r="P19" s="100">
        <v>0.87</v>
      </c>
      <c r="Q19" s="100">
        <v>9.32</v>
      </c>
      <c r="R19" s="6"/>
      <c r="S19" s="6"/>
      <c r="T19" s="156"/>
      <c r="U19" s="6"/>
    </row>
    <row r="20" spans="1:21" customFormat="1">
      <c r="A20" s="201" t="s">
        <v>1695</v>
      </c>
      <c r="B20" s="100">
        <v>26.73</v>
      </c>
      <c r="C20" s="100">
        <v>18.73</v>
      </c>
      <c r="D20" s="100">
        <v>31.22</v>
      </c>
      <c r="E20" s="100">
        <v>7.1</v>
      </c>
      <c r="F20" s="151" t="s">
        <v>8</v>
      </c>
      <c r="G20" s="100">
        <v>67.67</v>
      </c>
      <c r="H20" s="100">
        <v>18.72</v>
      </c>
      <c r="I20" s="100">
        <v>16.940000000000001</v>
      </c>
      <c r="J20" s="100">
        <v>0.28000000000000003</v>
      </c>
      <c r="K20" s="100">
        <v>50.98</v>
      </c>
      <c r="L20" s="100">
        <v>7.36</v>
      </c>
      <c r="M20" s="100">
        <v>0.55000000000000004</v>
      </c>
      <c r="N20" s="100">
        <v>1.2</v>
      </c>
      <c r="O20" s="100">
        <v>0</v>
      </c>
      <c r="P20" s="100">
        <v>0.88</v>
      </c>
      <c r="Q20" s="100">
        <v>9.32</v>
      </c>
      <c r="R20" s="6"/>
      <c r="S20" s="6"/>
      <c r="T20" s="156"/>
      <c r="U20" s="6"/>
    </row>
    <row r="21" spans="1:21" customFormat="1">
      <c r="A21" s="201" t="s">
        <v>1696</v>
      </c>
      <c r="B21" s="100">
        <v>26.12</v>
      </c>
      <c r="C21" s="100">
        <v>18.690000000000001</v>
      </c>
      <c r="D21" s="100">
        <v>30.71</v>
      </c>
      <c r="E21" s="100">
        <v>6.78</v>
      </c>
      <c r="F21" s="151" t="s">
        <v>8</v>
      </c>
      <c r="G21" s="100">
        <v>67.67</v>
      </c>
      <c r="H21" s="100">
        <v>18.72</v>
      </c>
      <c r="I21" s="100">
        <v>17.059999999999999</v>
      </c>
      <c r="J21" s="100">
        <v>0.45</v>
      </c>
      <c r="K21" s="100">
        <v>59.66</v>
      </c>
      <c r="L21" s="100">
        <v>8.25</v>
      </c>
      <c r="M21" s="100">
        <v>2.81</v>
      </c>
      <c r="N21" s="100">
        <v>1.1000000000000001</v>
      </c>
      <c r="O21" s="100">
        <v>0</v>
      </c>
      <c r="P21" s="100">
        <v>0.88</v>
      </c>
      <c r="Q21" s="100">
        <v>9.32</v>
      </c>
      <c r="R21" s="6"/>
      <c r="S21" s="6"/>
      <c r="T21" s="156"/>
      <c r="U21" s="6"/>
    </row>
    <row r="22" spans="1:21" customFormat="1">
      <c r="A22" s="201" t="s">
        <v>1697</v>
      </c>
      <c r="B22" s="100">
        <v>25.28</v>
      </c>
      <c r="C22" s="100">
        <v>18.5</v>
      </c>
      <c r="D22" s="100">
        <v>29.94</v>
      </c>
      <c r="E22" s="100">
        <v>7.04</v>
      </c>
      <c r="F22" s="151" t="s">
        <v>8</v>
      </c>
      <c r="G22" s="100">
        <v>67.67</v>
      </c>
      <c r="H22" s="100">
        <v>18.72</v>
      </c>
      <c r="I22" s="100">
        <v>17.07</v>
      </c>
      <c r="J22" s="100">
        <v>0.45</v>
      </c>
      <c r="K22" s="100">
        <v>54.11</v>
      </c>
      <c r="L22" s="100">
        <v>7.3</v>
      </c>
      <c r="M22" s="100">
        <v>0.35</v>
      </c>
      <c r="N22" s="100">
        <v>1.2</v>
      </c>
      <c r="O22" s="100">
        <v>0</v>
      </c>
      <c r="P22" s="100">
        <v>0.88</v>
      </c>
      <c r="Q22" s="100">
        <v>9.32</v>
      </c>
      <c r="R22" s="6"/>
      <c r="S22" s="6"/>
      <c r="T22" s="156"/>
      <c r="U22" s="6"/>
    </row>
    <row r="23" spans="1:21" customFormat="1">
      <c r="A23" s="201" t="s">
        <v>1698</v>
      </c>
      <c r="B23" s="100">
        <v>24.24</v>
      </c>
      <c r="C23" s="100">
        <v>18.600000000000001</v>
      </c>
      <c r="D23" s="100">
        <v>29.16</v>
      </c>
      <c r="E23" s="100">
        <v>6.93</v>
      </c>
      <c r="F23" s="151" t="s">
        <v>8</v>
      </c>
      <c r="G23" s="100">
        <v>67.739999999999995</v>
      </c>
      <c r="H23" s="100">
        <v>18.71</v>
      </c>
      <c r="I23" s="100">
        <v>17.2</v>
      </c>
      <c r="J23" s="100">
        <v>0.17</v>
      </c>
      <c r="K23" s="100">
        <v>69.06</v>
      </c>
      <c r="L23" s="100">
        <v>9.84</v>
      </c>
      <c r="M23" s="100">
        <v>6.84</v>
      </c>
      <c r="N23" s="100">
        <v>1.4</v>
      </c>
      <c r="O23" s="100">
        <v>0</v>
      </c>
      <c r="P23" s="100">
        <v>0.87</v>
      </c>
      <c r="Q23" s="100">
        <v>9.3800000000000008</v>
      </c>
      <c r="R23" s="6"/>
      <c r="S23" s="6"/>
      <c r="T23" s="156"/>
      <c r="U23" s="6"/>
    </row>
    <row r="24" spans="1:21" customFormat="1">
      <c r="A24" s="201" t="s">
        <v>1699</v>
      </c>
      <c r="B24" s="100">
        <v>23.5</v>
      </c>
      <c r="C24" s="100">
        <v>18.68</v>
      </c>
      <c r="D24" s="100">
        <v>28.6</v>
      </c>
      <c r="E24" s="100">
        <v>6.83</v>
      </c>
      <c r="F24" s="151" t="s">
        <v>8</v>
      </c>
      <c r="G24" s="100">
        <v>68.34</v>
      </c>
      <c r="H24" s="100">
        <v>18.579999999999998</v>
      </c>
      <c r="I24" s="100">
        <v>17.420000000000002</v>
      </c>
      <c r="J24" s="100">
        <v>0.31</v>
      </c>
      <c r="K24" s="100">
        <v>39.68</v>
      </c>
      <c r="L24" s="100">
        <v>8.57</v>
      </c>
      <c r="M24" s="100">
        <v>3.56</v>
      </c>
      <c r="N24" s="100">
        <v>1.1000000000000001</v>
      </c>
      <c r="O24" s="100">
        <v>0</v>
      </c>
      <c r="P24" s="100">
        <v>0.87</v>
      </c>
      <c r="Q24" s="100">
        <v>9.3800000000000008</v>
      </c>
      <c r="R24" s="6"/>
      <c r="S24" s="6"/>
      <c r="T24" s="156"/>
      <c r="U24" s="6"/>
    </row>
    <row r="25" spans="1:21" customFormat="1">
      <c r="A25" s="201" t="s">
        <v>1700</v>
      </c>
      <c r="B25" s="100">
        <v>22.83</v>
      </c>
      <c r="C25" s="100">
        <v>18.88</v>
      </c>
      <c r="D25" s="100">
        <v>28.17</v>
      </c>
      <c r="E25" s="100">
        <v>6.4</v>
      </c>
      <c r="F25" s="151" t="s">
        <v>8</v>
      </c>
      <c r="G25" s="100">
        <v>68.34</v>
      </c>
      <c r="H25" s="100">
        <v>18.579999999999998</v>
      </c>
      <c r="I25" s="100">
        <v>17.39</v>
      </c>
      <c r="J25" s="100">
        <v>0.3</v>
      </c>
      <c r="K25" s="100">
        <v>32.1</v>
      </c>
      <c r="L25" s="100">
        <v>9.86</v>
      </c>
      <c r="M25" s="100">
        <v>6.78</v>
      </c>
      <c r="N25" s="100">
        <v>1.3</v>
      </c>
      <c r="O25" s="100">
        <v>0</v>
      </c>
      <c r="P25" s="100">
        <v>0.84</v>
      </c>
      <c r="Q25" s="100">
        <v>9.44</v>
      </c>
      <c r="R25" s="6"/>
      <c r="S25" s="6"/>
      <c r="T25" s="156"/>
      <c r="U25" s="6"/>
    </row>
    <row r="26" spans="1:21" customFormat="1">
      <c r="A26" s="201" t="s">
        <v>1701</v>
      </c>
      <c r="B26" s="100">
        <v>22.04</v>
      </c>
      <c r="C26" s="100">
        <v>18.96</v>
      </c>
      <c r="D26" s="100">
        <v>27.58</v>
      </c>
      <c r="E26" s="100">
        <v>6.26</v>
      </c>
      <c r="F26" s="151" t="s">
        <v>8</v>
      </c>
      <c r="G26" s="100">
        <v>68.34</v>
      </c>
      <c r="H26" s="100">
        <v>18.579999999999998</v>
      </c>
      <c r="I26" s="100">
        <v>17.12</v>
      </c>
      <c r="J26" s="100">
        <v>0.3</v>
      </c>
      <c r="K26" s="100">
        <v>49.04</v>
      </c>
      <c r="L26" s="100">
        <v>8.64</v>
      </c>
      <c r="M26" s="100">
        <v>3.77</v>
      </c>
      <c r="N26" s="100">
        <v>1.2</v>
      </c>
      <c r="O26" s="100">
        <v>0</v>
      </c>
      <c r="P26" s="100">
        <v>0.82</v>
      </c>
      <c r="Q26" s="100">
        <v>9.48</v>
      </c>
      <c r="R26" s="6"/>
      <c r="S26" s="6"/>
      <c r="T26" s="156"/>
      <c r="U26" s="6"/>
    </row>
    <row r="27" spans="1:21" customFormat="1">
      <c r="A27" s="201" t="s">
        <v>1702</v>
      </c>
      <c r="B27" s="100">
        <v>21.21</v>
      </c>
      <c r="C27" s="100">
        <v>18.87</v>
      </c>
      <c r="D27" s="100">
        <v>26.87</v>
      </c>
      <c r="E27" s="100">
        <v>6.11</v>
      </c>
      <c r="F27" s="151" t="s">
        <v>8</v>
      </c>
      <c r="G27" s="100">
        <v>67.55</v>
      </c>
      <c r="H27" s="100">
        <v>18.489999999999998</v>
      </c>
      <c r="I27" s="100">
        <v>16.739999999999998</v>
      </c>
      <c r="J27" s="100">
        <v>0.16</v>
      </c>
      <c r="K27" s="100">
        <v>197.56</v>
      </c>
      <c r="L27" s="100">
        <v>18.489999999999998</v>
      </c>
      <c r="M27" s="100">
        <v>28.75</v>
      </c>
      <c r="N27" s="100">
        <v>1.6</v>
      </c>
      <c r="O27" s="100">
        <v>0</v>
      </c>
      <c r="P27" s="100">
        <v>0.79</v>
      </c>
      <c r="Q27" s="100">
        <v>9.4600000000000009</v>
      </c>
      <c r="R27" s="6"/>
      <c r="S27" s="6"/>
      <c r="T27" s="156"/>
      <c r="U27" s="6"/>
    </row>
    <row r="28" spans="1:21" customFormat="1">
      <c r="A28" s="201" t="s">
        <v>1703</v>
      </c>
      <c r="B28" s="100">
        <v>20.34</v>
      </c>
      <c r="C28" s="100">
        <v>18.53</v>
      </c>
      <c r="D28" s="100">
        <v>26</v>
      </c>
      <c r="E28" s="100">
        <v>6.64</v>
      </c>
      <c r="F28" s="151" t="s">
        <v>8</v>
      </c>
      <c r="G28" s="100">
        <v>59.49</v>
      </c>
      <c r="H28" s="100">
        <v>17.73</v>
      </c>
      <c r="I28" s="100">
        <v>16.350000000000001</v>
      </c>
      <c r="J28" s="100">
        <v>0.16</v>
      </c>
      <c r="K28" s="100">
        <v>163.36000000000001</v>
      </c>
      <c r="L28" s="100">
        <v>15.63</v>
      </c>
      <c r="M28" s="100">
        <v>21.59</v>
      </c>
      <c r="N28" s="100">
        <v>1.5</v>
      </c>
      <c r="O28" s="100">
        <v>0</v>
      </c>
      <c r="P28" s="100">
        <v>0.78</v>
      </c>
      <c r="Q28" s="100">
        <v>9.5</v>
      </c>
      <c r="R28" s="6"/>
      <c r="S28" s="6"/>
      <c r="T28" s="156"/>
      <c r="U28" s="6"/>
    </row>
    <row r="29" spans="1:21" customFormat="1">
      <c r="A29" s="201" t="s">
        <v>1704</v>
      </c>
      <c r="B29" s="100">
        <v>19.600000000000001</v>
      </c>
      <c r="C29" s="100">
        <v>18.29</v>
      </c>
      <c r="D29" s="100">
        <v>25.28</v>
      </c>
      <c r="E29" s="100">
        <v>6.75</v>
      </c>
      <c r="F29" s="151" t="s">
        <v>8</v>
      </c>
      <c r="G29" s="100">
        <v>59.49</v>
      </c>
      <c r="H29" s="100">
        <v>17.73</v>
      </c>
      <c r="I29" s="100">
        <v>15.92</v>
      </c>
      <c r="J29" s="100">
        <v>0.17</v>
      </c>
      <c r="K29" s="100">
        <v>154.44999999999999</v>
      </c>
      <c r="L29" s="100">
        <v>14.56</v>
      </c>
      <c r="M29" s="100">
        <v>18.91</v>
      </c>
      <c r="N29" s="100">
        <v>1.3</v>
      </c>
      <c r="O29" s="100">
        <v>0</v>
      </c>
      <c r="P29" s="100">
        <v>0.76</v>
      </c>
      <c r="Q29" s="100">
        <v>9.5299999999999994</v>
      </c>
      <c r="R29" s="6"/>
      <c r="S29" s="6"/>
      <c r="T29" s="156"/>
      <c r="U29" s="6"/>
    </row>
    <row r="30" spans="1:21" customFormat="1">
      <c r="A30" s="201" t="s">
        <v>1705</v>
      </c>
      <c r="B30" s="100">
        <v>19.13</v>
      </c>
      <c r="C30" s="100">
        <v>18.13</v>
      </c>
      <c r="D30" s="100">
        <v>24.81</v>
      </c>
      <c r="E30" s="100">
        <v>5.99</v>
      </c>
      <c r="F30" s="151" t="s">
        <v>8</v>
      </c>
      <c r="G30" s="100">
        <v>59.49</v>
      </c>
      <c r="H30" s="100">
        <v>17.73</v>
      </c>
      <c r="I30" s="100">
        <v>15.54</v>
      </c>
      <c r="J30" s="100">
        <v>0.04</v>
      </c>
      <c r="K30" s="100">
        <v>29.36</v>
      </c>
      <c r="L30" s="100">
        <v>16.32</v>
      </c>
      <c r="M30" s="100">
        <v>23.09</v>
      </c>
      <c r="N30" s="100">
        <v>1.1000000000000001</v>
      </c>
      <c r="O30" s="100">
        <v>0</v>
      </c>
      <c r="P30" s="100">
        <v>0.75</v>
      </c>
      <c r="Q30" s="100">
        <v>9.5</v>
      </c>
      <c r="R30" s="6"/>
      <c r="S30" s="6"/>
      <c r="T30" s="156"/>
      <c r="U30" s="6"/>
    </row>
    <row r="31" spans="1:21" customFormat="1">
      <c r="A31" s="201" t="s">
        <v>1706</v>
      </c>
      <c r="B31" s="100">
        <v>19.2</v>
      </c>
      <c r="C31" s="100">
        <v>18.38</v>
      </c>
      <c r="D31" s="100">
        <v>25</v>
      </c>
      <c r="E31" s="100">
        <v>6.29</v>
      </c>
      <c r="F31" s="151" t="s">
        <v>8</v>
      </c>
      <c r="G31" s="100">
        <v>58.75</v>
      </c>
      <c r="H31" s="100">
        <v>17.63</v>
      </c>
      <c r="I31" s="100">
        <v>15.2</v>
      </c>
      <c r="J31" s="100">
        <v>0.05</v>
      </c>
      <c r="K31" s="100">
        <v>53.97</v>
      </c>
      <c r="L31" s="100">
        <v>14.2</v>
      </c>
      <c r="M31" s="100">
        <v>17.79</v>
      </c>
      <c r="N31" s="100">
        <v>1</v>
      </c>
      <c r="O31" s="100">
        <v>0</v>
      </c>
      <c r="P31" s="100">
        <v>0.73</v>
      </c>
      <c r="Q31" s="100">
        <v>9.39</v>
      </c>
      <c r="R31" s="6"/>
      <c r="S31" s="6"/>
      <c r="T31" s="156"/>
      <c r="U31" s="6"/>
    </row>
    <row r="32" spans="1:21" customFormat="1">
      <c r="A32" s="201" t="s">
        <v>1707</v>
      </c>
      <c r="B32" s="100">
        <v>19.59</v>
      </c>
      <c r="C32" s="100">
        <v>18.38</v>
      </c>
      <c r="D32" s="100">
        <v>25.32</v>
      </c>
      <c r="E32" s="100">
        <v>6.41</v>
      </c>
      <c r="F32" s="151" t="s">
        <v>8</v>
      </c>
      <c r="G32" s="100">
        <v>52.17</v>
      </c>
      <c r="H32" s="100">
        <v>16.829999999999998</v>
      </c>
      <c r="I32" s="100">
        <v>14.88</v>
      </c>
      <c r="J32" s="100">
        <v>0.08</v>
      </c>
      <c r="K32" s="100">
        <v>33.33</v>
      </c>
      <c r="L32" s="100">
        <v>13.99</v>
      </c>
      <c r="M32" s="100">
        <v>17.28</v>
      </c>
      <c r="N32" s="100">
        <v>1.3</v>
      </c>
      <c r="O32" s="100">
        <v>0</v>
      </c>
      <c r="P32" s="100">
        <v>0.72</v>
      </c>
      <c r="Q32" s="100">
        <v>9.52</v>
      </c>
      <c r="R32" s="6"/>
      <c r="S32" s="6"/>
      <c r="T32" s="156"/>
      <c r="U32" s="6"/>
    </row>
    <row r="33" spans="1:21" customFormat="1">
      <c r="A33" s="201" t="s">
        <v>1708</v>
      </c>
      <c r="B33" s="100">
        <v>19.72</v>
      </c>
      <c r="C33" s="100">
        <v>18.59</v>
      </c>
      <c r="D33" s="100">
        <v>25.52</v>
      </c>
      <c r="E33" s="100">
        <v>6.31</v>
      </c>
      <c r="F33" s="151" t="s">
        <v>8</v>
      </c>
      <c r="G33" s="100">
        <v>52.17</v>
      </c>
      <c r="H33" s="100">
        <v>16.829999999999998</v>
      </c>
      <c r="I33" s="100">
        <v>14.58</v>
      </c>
      <c r="J33" s="100">
        <v>0.04</v>
      </c>
      <c r="K33" s="100">
        <v>127.69</v>
      </c>
      <c r="L33" s="100">
        <v>13.68</v>
      </c>
      <c r="M33" s="100">
        <v>16.53</v>
      </c>
      <c r="N33" s="100">
        <v>2.6</v>
      </c>
      <c r="O33" s="100">
        <v>0</v>
      </c>
      <c r="P33" s="100">
        <v>0.71</v>
      </c>
      <c r="Q33" s="100">
        <v>9.6199999999999992</v>
      </c>
      <c r="R33" s="6"/>
      <c r="S33" s="6"/>
      <c r="T33" s="156"/>
      <c r="U33" s="6"/>
    </row>
    <row r="34" spans="1:21" customFormat="1">
      <c r="A34" s="201" t="s">
        <v>1709</v>
      </c>
      <c r="B34" s="100">
        <v>19.82</v>
      </c>
      <c r="C34" s="100">
        <v>18.72</v>
      </c>
      <c r="D34" s="100">
        <v>25.67</v>
      </c>
      <c r="E34" s="100">
        <v>6.27</v>
      </c>
      <c r="F34" s="151" t="s">
        <v>8</v>
      </c>
      <c r="G34" s="100">
        <v>52.17</v>
      </c>
      <c r="H34" s="100">
        <v>16.829999999999998</v>
      </c>
      <c r="I34" s="100">
        <v>14.29</v>
      </c>
      <c r="J34" s="100">
        <v>0.11</v>
      </c>
      <c r="K34" s="100">
        <v>48.52</v>
      </c>
      <c r="L34" s="100">
        <v>11.24</v>
      </c>
      <c r="M34" s="100">
        <v>10.17</v>
      </c>
      <c r="N34" s="100">
        <v>7.4</v>
      </c>
      <c r="O34" s="100">
        <v>0</v>
      </c>
      <c r="P34" s="100">
        <v>0.7</v>
      </c>
      <c r="Q34" s="100">
        <v>9.59</v>
      </c>
      <c r="R34" s="6"/>
      <c r="S34" s="6"/>
      <c r="T34" s="156"/>
      <c r="U34" s="6"/>
    </row>
    <row r="35" spans="1:21" customFormat="1">
      <c r="A35" s="201" t="s">
        <v>1710</v>
      </c>
      <c r="B35" s="100">
        <v>20.38</v>
      </c>
      <c r="C35" s="100">
        <v>18.760000000000002</v>
      </c>
      <c r="D35" s="100">
        <v>26.14</v>
      </c>
      <c r="E35" s="100">
        <v>6.22</v>
      </c>
      <c r="F35" s="151" t="s">
        <v>8</v>
      </c>
      <c r="G35" s="100">
        <v>51.95</v>
      </c>
      <c r="H35" s="100">
        <v>16.72</v>
      </c>
      <c r="I35" s="100">
        <v>14.07</v>
      </c>
      <c r="J35" s="100">
        <v>0.12</v>
      </c>
      <c r="K35" s="100">
        <v>159.63999999999999</v>
      </c>
      <c r="L35" s="100">
        <v>15.2</v>
      </c>
      <c r="M35" s="100">
        <v>20.11</v>
      </c>
      <c r="N35" s="100">
        <v>17.8</v>
      </c>
      <c r="O35" s="100">
        <v>0</v>
      </c>
      <c r="P35" s="100">
        <v>0.7</v>
      </c>
      <c r="Q35" s="100">
        <v>9.4700000000000006</v>
      </c>
      <c r="R35" s="6"/>
      <c r="S35" s="6"/>
      <c r="T35" s="156"/>
      <c r="U35" s="6"/>
    </row>
    <row r="36" spans="1:21" customFormat="1">
      <c r="A36" s="201" t="s">
        <v>1711</v>
      </c>
      <c r="B36" s="100">
        <v>20.66</v>
      </c>
      <c r="C36" s="100">
        <v>18.82</v>
      </c>
      <c r="D36" s="100">
        <v>26.4</v>
      </c>
      <c r="E36" s="100">
        <v>6.56</v>
      </c>
      <c r="F36" s="151" t="s">
        <v>8</v>
      </c>
      <c r="G36" s="100">
        <v>49.95</v>
      </c>
      <c r="H36" s="100">
        <v>15.96</v>
      </c>
      <c r="I36" s="100">
        <v>13.88</v>
      </c>
      <c r="J36" s="100">
        <v>0.17</v>
      </c>
      <c r="K36" s="100">
        <v>68.790000000000006</v>
      </c>
      <c r="L36" s="100">
        <v>9.6199999999999992</v>
      </c>
      <c r="M36" s="100">
        <v>5.63</v>
      </c>
      <c r="N36" s="100">
        <v>30.1</v>
      </c>
      <c r="O36" s="100">
        <v>0</v>
      </c>
      <c r="P36" s="100">
        <v>0.69</v>
      </c>
      <c r="Q36" s="100">
        <v>9.36</v>
      </c>
      <c r="R36" s="6"/>
      <c r="S36" s="6"/>
      <c r="T36" s="156"/>
      <c r="U36" s="6"/>
    </row>
    <row r="37" spans="1:21" customFormat="1">
      <c r="A37" s="201" t="s">
        <v>1712</v>
      </c>
      <c r="B37" s="100">
        <v>20.8</v>
      </c>
      <c r="C37" s="100">
        <v>18.82</v>
      </c>
      <c r="D37" s="100">
        <v>26.51</v>
      </c>
      <c r="E37" s="100">
        <v>6.55</v>
      </c>
      <c r="F37" s="151" t="s">
        <v>8</v>
      </c>
      <c r="G37" s="100">
        <v>49.95</v>
      </c>
      <c r="H37" s="100">
        <v>15.96</v>
      </c>
      <c r="I37" s="100">
        <v>13.71</v>
      </c>
      <c r="J37" s="100">
        <v>0.26</v>
      </c>
      <c r="K37" s="100">
        <v>36.74</v>
      </c>
      <c r="L37" s="100">
        <v>12.91</v>
      </c>
      <c r="M37" s="100">
        <v>13.47</v>
      </c>
      <c r="N37" s="100">
        <v>43.3</v>
      </c>
      <c r="O37" s="100">
        <v>0</v>
      </c>
      <c r="P37" s="100">
        <v>0.71</v>
      </c>
      <c r="Q37" s="100">
        <v>9.5299999999999994</v>
      </c>
      <c r="R37" s="6"/>
      <c r="S37" s="6"/>
      <c r="T37" s="156"/>
      <c r="U37" s="6"/>
    </row>
    <row r="38" spans="1:21" customFormat="1">
      <c r="A38" s="201" t="s">
        <v>1713</v>
      </c>
      <c r="B38" s="100">
        <v>20.79</v>
      </c>
      <c r="C38" s="100">
        <v>18.899999999999999</v>
      </c>
      <c r="D38" s="100">
        <v>26.55</v>
      </c>
      <c r="E38" s="100">
        <v>6.46</v>
      </c>
      <c r="F38" s="151" t="s">
        <v>8</v>
      </c>
      <c r="G38" s="100">
        <v>49.95</v>
      </c>
      <c r="H38" s="100">
        <v>15.96</v>
      </c>
      <c r="I38" s="100">
        <v>13.62</v>
      </c>
      <c r="J38" s="100">
        <v>0.37</v>
      </c>
      <c r="K38" s="100">
        <v>47.58</v>
      </c>
      <c r="L38" s="100">
        <v>8.58</v>
      </c>
      <c r="M38" s="100">
        <v>2.27</v>
      </c>
      <c r="N38" s="100">
        <v>56.7</v>
      </c>
      <c r="O38" s="100">
        <v>0</v>
      </c>
      <c r="P38" s="100">
        <v>0.73</v>
      </c>
      <c r="Q38" s="100">
        <v>9.7200000000000006</v>
      </c>
      <c r="R38" s="6"/>
      <c r="S38" s="6"/>
      <c r="T38" s="156"/>
      <c r="U38" s="6"/>
    </row>
    <row r="39" spans="1:21" customFormat="1">
      <c r="A39" s="201" t="s">
        <v>1714</v>
      </c>
      <c r="B39" s="100">
        <v>20.65</v>
      </c>
      <c r="C39" s="100">
        <v>19.100000000000001</v>
      </c>
      <c r="D39" s="100">
        <v>26.54</v>
      </c>
      <c r="E39" s="100">
        <v>6.51</v>
      </c>
      <c r="F39" s="151" t="s">
        <v>8</v>
      </c>
      <c r="G39" s="100">
        <v>50.1</v>
      </c>
      <c r="H39" s="100">
        <v>16.04</v>
      </c>
      <c r="I39" s="100">
        <v>13.67</v>
      </c>
      <c r="J39" s="100">
        <v>0.56999999999999995</v>
      </c>
      <c r="K39" s="100">
        <v>34.090000000000003</v>
      </c>
      <c r="L39" s="100">
        <v>11.77</v>
      </c>
      <c r="M39" s="100">
        <v>9.86</v>
      </c>
      <c r="N39" s="100">
        <v>71.900000000000006</v>
      </c>
      <c r="O39" s="100">
        <v>0</v>
      </c>
      <c r="P39" s="100">
        <v>0.74</v>
      </c>
      <c r="Q39" s="100">
        <v>10.28</v>
      </c>
      <c r="R39" s="6"/>
      <c r="S39" s="6"/>
      <c r="T39" s="156"/>
      <c r="U39" s="6"/>
    </row>
    <row r="40" spans="1:21" customFormat="1">
      <c r="A40" s="201" t="s">
        <v>1715</v>
      </c>
      <c r="B40" s="100">
        <v>20.440000000000001</v>
      </c>
      <c r="C40" s="100">
        <v>19.260000000000002</v>
      </c>
      <c r="D40" s="100">
        <v>26.45</v>
      </c>
      <c r="E40" s="100">
        <v>6.37</v>
      </c>
      <c r="F40" s="151" t="s">
        <v>8</v>
      </c>
      <c r="G40" s="100">
        <v>51.58</v>
      </c>
      <c r="H40" s="100">
        <v>16.72</v>
      </c>
      <c r="I40" s="100">
        <v>13.79</v>
      </c>
      <c r="J40" s="100">
        <v>0.66</v>
      </c>
      <c r="K40" s="100">
        <v>16</v>
      </c>
      <c r="L40" s="100">
        <v>14.16</v>
      </c>
      <c r="M40" s="100">
        <v>13.73</v>
      </c>
      <c r="N40" s="100">
        <v>156.4</v>
      </c>
      <c r="O40" s="100">
        <v>0</v>
      </c>
      <c r="P40" s="100">
        <v>0.74</v>
      </c>
      <c r="Q40" s="100">
        <v>10.11</v>
      </c>
      <c r="R40" s="6"/>
      <c r="S40" s="6"/>
      <c r="T40" s="156"/>
      <c r="U40" s="6"/>
    </row>
    <row r="41" spans="1:21" customFormat="1">
      <c r="A41" s="201" t="s">
        <v>1716</v>
      </c>
      <c r="B41" s="100">
        <v>19.920000000000002</v>
      </c>
      <c r="C41" s="100">
        <v>19.61</v>
      </c>
      <c r="D41" s="100">
        <v>26.22</v>
      </c>
      <c r="E41" s="100">
        <v>6.59</v>
      </c>
      <c r="F41" s="151" t="s">
        <v>8</v>
      </c>
      <c r="G41" s="100">
        <v>51.58</v>
      </c>
      <c r="H41" s="100">
        <v>16.72</v>
      </c>
      <c r="I41" s="100">
        <v>13.87</v>
      </c>
      <c r="J41" s="100">
        <v>0.56000000000000005</v>
      </c>
      <c r="K41" s="100">
        <v>33.29</v>
      </c>
      <c r="L41" s="100">
        <v>10.199999999999999</v>
      </c>
      <c r="M41" s="100">
        <v>2.91</v>
      </c>
      <c r="N41" s="100">
        <v>197.3</v>
      </c>
      <c r="O41" s="100">
        <v>0</v>
      </c>
      <c r="P41" s="100">
        <v>0.74</v>
      </c>
      <c r="Q41" s="100">
        <v>9.8699999999999992</v>
      </c>
      <c r="R41" s="6"/>
      <c r="S41" s="6"/>
      <c r="T41" s="156"/>
      <c r="U41" s="6"/>
    </row>
    <row r="42" spans="1:21" customFormat="1">
      <c r="A42" s="201" t="s">
        <v>1717</v>
      </c>
      <c r="B42" s="100">
        <v>19.260000000000002</v>
      </c>
      <c r="C42" s="100">
        <v>19.55</v>
      </c>
      <c r="D42" s="100">
        <v>25.66</v>
      </c>
      <c r="E42" s="100">
        <v>6.58</v>
      </c>
      <c r="F42" s="151" t="s">
        <v>8</v>
      </c>
      <c r="G42" s="100">
        <v>51.58</v>
      </c>
      <c r="H42" s="100">
        <v>16.72</v>
      </c>
      <c r="I42" s="100">
        <v>13.97</v>
      </c>
      <c r="J42" s="100">
        <v>0.66</v>
      </c>
      <c r="K42" s="100">
        <v>17.399999999999999</v>
      </c>
      <c r="L42" s="100">
        <v>15.36</v>
      </c>
      <c r="M42" s="100">
        <v>14.1</v>
      </c>
      <c r="N42" s="100">
        <v>237.3</v>
      </c>
      <c r="O42" s="100">
        <v>0</v>
      </c>
      <c r="P42" s="100">
        <v>0.74</v>
      </c>
      <c r="Q42" s="100">
        <v>9.74</v>
      </c>
      <c r="R42" s="6"/>
      <c r="S42" s="6"/>
      <c r="T42" s="156"/>
      <c r="U42" s="6"/>
    </row>
    <row r="43" spans="1:21" customFormat="1">
      <c r="A43" s="201" t="s">
        <v>1718</v>
      </c>
      <c r="B43" s="100">
        <v>18.440000000000001</v>
      </c>
      <c r="C43" s="100">
        <v>19.37</v>
      </c>
      <c r="D43" s="100">
        <v>24.91</v>
      </c>
      <c r="E43" s="100">
        <v>3.69</v>
      </c>
      <c r="F43" s="151" t="s">
        <v>8</v>
      </c>
      <c r="G43" s="100">
        <v>51.69</v>
      </c>
      <c r="H43" s="100">
        <v>16.73</v>
      </c>
      <c r="I43" s="100">
        <v>14.02</v>
      </c>
      <c r="J43" s="100">
        <v>0.78</v>
      </c>
      <c r="K43" s="100">
        <v>44.58</v>
      </c>
      <c r="L43" s="100">
        <v>9.9499999999999993</v>
      </c>
      <c r="M43" s="100">
        <v>0.45</v>
      </c>
      <c r="N43" s="100">
        <v>275.5</v>
      </c>
      <c r="O43" s="100">
        <v>0</v>
      </c>
      <c r="P43" s="100">
        <v>0.73</v>
      </c>
      <c r="Q43" s="100">
        <v>9.66</v>
      </c>
      <c r="R43" s="6"/>
      <c r="S43" s="6"/>
      <c r="T43" s="156"/>
      <c r="U43" s="6"/>
    </row>
    <row r="44" spans="1:21" customFormat="1">
      <c r="A44" s="201" t="s">
        <v>1719</v>
      </c>
      <c r="B44" s="100">
        <v>17.75</v>
      </c>
      <c r="C44" s="100">
        <v>19.14</v>
      </c>
      <c r="D44" s="100">
        <v>24.24</v>
      </c>
      <c r="E44" s="100">
        <v>5.99</v>
      </c>
      <c r="F44" s="151" t="s">
        <v>8</v>
      </c>
      <c r="G44" s="100">
        <v>52.71</v>
      </c>
      <c r="H44" s="100">
        <v>16.8</v>
      </c>
      <c r="I44" s="100">
        <v>13.99</v>
      </c>
      <c r="J44" s="100">
        <v>0.63</v>
      </c>
      <c r="K44" s="100">
        <v>38.99</v>
      </c>
      <c r="L44" s="100">
        <v>11.52</v>
      </c>
      <c r="M44" s="100">
        <v>3.55</v>
      </c>
      <c r="N44" s="100">
        <v>312</v>
      </c>
      <c r="O44" s="100">
        <v>0</v>
      </c>
      <c r="P44" s="100">
        <v>0.72</v>
      </c>
      <c r="Q44" s="100">
        <v>9.42</v>
      </c>
      <c r="R44" s="6"/>
      <c r="S44" s="6"/>
      <c r="T44" s="156"/>
      <c r="U44" s="6"/>
    </row>
    <row r="45" spans="1:21" customFormat="1">
      <c r="A45" s="201" t="s">
        <v>1720</v>
      </c>
      <c r="B45" s="100">
        <v>17.22</v>
      </c>
      <c r="C45" s="100">
        <v>19.07</v>
      </c>
      <c r="D45" s="100">
        <v>23.77</v>
      </c>
      <c r="E45" s="100">
        <v>6.31</v>
      </c>
      <c r="F45" s="151" t="s">
        <v>8</v>
      </c>
      <c r="G45" s="100">
        <v>52.71</v>
      </c>
      <c r="H45" s="100">
        <v>16.8</v>
      </c>
      <c r="I45" s="100">
        <v>13.89</v>
      </c>
      <c r="J45" s="100">
        <v>0.79</v>
      </c>
      <c r="K45" s="100">
        <v>43.1</v>
      </c>
      <c r="L45" s="100">
        <v>11.81</v>
      </c>
      <c r="M45" s="100">
        <v>3.36</v>
      </c>
      <c r="N45" s="100">
        <v>350.9</v>
      </c>
      <c r="O45" s="100">
        <v>0</v>
      </c>
      <c r="P45" s="100">
        <v>0.72</v>
      </c>
      <c r="Q45" s="100">
        <v>9.32</v>
      </c>
      <c r="R45" s="6"/>
      <c r="S45" s="6"/>
      <c r="T45" s="156"/>
      <c r="U45" s="6"/>
    </row>
    <row r="46" spans="1:21" customFormat="1">
      <c r="A46" s="201" t="s">
        <v>1721</v>
      </c>
      <c r="B46" s="100">
        <v>16.690000000000001</v>
      </c>
      <c r="C46" s="100">
        <v>19.239999999999998</v>
      </c>
      <c r="D46" s="100">
        <v>23.43</v>
      </c>
      <c r="E46" s="100">
        <v>6.33</v>
      </c>
      <c r="F46" s="151" t="s">
        <v>8</v>
      </c>
      <c r="G46" s="100">
        <v>52.71</v>
      </c>
      <c r="H46" s="100">
        <v>16.8</v>
      </c>
      <c r="I46" s="100">
        <v>13.8</v>
      </c>
      <c r="J46" s="100">
        <v>0.75</v>
      </c>
      <c r="K46" s="100">
        <v>44.51</v>
      </c>
      <c r="L46" s="100">
        <v>11.83</v>
      </c>
      <c r="M46" s="100">
        <v>2.58</v>
      </c>
      <c r="N46" s="100">
        <v>388.9</v>
      </c>
      <c r="O46" s="100">
        <v>0</v>
      </c>
      <c r="P46" s="100">
        <v>0.71</v>
      </c>
      <c r="Q46" s="100">
        <v>9.32</v>
      </c>
      <c r="R46" s="6"/>
      <c r="S46" s="6"/>
      <c r="T46" s="156"/>
      <c r="U46" s="6"/>
    </row>
    <row r="47" spans="1:21" customFormat="1">
      <c r="A47" s="201" t="s">
        <v>1722</v>
      </c>
      <c r="B47" s="100">
        <v>16.16</v>
      </c>
      <c r="C47" s="100">
        <v>19.37</v>
      </c>
      <c r="D47" s="100">
        <v>23.08</v>
      </c>
      <c r="E47" s="100">
        <v>6.39</v>
      </c>
      <c r="F47" s="151" t="s">
        <v>8</v>
      </c>
      <c r="G47" s="100">
        <v>52.72</v>
      </c>
      <c r="H47" s="100">
        <v>16.77</v>
      </c>
      <c r="I47" s="100">
        <v>13.75</v>
      </c>
      <c r="J47" s="100">
        <v>0.8</v>
      </c>
      <c r="K47" s="100">
        <v>42.56</v>
      </c>
      <c r="L47" s="100">
        <v>12.26</v>
      </c>
      <c r="M47" s="100">
        <v>6.18</v>
      </c>
      <c r="N47" s="100">
        <v>281.5</v>
      </c>
      <c r="O47" s="100">
        <v>0</v>
      </c>
      <c r="P47" s="100">
        <v>0.7</v>
      </c>
      <c r="Q47" s="100">
        <v>9.32</v>
      </c>
      <c r="R47" s="6"/>
      <c r="S47" s="6"/>
      <c r="T47" s="156"/>
      <c r="U47" s="6"/>
    </row>
    <row r="48" spans="1:21" customFormat="1">
      <c r="A48" s="201" t="s">
        <v>1723</v>
      </c>
      <c r="B48" s="100">
        <v>15.49</v>
      </c>
      <c r="C48" s="100">
        <v>19.420000000000002</v>
      </c>
      <c r="D48" s="100">
        <v>22.57</v>
      </c>
      <c r="E48" s="100">
        <v>6.28</v>
      </c>
      <c r="F48" s="151" t="s">
        <v>8</v>
      </c>
      <c r="G48" s="100">
        <v>52.81</v>
      </c>
      <c r="H48" s="100">
        <v>16.5</v>
      </c>
      <c r="I48" s="100">
        <v>13.64</v>
      </c>
      <c r="J48" s="100">
        <v>1.1000000000000001</v>
      </c>
      <c r="K48" s="100">
        <v>37.75</v>
      </c>
      <c r="L48" s="100">
        <v>12.44</v>
      </c>
      <c r="M48" s="100">
        <v>4.33</v>
      </c>
      <c r="N48" s="100">
        <v>374.6</v>
      </c>
      <c r="O48" s="100">
        <v>0</v>
      </c>
      <c r="P48" s="100">
        <v>0.7</v>
      </c>
      <c r="Q48" s="100">
        <v>9.32</v>
      </c>
      <c r="R48" s="6"/>
      <c r="S48" s="6"/>
      <c r="T48" s="156"/>
      <c r="U48" s="6"/>
    </row>
    <row r="49" spans="1:21" customFormat="1">
      <c r="A49" s="201" t="s">
        <v>1724</v>
      </c>
      <c r="B49" s="100">
        <v>14.71</v>
      </c>
      <c r="C49" s="100">
        <v>19.45</v>
      </c>
      <c r="D49" s="100">
        <v>21.96</v>
      </c>
      <c r="E49" s="100">
        <v>5.77</v>
      </c>
      <c r="F49" s="151" t="s">
        <v>8</v>
      </c>
      <c r="G49" s="100">
        <v>52.81</v>
      </c>
      <c r="H49" s="100">
        <v>16.5</v>
      </c>
      <c r="I49" s="100">
        <v>13.29</v>
      </c>
      <c r="J49" s="100">
        <v>1.0900000000000001</v>
      </c>
      <c r="K49" s="100">
        <v>40.92</v>
      </c>
      <c r="L49" s="100">
        <v>13.87</v>
      </c>
      <c r="M49" s="100">
        <v>5.23</v>
      </c>
      <c r="N49" s="100">
        <v>491.6</v>
      </c>
      <c r="O49" s="100">
        <v>0</v>
      </c>
      <c r="P49" s="100">
        <v>0.69</v>
      </c>
      <c r="Q49" s="100">
        <v>9.32</v>
      </c>
      <c r="R49" s="6"/>
      <c r="S49" s="6"/>
      <c r="T49" s="156"/>
      <c r="U49" s="6"/>
    </row>
    <row r="50" spans="1:21" customFormat="1">
      <c r="A50" s="201" t="s">
        <v>1725</v>
      </c>
      <c r="B50" s="100">
        <v>13.63</v>
      </c>
      <c r="C50" s="100">
        <v>19.47</v>
      </c>
      <c r="D50" s="100">
        <v>21.1</v>
      </c>
      <c r="E50" s="100">
        <v>6.66</v>
      </c>
      <c r="F50" s="151" t="s">
        <v>8</v>
      </c>
      <c r="G50" s="100">
        <v>52.81</v>
      </c>
      <c r="H50" s="100">
        <v>16.5</v>
      </c>
      <c r="I50" s="100">
        <v>12.94</v>
      </c>
      <c r="J50" s="100">
        <v>0.64</v>
      </c>
      <c r="K50" s="100">
        <v>59.68</v>
      </c>
      <c r="L50" s="100">
        <v>14.51</v>
      </c>
      <c r="M50" s="100">
        <v>6.24</v>
      </c>
      <c r="N50" s="100">
        <v>521.1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201" t="s">
        <v>1726</v>
      </c>
      <c r="B51" s="100">
        <v>12.45</v>
      </c>
      <c r="C51" s="100">
        <v>19.510000000000002</v>
      </c>
      <c r="D51" s="100">
        <v>20.170000000000002</v>
      </c>
      <c r="E51" s="100">
        <v>7.08</v>
      </c>
      <c r="F51" s="151" t="s">
        <v>8</v>
      </c>
      <c r="G51" s="100">
        <v>52.1</v>
      </c>
      <c r="H51" s="100">
        <v>16.46</v>
      </c>
      <c r="I51" s="100">
        <v>12.75</v>
      </c>
      <c r="J51" s="100">
        <v>1.03</v>
      </c>
      <c r="K51" s="100">
        <v>41.19</v>
      </c>
      <c r="L51" s="100">
        <v>14.79</v>
      </c>
      <c r="M51" s="100">
        <v>6.37</v>
      </c>
      <c r="N51" s="100">
        <v>541.5</v>
      </c>
      <c r="O51" s="100">
        <v>0</v>
      </c>
      <c r="P51" s="100">
        <v>0.67</v>
      </c>
      <c r="Q51" s="100">
        <v>9.32</v>
      </c>
      <c r="R51" s="6"/>
      <c r="S51" s="6"/>
      <c r="T51" s="156"/>
      <c r="U51" s="6"/>
    </row>
    <row r="52" spans="1:21" customFormat="1">
      <c r="A52" s="201" t="s">
        <v>1727</v>
      </c>
      <c r="B52" s="100">
        <v>11.27</v>
      </c>
      <c r="C52" s="100">
        <v>19.59</v>
      </c>
      <c r="D52" s="100">
        <v>19.27</v>
      </c>
      <c r="E52" s="100">
        <v>7.6</v>
      </c>
      <c r="F52" s="151" t="s">
        <v>8</v>
      </c>
      <c r="G52" s="100">
        <v>45.71</v>
      </c>
      <c r="H52" s="100">
        <v>16.100000000000001</v>
      </c>
      <c r="I52" s="100">
        <v>12.52</v>
      </c>
      <c r="J52" s="100">
        <v>1.51</v>
      </c>
      <c r="K52" s="100">
        <v>33.340000000000003</v>
      </c>
      <c r="L52" s="100">
        <v>13.81</v>
      </c>
      <c r="M52" s="100">
        <v>4.5</v>
      </c>
      <c r="N52" s="100">
        <v>512.6</v>
      </c>
      <c r="O52" s="100">
        <v>0</v>
      </c>
      <c r="P52" s="100">
        <v>0.65</v>
      </c>
      <c r="Q52" s="100">
        <v>9.32</v>
      </c>
      <c r="R52" s="6"/>
      <c r="S52" s="6"/>
      <c r="T52" s="156"/>
      <c r="U52" s="6"/>
    </row>
    <row r="53" spans="1:21" customFormat="1">
      <c r="A53" s="201" t="s">
        <v>1728</v>
      </c>
      <c r="B53" s="100">
        <v>10.15</v>
      </c>
      <c r="C53" s="100">
        <v>19.47</v>
      </c>
      <c r="D53" s="100">
        <v>18.309999999999999</v>
      </c>
      <c r="E53" s="100">
        <v>6.88</v>
      </c>
      <c r="F53" s="151" t="s">
        <v>8</v>
      </c>
      <c r="G53" s="100">
        <v>45.71</v>
      </c>
      <c r="H53" s="100">
        <v>16.100000000000001</v>
      </c>
      <c r="I53" s="100">
        <v>12.31</v>
      </c>
      <c r="J53" s="100">
        <v>0.76</v>
      </c>
      <c r="K53" s="100">
        <v>50.07</v>
      </c>
      <c r="L53" s="100">
        <v>14.51</v>
      </c>
      <c r="M53" s="100">
        <v>5.0199999999999996</v>
      </c>
      <c r="N53" s="100">
        <v>571.20000000000005</v>
      </c>
      <c r="O53" s="100">
        <v>0</v>
      </c>
      <c r="P53" s="100">
        <v>0.64</v>
      </c>
      <c r="Q53" s="100">
        <v>9.32</v>
      </c>
      <c r="R53" s="6"/>
      <c r="S53" s="6"/>
      <c r="T53" s="156"/>
      <c r="U53" s="6"/>
    </row>
    <row r="54" spans="1:21" customFormat="1">
      <c r="A54" s="201" t="s">
        <v>1729</v>
      </c>
      <c r="B54" s="100">
        <v>9</v>
      </c>
      <c r="C54" s="100">
        <v>19.43</v>
      </c>
      <c r="D54" s="100">
        <v>17.37</v>
      </c>
      <c r="E54" s="100">
        <v>7.08</v>
      </c>
      <c r="F54" s="151" t="s">
        <v>8</v>
      </c>
      <c r="G54" s="100">
        <v>45.71</v>
      </c>
      <c r="H54" s="100">
        <v>16.100000000000001</v>
      </c>
      <c r="I54" s="100">
        <v>12.08</v>
      </c>
      <c r="J54" s="100">
        <v>0.46</v>
      </c>
      <c r="K54" s="100">
        <v>62.14</v>
      </c>
      <c r="L54" s="100">
        <v>17.53</v>
      </c>
      <c r="M54" s="100">
        <v>13.31</v>
      </c>
      <c r="N54" s="100">
        <v>571.4</v>
      </c>
      <c r="O54" s="100">
        <v>0</v>
      </c>
      <c r="P54" s="100">
        <v>0.63</v>
      </c>
      <c r="Q54" s="100">
        <v>9.32</v>
      </c>
      <c r="R54" s="6"/>
      <c r="S54" s="6"/>
      <c r="T54" s="156"/>
      <c r="U54" s="6"/>
    </row>
    <row r="55" spans="1:21" customFormat="1">
      <c r="A55" s="201" t="s">
        <v>1730</v>
      </c>
      <c r="B55" s="100">
        <v>8.02</v>
      </c>
      <c r="C55" s="100">
        <v>19.47</v>
      </c>
      <c r="D55" s="100">
        <v>16.61</v>
      </c>
      <c r="E55" s="100">
        <v>7</v>
      </c>
      <c r="F55" s="151" t="s">
        <v>8</v>
      </c>
      <c r="G55" s="100">
        <v>45.2</v>
      </c>
      <c r="H55" s="100">
        <v>15.74</v>
      </c>
      <c r="I55" s="100">
        <v>11.86</v>
      </c>
      <c r="J55" s="100">
        <v>1.04</v>
      </c>
      <c r="K55" s="100">
        <v>44.43</v>
      </c>
      <c r="L55" s="100">
        <v>14.25</v>
      </c>
      <c r="M55" s="100">
        <v>4.16</v>
      </c>
      <c r="N55" s="100">
        <v>578.4</v>
      </c>
      <c r="O55" s="100">
        <v>0</v>
      </c>
      <c r="P55" s="100">
        <v>0.61</v>
      </c>
      <c r="Q55" s="100">
        <v>9.32</v>
      </c>
      <c r="R55" s="6"/>
      <c r="S55" s="6"/>
      <c r="T55" s="156"/>
      <c r="U55" s="6"/>
    </row>
    <row r="56" spans="1:21" customFormat="1">
      <c r="A56" s="201" t="s">
        <v>1731</v>
      </c>
      <c r="B56" s="100">
        <v>7.17</v>
      </c>
      <c r="C56" s="100">
        <v>19.23</v>
      </c>
      <c r="D56" s="100">
        <v>15.8</v>
      </c>
      <c r="E56" s="100">
        <v>6.9</v>
      </c>
      <c r="F56" s="151" t="s">
        <v>8</v>
      </c>
      <c r="G56" s="100">
        <v>40.01</v>
      </c>
      <c r="H56" s="100">
        <v>12.8</v>
      </c>
      <c r="I56" s="100">
        <v>11.64</v>
      </c>
      <c r="J56" s="100">
        <v>0.79</v>
      </c>
      <c r="K56" s="100">
        <v>34.18</v>
      </c>
      <c r="L56" s="100">
        <v>15.35</v>
      </c>
      <c r="M56" s="100">
        <v>6.88</v>
      </c>
      <c r="N56" s="100">
        <v>579.6</v>
      </c>
      <c r="O56" s="100">
        <v>0</v>
      </c>
      <c r="P56" s="100">
        <v>0.59</v>
      </c>
      <c r="Q56" s="100">
        <v>9.32</v>
      </c>
      <c r="R56" s="6"/>
      <c r="S56" s="6"/>
      <c r="T56" s="156"/>
      <c r="U56" s="6"/>
    </row>
    <row r="57" spans="1:21" customFormat="1">
      <c r="A57" s="201" t="s">
        <v>1732</v>
      </c>
      <c r="B57" s="100">
        <v>6.15</v>
      </c>
      <c r="C57" s="100">
        <v>19.32</v>
      </c>
      <c r="D57" s="100">
        <v>15.02</v>
      </c>
      <c r="E57" s="100">
        <v>6.59</v>
      </c>
      <c r="F57" s="151" t="s">
        <v>8</v>
      </c>
      <c r="G57" s="100">
        <v>40.01</v>
      </c>
      <c r="H57" s="100">
        <v>12.8</v>
      </c>
      <c r="I57" s="100">
        <v>11.42</v>
      </c>
      <c r="J57" s="100">
        <v>0.72</v>
      </c>
      <c r="K57" s="100">
        <v>39.01</v>
      </c>
      <c r="L57" s="100">
        <v>17.79</v>
      </c>
      <c r="M57" s="100">
        <v>13.33</v>
      </c>
      <c r="N57" s="100">
        <v>568.70000000000005</v>
      </c>
      <c r="O57" s="100">
        <v>0</v>
      </c>
      <c r="P57" s="100">
        <v>0.56000000000000005</v>
      </c>
      <c r="Q57" s="100">
        <v>9.32</v>
      </c>
      <c r="R57" s="6"/>
      <c r="S57" s="6"/>
      <c r="T57" s="156"/>
      <c r="U57" s="6"/>
    </row>
    <row r="58" spans="1:21" customFormat="1">
      <c r="A58" s="201" t="s">
        <v>1733</v>
      </c>
      <c r="B58" s="100">
        <v>5.19</v>
      </c>
      <c r="C58" s="100">
        <v>19.39</v>
      </c>
      <c r="D58" s="100">
        <v>14.3</v>
      </c>
      <c r="E58" s="100">
        <v>6.34</v>
      </c>
      <c r="F58" s="151" t="s">
        <v>8</v>
      </c>
      <c r="G58" s="100">
        <v>40.01</v>
      </c>
      <c r="H58" s="100">
        <v>12.8</v>
      </c>
      <c r="I58" s="100">
        <v>11.35</v>
      </c>
      <c r="J58" s="100">
        <v>0.76</v>
      </c>
      <c r="K58" s="100">
        <v>33.4</v>
      </c>
      <c r="L58" s="100">
        <v>17.16</v>
      </c>
      <c r="M58" s="100">
        <v>11.73</v>
      </c>
      <c r="N58" s="100">
        <v>566.9</v>
      </c>
      <c r="O58" s="100">
        <v>0</v>
      </c>
      <c r="P58" s="100">
        <v>0.54</v>
      </c>
      <c r="Q58" s="100">
        <v>9.32</v>
      </c>
      <c r="R58" s="6"/>
      <c r="S58" s="6"/>
      <c r="T58" s="156"/>
      <c r="U58" s="6"/>
    </row>
    <row r="59" spans="1:21" customFormat="1">
      <c r="A59" s="201" t="s">
        <v>1734</v>
      </c>
      <c r="B59" s="100">
        <v>4.3499999999999996</v>
      </c>
      <c r="C59" s="100">
        <v>19.440000000000001</v>
      </c>
      <c r="D59" s="100">
        <v>13.65</v>
      </c>
      <c r="E59" s="100">
        <v>6.66</v>
      </c>
      <c r="F59" s="151" t="s">
        <v>8</v>
      </c>
      <c r="G59" s="100">
        <v>39.39</v>
      </c>
      <c r="H59" s="100">
        <v>12.7</v>
      </c>
      <c r="I59" s="100">
        <v>11.13</v>
      </c>
      <c r="J59" s="100">
        <v>1.0900000000000001</v>
      </c>
      <c r="K59" s="100">
        <v>27.89</v>
      </c>
      <c r="L59" s="100">
        <v>15.81</v>
      </c>
      <c r="M59" s="100">
        <v>8.84</v>
      </c>
      <c r="N59" s="100">
        <v>547.5</v>
      </c>
      <c r="O59" s="100">
        <v>0</v>
      </c>
      <c r="P59" s="100">
        <v>0.52</v>
      </c>
      <c r="Q59" s="100">
        <v>9.32</v>
      </c>
      <c r="R59" s="6"/>
      <c r="S59" s="6"/>
      <c r="T59" s="156"/>
      <c r="U59" s="6"/>
    </row>
    <row r="60" spans="1:21" customFormat="1">
      <c r="A60" s="201" t="s">
        <v>1735</v>
      </c>
      <c r="B60" s="100">
        <v>3.6</v>
      </c>
      <c r="C60" s="100">
        <v>19.190000000000001</v>
      </c>
      <c r="D60" s="100">
        <v>12.91</v>
      </c>
      <c r="E60" s="100">
        <v>6.71</v>
      </c>
      <c r="F60" s="151" t="s">
        <v>8</v>
      </c>
      <c r="G60" s="100">
        <v>33.86</v>
      </c>
      <c r="H60" s="100">
        <v>11.92</v>
      </c>
      <c r="I60" s="100">
        <v>10.7</v>
      </c>
      <c r="J60" s="100">
        <v>0.56000000000000005</v>
      </c>
      <c r="K60" s="100">
        <v>37.479999999999997</v>
      </c>
      <c r="L60" s="100">
        <v>17.96</v>
      </c>
      <c r="M60" s="100">
        <v>14.77</v>
      </c>
      <c r="N60" s="100">
        <v>527.5</v>
      </c>
      <c r="O60" s="100">
        <v>0</v>
      </c>
      <c r="P60" s="100">
        <v>0.51</v>
      </c>
      <c r="Q60" s="100">
        <v>9.32</v>
      </c>
      <c r="R60" s="6"/>
      <c r="S60" s="6"/>
      <c r="T60" s="156"/>
      <c r="U60" s="6"/>
    </row>
    <row r="61" spans="1:21" customFormat="1">
      <c r="A61" s="201" t="s">
        <v>1736</v>
      </c>
      <c r="B61" s="100">
        <v>3</v>
      </c>
      <c r="C61" s="100">
        <v>18.78</v>
      </c>
      <c r="D61" s="100">
        <v>12.22</v>
      </c>
      <c r="E61" s="100">
        <v>6.56</v>
      </c>
      <c r="F61" s="151" t="s">
        <v>8</v>
      </c>
      <c r="G61" s="100">
        <v>33.86</v>
      </c>
      <c r="H61" s="100">
        <v>11.92</v>
      </c>
      <c r="I61" s="100">
        <v>10.43</v>
      </c>
      <c r="J61" s="100">
        <v>0.51</v>
      </c>
      <c r="K61" s="100">
        <v>35.33</v>
      </c>
      <c r="L61" s="100">
        <v>16.63</v>
      </c>
      <c r="M61" s="100">
        <v>12.78</v>
      </c>
      <c r="N61" s="100">
        <v>500.9</v>
      </c>
      <c r="O61" s="100">
        <v>0</v>
      </c>
      <c r="P61" s="100">
        <v>0.5</v>
      </c>
      <c r="Q61" s="100">
        <v>9.32</v>
      </c>
      <c r="R61" s="6"/>
      <c r="S61" s="6"/>
      <c r="T61" s="156"/>
      <c r="U61" s="6"/>
    </row>
    <row r="62" spans="1:21" customFormat="1">
      <c r="A62" s="201" t="s">
        <v>1737</v>
      </c>
      <c r="B62" s="100">
        <v>2.5099999999999998</v>
      </c>
      <c r="C62" s="100">
        <v>18.420000000000002</v>
      </c>
      <c r="D62" s="100">
        <v>11.64</v>
      </c>
      <c r="E62" s="100">
        <v>6.81</v>
      </c>
      <c r="F62" s="151" t="s">
        <v>8</v>
      </c>
      <c r="G62" s="100">
        <v>33.86</v>
      </c>
      <c r="H62" s="100">
        <v>11.92</v>
      </c>
      <c r="I62" s="100">
        <v>10.32</v>
      </c>
      <c r="J62" s="100">
        <v>0.49</v>
      </c>
      <c r="K62" s="100">
        <v>335.57</v>
      </c>
      <c r="L62" s="100">
        <v>23.07</v>
      </c>
      <c r="M62" s="100">
        <v>30.59</v>
      </c>
      <c r="N62" s="100">
        <v>397.7</v>
      </c>
      <c r="O62" s="100">
        <v>0</v>
      </c>
      <c r="P62" s="100">
        <v>0.49</v>
      </c>
      <c r="Q62" s="100">
        <v>9.32</v>
      </c>
      <c r="R62" s="6"/>
      <c r="S62" s="6"/>
      <c r="T62" s="156"/>
      <c r="U62" s="6"/>
    </row>
    <row r="63" spans="1:21" customFormat="1">
      <c r="A63" s="201" t="s">
        <v>1738</v>
      </c>
      <c r="B63" s="100">
        <v>2.21</v>
      </c>
      <c r="C63" s="100">
        <v>17.97</v>
      </c>
      <c r="D63" s="100">
        <v>11.16</v>
      </c>
      <c r="E63" s="100">
        <v>6.54</v>
      </c>
      <c r="F63" s="151" t="s">
        <v>8</v>
      </c>
      <c r="G63" s="100">
        <v>33.520000000000003</v>
      </c>
      <c r="H63" s="100">
        <v>11.87</v>
      </c>
      <c r="I63" s="100">
        <v>10.19</v>
      </c>
      <c r="J63" s="100">
        <v>0.79</v>
      </c>
      <c r="K63" s="100">
        <v>28.79</v>
      </c>
      <c r="L63" s="100">
        <v>14.05</v>
      </c>
      <c r="M63" s="100">
        <v>8.99</v>
      </c>
      <c r="N63" s="100">
        <v>351.2</v>
      </c>
      <c r="O63" s="100">
        <v>0</v>
      </c>
      <c r="P63" s="100">
        <v>0.47</v>
      </c>
      <c r="Q63" s="100">
        <v>9.32</v>
      </c>
      <c r="R63" s="6"/>
      <c r="S63" s="6"/>
      <c r="T63" s="156"/>
      <c r="U63" s="6"/>
    </row>
    <row r="64" spans="1:21" customFormat="1">
      <c r="A64" s="201" t="s">
        <v>1739</v>
      </c>
      <c r="B64" s="100">
        <v>2.0499999999999998</v>
      </c>
      <c r="C64" s="100">
        <v>17.46</v>
      </c>
      <c r="D64" s="100">
        <v>10.77</v>
      </c>
      <c r="E64" s="100">
        <v>6.72</v>
      </c>
      <c r="F64" s="151" t="s">
        <v>8</v>
      </c>
      <c r="G64" s="100">
        <v>30.55</v>
      </c>
      <c r="H64" s="100">
        <v>11.48</v>
      </c>
      <c r="I64" s="100">
        <v>9.9600000000000009</v>
      </c>
      <c r="J64" s="100">
        <v>0.34</v>
      </c>
      <c r="K64" s="100">
        <v>62.22</v>
      </c>
      <c r="L64" s="100">
        <v>14.71</v>
      </c>
      <c r="M64" s="100">
        <v>13.34</v>
      </c>
      <c r="N64" s="100">
        <v>274.39999999999998</v>
      </c>
      <c r="O64" s="100">
        <v>0</v>
      </c>
      <c r="P64" s="100">
        <v>0.46</v>
      </c>
      <c r="Q64" s="100">
        <v>9.7200000000000006</v>
      </c>
      <c r="R64" s="6"/>
      <c r="S64" s="6"/>
      <c r="T64" s="156"/>
      <c r="U64" s="6"/>
    </row>
    <row r="65" spans="1:21" customFormat="1">
      <c r="A65" s="201" t="s">
        <v>1740</v>
      </c>
      <c r="B65" s="100">
        <v>1.9</v>
      </c>
      <c r="C65" s="100">
        <v>16.850000000000001</v>
      </c>
      <c r="D65" s="100">
        <v>10.33</v>
      </c>
      <c r="E65" s="100">
        <v>6.49</v>
      </c>
      <c r="F65" s="151" t="s">
        <v>8</v>
      </c>
      <c r="G65" s="100">
        <v>30.55</v>
      </c>
      <c r="H65" s="100">
        <v>11.48</v>
      </c>
      <c r="I65" s="100">
        <v>9.7899999999999991</v>
      </c>
      <c r="J65" s="100">
        <v>0.37</v>
      </c>
      <c r="K65" s="100">
        <v>5.87</v>
      </c>
      <c r="L65" s="100">
        <v>16.89</v>
      </c>
      <c r="M65" s="100">
        <v>21.68</v>
      </c>
      <c r="N65" s="100">
        <v>116.5</v>
      </c>
      <c r="O65" s="100">
        <v>0</v>
      </c>
      <c r="P65" s="100">
        <v>0.5</v>
      </c>
      <c r="Q65" s="100">
        <v>10.02</v>
      </c>
      <c r="R65" s="6"/>
      <c r="S65" s="6"/>
      <c r="T65" s="156"/>
      <c r="U65" s="6"/>
    </row>
    <row r="66" spans="1:21" customFormat="1">
      <c r="A66" s="201" t="s">
        <v>1741</v>
      </c>
      <c r="B66" s="100">
        <v>1.83</v>
      </c>
      <c r="C66" s="100">
        <v>16.63</v>
      </c>
      <c r="D66" s="100">
        <v>10.15</v>
      </c>
      <c r="E66" s="100">
        <v>6.91</v>
      </c>
      <c r="F66" s="151" t="s">
        <v>8</v>
      </c>
      <c r="G66" s="100">
        <v>30.55</v>
      </c>
      <c r="H66" s="100">
        <v>11.48</v>
      </c>
      <c r="I66" s="100">
        <v>9.59</v>
      </c>
      <c r="J66" s="100">
        <v>0.62</v>
      </c>
      <c r="K66" s="100">
        <v>44.5</v>
      </c>
      <c r="L66" s="100">
        <v>11.1</v>
      </c>
      <c r="M66" s="100">
        <v>7.41</v>
      </c>
      <c r="N66" s="100">
        <v>104.5</v>
      </c>
      <c r="O66" s="100">
        <v>0</v>
      </c>
      <c r="P66" s="100">
        <v>0.51</v>
      </c>
      <c r="Q66" s="100">
        <v>10.050000000000001</v>
      </c>
      <c r="R66" s="6"/>
      <c r="S66" s="6"/>
      <c r="T66" s="156"/>
      <c r="U66" s="6"/>
    </row>
    <row r="67" spans="1:21" customFormat="1">
      <c r="A67" s="201" t="s">
        <v>1742</v>
      </c>
      <c r="B67" s="100">
        <v>1.78</v>
      </c>
      <c r="C67" s="100">
        <v>16.18</v>
      </c>
      <c r="D67" s="100">
        <v>9.8800000000000008</v>
      </c>
      <c r="E67" s="100">
        <v>6.82</v>
      </c>
      <c r="F67" s="151" t="s">
        <v>8</v>
      </c>
      <c r="G67" s="100">
        <v>30.23</v>
      </c>
      <c r="H67" s="100">
        <v>11.38</v>
      </c>
      <c r="I67" s="100">
        <v>9.42</v>
      </c>
      <c r="J67" s="100">
        <v>0.74</v>
      </c>
      <c r="K67" s="100">
        <v>26.02</v>
      </c>
      <c r="L67" s="100">
        <v>13.88</v>
      </c>
      <c r="M67" s="100">
        <v>14.45</v>
      </c>
      <c r="N67" s="100">
        <v>98.6</v>
      </c>
      <c r="O67" s="100">
        <v>0</v>
      </c>
      <c r="P67" s="100">
        <v>0.51</v>
      </c>
      <c r="Q67" s="100">
        <v>9.9600000000000009</v>
      </c>
      <c r="R67" s="6"/>
      <c r="S67" s="6"/>
      <c r="T67" s="156"/>
      <c r="U67" s="6"/>
    </row>
    <row r="68" spans="1:21" customFormat="1">
      <c r="A68" s="201" t="s">
        <v>1743</v>
      </c>
      <c r="B68" s="100">
        <v>1.8</v>
      </c>
      <c r="C68" s="100">
        <v>15.82</v>
      </c>
      <c r="D68" s="100">
        <v>9.7100000000000009</v>
      </c>
      <c r="E68" s="100">
        <v>6.51</v>
      </c>
      <c r="F68" s="151" t="s">
        <v>8</v>
      </c>
      <c r="G68" s="100">
        <v>27.37</v>
      </c>
      <c r="H68" s="100">
        <v>10.63</v>
      </c>
      <c r="I68" s="100">
        <v>9.25</v>
      </c>
      <c r="J68" s="100">
        <v>0.67</v>
      </c>
      <c r="K68" s="100">
        <v>23.64</v>
      </c>
      <c r="L68" s="100">
        <v>11.62</v>
      </c>
      <c r="M68" s="100">
        <v>8.9700000000000006</v>
      </c>
      <c r="N68" s="100">
        <v>93.2</v>
      </c>
      <c r="O68" s="100">
        <v>0</v>
      </c>
      <c r="P68" s="100">
        <v>0.5</v>
      </c>
      <c r="Q68" s="100">
        <v>9.76</v>
      </c>
      <c r="R68" s="6"/>
      <c r="S68" s="6"/>
      <c r="T68" s="156"/>
      <c r="U68" s="6"/>
    </row>
    <row r="69" spans="1:21" customFormat="1">
      <c r="A69" s="201" t="s">
        <v>1744</v>
      </c>
      <c r="B69" s="100">
        <v>1.78</v>
      </c>
      <c r="C69" s="100">
        <v>15.56</v>
      </c>
      <c r="D69" s="100">
        <v>9.56</v>
      </c>
      <c r="E69" s="100">
        <v>6.78</v>
      </c>
      <c r="F69" s="151" t="s">
        <v>8</v>
      </c>
      <c r="G69" s="100">
        <v>27.37</v>
      </c>
      <c r="H69" s="100">
        <v>10.63</v>
      </c>
      <c r="I69" s="100">
        <v>9.1300000000000008</v>
      </c>
      <c r="J69" s="100">
        <v>0.43</v>
      </c>
      <c r="K69" s="100">
        <v>339.22</v>
      </c>
      <c r="L69" s="100">
        <v>20.76</v>
      </c>
      <c r="M69" s="100">
        <v>32.340000000000003</v>
      </c>
      <c r="N69" s="100">
        <v>77.599999999999994</v>
      </c>
      <c r="O69" s="100">
        <v>0</v>
      </c>
      <c r="P69" s="100">
        <v>0.5</v>
      </c>
      <c r="Q69" s="100">
        <v>9.7200000000000006</v>
      </c>
      <c r="R69" s="6"/>
      <c r="S69" s="6"/>
      <c r="T69" s="156"/>
      <c r="U69" s="6"/>
    </row>
    <row r="70" spans="1:21" customFormat="1">
      <c r="A70" s="201" t="s">
        <v>1745</v>
      </c>
      <c r="B70" s="100">
        <v>1.79</v>
      </c>
      <c r="C70" s="100">
        <v>15.59</v>
      </c>
      <c r="D70" s="100">
        <v>9.58</v>
      </c>
      <c r="E70" s="100">
        <v>6.39</v>
      </c>
      <c r="F70" s="151" t="s">
        <v>8</v>
      </c>
      <c r="G70" s="100">
        <v>27.37</v>
      </c>
      <c r="H70" s="100">
        <v>10.63</v>
      </c>
      <c r="I70" s="100">
        <v>9</v>
      </c>
      <c r="J70" s="100">
        <v>0.5</v>
      </c>
      <c r="K70" s="100">
        <v>29.39</v>
      </c>
      <c r="L70" s="100">
        <v>15.3</v>
      </c>
      <c r="M70" s="100">
        <v>18.850000000000001</v>
      </c>
      <c r="N70" s="100">
        <v>65.5</v>
      </c>
      <c r="O70" s="100">
        <v>0</v>
      </c>
      <c r="P70" s="100">
        <v>0.49</v>
      </c>
      <c r="Q70" s="100">
        <v>9.7200000000000006</v>
      </c>
      <c r="R70" s="6"/>
      <c r="S70" s="6"/>
      <c r="T70" s="156"/>
      <c r="U70" s="6"/>
    </row>
    <row r="71" spans="1:21" customFormat="1">
      <c r="A71" s="201" t="s">
        <v>1746</v>
      </c>
      <c r="B71" s="100">
        <v>1.8</v>
      </c>
      <c r="C71" s="100">
        <v>15.62</v>
      </c>
      <c r="D71" s="100">
        <v>9.61</v>
      </c>
      <c r="E71" s="100">
        <v>6.04</v>
      </c>
      <c r="F71" s="151" t="s">
        <v>8</v>
      </c>
      <c r="G71" s="100">
        <v>27.63</v>
      </c>
      <c r="H71" s="100">
        <v>10.58</v>
      </c>
      <c r="I71" s="100">
        <v>8.82</v>
      </c>
      <c r="J71" s="100">
        <v>0.61</v>
      </c>
      <c r="K71" s="100">
        <v>32.61</v>
      </c>
      <c r="L71" s="100">
        <v>12.34</v>
      </c>
      <c r="M71" s="100">
        <v>10.85</v>
      </c>
      <c r="N71" s="100">
        <v>57.7</v>
      </c>
      <c r="O71" s="100">
        <v>0</v>
      </c>
      <c r="P71" s="100">
        <v>0.49</v>
      </c>
      <c r="Q71" s="100">
        <v>9.75</v>
      </c>
      <c r="R71" s="6"/>
      <c r="S71" s="6"/>
      <c r="T71" s="156"/>
      <c r="U71" s="6"/>
    </row>
    <row r="72" spans="1:21" customFormat="1">
      <c r="A72" s="201" t="s">
        <v>1747</v>
      </c>
      <c r="B72" s="100">
        <v>1.84</v>
      </c>
      <c r="C72" s="100">
        <v>15.71</v>
      </c>
      <c r="D72" s="100">
        <v>9.69</v>
      </c>
      <c r="E72" s="100">
        <v>6.33</v>
      </c>
      <c r="F72" s="151" t="s">
        <v>8</v>
      </c>
      <c r="G72" s="100">
        <v>29.97</v>
      </c>
      <c r="H72" s="100">
        <v>10.1</v>
      </c>
      <c r="I72" s="100">
        <v>8.68</v>
      </c>
      <c r="J72" s="100">
        <v>0.59</v>
      </c>
      <c r="K72" s="100">
        <v>46.61</v>
      </c>
      <c r="L72" s="100">
        <v>10.53</v>
      </c>
      <c r="M72" s="100">
        <v>7.36</v>
      </c>
      <c r="N72" s="100">
        <v>49.1</v>
      </c>
      <c r="O72" s="100">
        <v>0</v>
      </c>
      <c r="P72" s="100">
        <v>0.49</v>
      </c>
      <c r="Q72" s="100">
        <v>9.49</v>
      </c>
      <c r="R72" s="6"/>
      <c r="S72" s="6"/>
      <c r="T72" s="156"/>
      <c r="U72" s="6"/>
    </row>
    <row r="73" spans="1:21" customFormat="1">
      <c r="A73" s="201" t="s">
        <v>1748</v>
      </c>
      <c r="B73" s="100">
        <v>1.81</v>
      </c>
      <c r="C73" s="100">
        <v>15.77</v>
      </c>
      <c r="D73" s="100">
        <v>9.69</v>
      </c>
      <c r="E73" s="100">
        <v>6.82</v>
      </c>
      <c r="F73" s="151" t="s">
        <v>8</v>
      </c>
      <c r="G73" s="100">
        <v>29.97</v>
      </c>
      <c r="H73" s="100">
        <v>10.1</v>
      </c>
      <c r="I73" s="100">
        <v>8.58</v>
      </c>
      <c r="J73" s="100">
        <v>0.41</v>
      </c>
      <c r="K73" s="100">
        <v>23.5</v>
      </c>
      <c r="L73" s="100">
        <v>12.37</v>
      </c>
      <c r="M73" s="100">
        <v>12.01</v>
      </c>
      <c r="N73" s="100">
        <v>42</v>
      </c>
      <c r="O73" s="100">
        <v>0</v>
      </c>
      <c r="P73" s="100">
        <v>0.48</v>
      </c>
      <c r="Q73" s="100">
        <v>9.32</v>
      </c>
      <c r="R73" s="6"/>
      <c r="S73" s="6"/>
      <c r="T73" s="156"/>
      <c r="U73" s="6"/>
    </row>
    <row r="74" spans="1:21" customFormat="1">
      <c r="A74" s="201" t="s">
        <v>1749</v>
      </c>
      <c r="B74" s="100">
        <v>1.87</v>
      </c>
      <c r="C74" s="100">
        <v>15.84</v>
      </c>
      <c r="D74" s="100">
        <v>9.7799999999999994</v>
      </c>
      <c r="E74" s="100">
        <v>6.42</v>
      </c>
      <c r="F74" s="151" t="s">
        <v>8</v>
      </c>
      <c r="G74" s="100">
        <v>29.97</v>
      </c>
      <c r="H74" s="100">
        <v>10.1</v>
      </c>
      <c r="I74" s="100">
        <v>8.48</v>
      </c>
      <c r="J74" s="100">
        <v>0.32</v>
      </c>
      <c r="K74" s="100">
        <v>12.76</v>
      </c>
      <c r="L74" s="100">
        <v>13.62</v>
      </c>
      <c r="M74" s="100">
        <v>15.35</v>
      </c>
      <c r="N74" s="100">
        <v>32.4</v>
      </c>
      <c r="O74" s="100">
        <v>0</v>
      </c>
      <c r="P74" s="100">
        <v>0.48</v>
      </c>
      <c r="Q74" s="100">
        <v>9.34</v>
      </c>
      <c r="R74" s="6"/>
      <c r="S74" s="6"/>
      <c r="T74" s="156"/>
      <c r="U74" s="6"/>
    </row>
    <row r="75" spans="1:21" customFormat="1">
      <c r="A75" s="201" t="s">
        <v>1750</v>
      </c>
      <c r="B75" s="100">
        <v>2.02</v>
      </c>
      <c r="C75" s="100">
        <v>16.239999999999998</v>
      </c>
      <c r="D75" s="100">
        <v>10.1</v>
      </c>
      <c r="E75" s="100">
        <v>6.43</v>
      </c>
      <c r="F75" s="151" t="s">
        <v>8</v>
      </c>
      <c r="G75" s="100">
        <v>29.92</v>
      </c>
      <c r="H75" s="100">
        <v>10.09</v>
      </c>
      <c r="I75" s="100">
        <v>8.41</v>
      </c>
      <c r="J75" s="100">
        <v>0.36</v>
      </c>
      <c r="K75" s="100">
        <v>22.33</v>
      </c>
      <c r="L75" s="100">
        <v>11.35</v>
      </c>
      <c r="M75" s="100">
        <v>9.8699999999999992</v>
      </c>
      <c r="N75" s="100">
        <v>23.6</v>
      </c>
      <c r="O75" s="100">
        <v>0</v>
      </c>
      <c r="P75" s="100">
        <v>0.48</v>
      </c>
      <c r="Q75" s="100">
        <v>9.32</v>
      </c>
      <c r="R75" s="6"/>
      <c r="S75" s="6"/>
      <c r="T75" s="156"/>
      <c r="U75" s="6"/>
    </row>
    <row r="76" spans="1:21" customFormat="1">
      <c r="A76" s="201" t="s">
        <v>1751</v>
      </c>
      <c r="B76" s="100">
        <v>2.13</v>
      </c>
      <c r="C76" s="100">
        <v>16.52</v>
      </c>
      <c r="D76" s="100">
        <v>10.34</v>
      </c>
      <c r="E76" s="100">
        <v>6.36</v>
      </c>
      <c r="F76" s="151" t="s">
        <v>8</v>
      </c>
      <c r="G76" s="100">
        <v>29.47</v>
      </c>
      <c r="H76" s="100">
        <v>10.07</v>
      </c>
      <c r="I76" s="100">
        <v>8.32</v>
      </c>
      <c r="J76" s="100">
        <v>0.25</v>
      </c>
      <c r="K76" s="100">
        <v>46.77</v>
      </c>
      <c r="L76" s="100">
        <v>11.35</v>
      </c>
      <c r="M76" s="100">
        <v>10.16</v>
      </c>
      <c r="N76" s="100">
        <v>14.9</v>
      </c>
      <c r="O76" s="100">
        <v>0</v>
      </c>
      <c r="P76" s="100">
        <v>0.48</v>
      </c>
      <c r="Q76" s="100">
        <v>9.32</v>
      </c>
      <c r="R76" s="6"/>
      <c r="S76" s="6"/>
      <c r="T76" s="156"/>
      <c r="U76" s="6"/>
    </row>
    <row r="77" spans="1:21" customFormat="1">
      <c r="A77" s="201" t="s">
        <v>1752</v>
      </c>
      <c r="B77" s="100">
        <v>2.34</v>
      </c>
      <c r="C77" s="100">
        <v>16.72</v>
      </c>
      <c r="D77" s="100">
        <v>10.62</v>
      </c>
      <c r="E77" s="100">
        <v>6.56</v>
      </c>
      <c r="F77" s="151" t="s">
        <v>8</v>
      </c>
      <c r="G77" s="100">
        <v>29.47</v>
      </c>
      <c r="H77" s="100">
        <v>10.07</v>
      </c>
      <c r="I77" s="100">
        <v>8.2799999999999994</v>
      </c>
      <c r="J77" s="100">
        <v>0.17</v>
      </c>
      <c r="K77" s="100">
        <v>145.35</v>
      </c>
      <c r="L77" s="100">
        <v>14.86</v>
      </c>
      <c r="M77" s="100">
        <v>19.39</v>
      </c>
      <c r="N77" s="100">
        <v>8</v>
      </c>
      <c r="O77" s="100">
        <v>0</v>
      </c>
      <c r="P77" s="100">
        <v>0.51</v>
      </c>
      <c r="Q77" s="100">
        <v>9.32</v>
      </c>
      <c r="R77" s="6"/>
      <c r="S77" s="6"/>
      <c r="T77" s="156"/>
      <c r="U77" s="6"/>
    </row>
    <row r="78" spans="1:21" customFormat="1">
      <c r="A78" s="201" t="s">
        <v>1753</v>
      </c>
      <c r="B78" s="100">
        <v>2.65</v>
      </c>
      <c r="C78" s="100">
        <v>16.84</v>
      </c>
      <c r="D78" s="100">
        <v>10.92</v>
      </c>
      <c r="E78" s="100">
        <v>6.46</v>
      </c>
      <c r="F78" s="151" t="s">
        <v>8</v>
      </c>
      <c r="G78" s="100">
        <v>29.47</v>
      </c>
      <c r="H78" s="100">
        <v>10.07</v>
      </c>
      <c r="I78" s="100">
        <v>8.27</v>
      </c>
      <c r="J78" s="100">
        <v>0.19</v>
      </c>
      <c r="K78" s="100">
        <v>168.55</v>
      </c>
      <c r="L78" s="100">
        <v>16.04</v>
      </c>
      <c r="M78" s="100">
        <v>22.54</v>
      </c>
      <c r="N78" s="100">
        <v>3.5</v>
      </c>
      <c r="O78" s="100">
        <v>0</v>
      </c>
      <c r="P78" s="100">
        <v>0.53</v>
      </c>
      <c r="Q78" s="100">
        <v>9.35</v>
      </c>
      <c r="R78" s="6"/>
      <c r="S78" s="6"/>
      <c r="T78" s="156"/>
      <c r="U78" s="6"/>
    </row>
    <row r="79" spans="1:21" customFormat="1">
      <c r="A79" s="201" t="s">
        <v>1754</v>
      </c>
      <c r="B79" s="100">
        <v>2.94</v>
      </c>
      <c r="C79" s="100">
        <v>17.03</v>
      </c>
      <c r="D79" s="100">
        <v>11.26</v>
      </c>
      <c r="E79" s="100">
        <v>6.39</v>
      </c>
      <c r="F79" s="151" t="s">
        <v>8</v>
      </c>
      <c r="G79" s="100">
        <v>30.27</v>
      </c>
      <c r="H79" s="100">
        <v>10.17</v>
      </c>
      <c r="I79" s="100">
        <v>8.2799999999999994</v>
      </c>
      <c r="J79" s="100">
        <v>0.22</v>
      </c>
      <c r="K79" s="100">
        <v>179.98</v>
      </c>
      <c r="L79" s="100">
        <v>16.940000000000001</v>
      </c>
      <c r="M79" s="100">
        <v>24.78</v>
      </c>
      <c r="N79" s="100">
        <v>2.1</v>
      </c>
      <c r="O79" s="100">
        <v>0</v>
      </c>
      <c r="P79" s="100">
        <v>0.52</v>
      </c>
      <c r="Q79" s="100">
        <v>9.92</v>
      </c>
      <c r="R79" s="6"/>
      <c r="S79" s="6"/>
      <c r="T79" s="156"/>
      <c r="U79" s="6"/>
    </row>
    <row r="80" spans="1:21" customFormat="1">
      <c r="A80" s="201" t="s">
        <v>1755</v>
      </c>
      <c r="B80" s="100">
        <v>3.25</v>
      </c>
      <c r="C80" s="100">
        <v>17</v>
      </c>
      <c r="D80" s="100">
        <v>11.49</v>
      </c>
      <c r="E80" s="100">
        <v>6.13</v>
      </c>
      <c r="F80" s="151" t="s">
        <v>8</v>
      </c>
      <c r="G80" s="100">
        <v>37.450000000000003</v>
      </c>
      <c r="H80" s="100">
        <v>11.02</v>
      </c>
      <c r="I80" s="100">
        <v>8.32</v>
      </c>
      <c r="J80" s="100">
        <v>0.24</v>
      </c>
      <c r="K80" s="100">
        <v>167.67</v>
      </c>
      <c r="L80" s="100">
        <v>15.97</v>
      </c>
      <c r="M80" s="100">
        <v>22.36</v>
      </c>
      <c r="N80" s="100">
        <v>1.7</v>
      </c>
      <c r="O80" s="100">
        <v>0</v>
      </c>
      <c r="P80" s="100">
        <v>0.53</v>
      </c>
      <c r="Q80" s="100">
        <v>9.36</v>
      </c>
      <c r="R80" s="6"/>
      <c r="S80" s="6"/>
      <c r="T80" s="156"/>
      <c r="U80" s="6"/>
    </row>
    <row r="81" spans="1:21" customFormat="1">
      <c r="A81" s="201" t="s">
        <v>1756</v>
      </c>
      <c r="B81" s="100">
        <v>3.53</v>
      </c>
      <c r="C81" s="100">
        <v>17.11</v>
      </c>
      <c r="D81" s="100">
        <v>11.77</v>
      </c>
      <c r="E81" s="100">
        <v>4.5599999999999996</v>
      </c>
      <c r="F81" s="151" t="s">
        <v>8</v>
      </c>
      <c r="G81" s="100">
        <v>37.450000000000003</v>
      </c>
      <c r="H81" s="100">
        <v>11.02</v>
      </c>
      <c r="I81" s="100">
        <v>8.3699999999999992</v>
      </c>
      <c r="J81" s="100">
        <v>0.25</v>
      </c>
      <c r="K81" s="100">
        <v>183.8</v>
      </c>
      <c r="L81" s="100">
        <v>17.36</v>
      </c>
      <c r="M81" s="100">
        <v>25.86</v>
      </c>
      <c r="N81" s="100">
        <v>1.6</v>
      </c>
      <c r="O81" s="100">
        <v>0</v>
      </c>
      <c r="P81" s="100">
        <v>0.54</v>
      </c>
      <c r="Q81" s="100">
        <v>9.32</v>
      </c>
      <c r="R81" s="6"/>
      <c r="S81" s="6"/>
      <c r="T81" s="156"/>
      <c r="U81" s="6"/>
    </row>
    <row r="82" spans="1:21" customFormat="1">
      <c r="A82" s="201" t="s">
        <v>1757</v>
      </c>
      <c r="B82" s="100">
        <v>3.84</v>
      </c>
      <c r="C82" s="100">
        <v>17.25</v>
      </c>
      <c r="D82" s="100">
        <v>12.1</v>
      </c>
      <c r="E82" s="100">
        <v>5.78</v>
      </c>
      <c r="F82" s="151" t="s">
        <v>8</v>
      </c>
      <c r="G82" s="100">
        <v>37.450000000000003</v>
      </c>
      <c r="H82" s="100">
        <v>11.02</v>
      </c>
      <c r="I82" s="100">
        <v>8.4499999999999993</v>
      </c>
      <c r="J82" s="100">
        <v>0.24</v>
      </c>
      <c r="K82" s="100">
        <v>171.26</v>
      </c>
      <c r="L82" s="100">
        <v>16.25</v>
      </c>
      <c r="M82" s="100">
        <v>23.1</v>
      </c>
      <c r="N82" s="100">
        <v>1.5</v>
      </c>
      <c r="O82" s="100">
        <v>0</v>
      </c>
      <c r="P82" s="100">
        <v>0.56000000000000005</v>
      </c>
      <c r="Q82" s="100">
        <v>9.32</v>
      </c>
      <c r="R82" s="6"/>
      <c r="S82" s="6"/>
      <c r="T82" s="156"/>
      <c r="U82" s="6"/>
    </row>
    <row r="83" spans="1:21" customFormat="1">
      <c r="A83" s="201" t="s">
        <v>1758</v>
      </c>
      <c r="B83" s="100">
        <v>4.1100000000000003</v>
      </c>
      <c r="C83" s="100">
        <v>17.37</v>
      </c>
      <c r="D83" s="100">
        <v>12.37</v>
      </c>
      <c r="E83" s="100">
        <v>6.09</v>
      </c>
      <c r="F83" s="151" t="s">
        <v>8</v>
      </c>
      <c r="G83" s="100">
        <v>38.340000000000003</v>
      </c>
      <c r="H83" s="100">
        <v>11.09</v>
      </c>
      <c r="I83" s="100">
        <v>8.5399999999999991</v>
      </c>
      <c r="J83" s="100">
        <v>0.24</v>
      </c>
      <c r="K83" s="100">
        <v>154.71</v>
      </c>
      <c r="L83" s="100">
        <v>14.73</v>
      </c>
      <c r="M83" s="100">
        <v>19.25</v>
      </c>
      <c r="N83" s="100">
        <v>1.4</v>
      </c>
      <c r="O83" s="100">
        <v>0</v>
      </c>
      <c r="P83" s="100">
        <v>0.56000000000000005</v>
      </c>
      <c r="Q83" s="100">
        <v>9.32</v>
      </c>
      <c r="R83" s="6"/>
      <c r="S83" s="6"/>
      <c r="T83" s="156"/>
      <c r="U83" s="6"/>
    </row>
    <row r="84" spans="1:21" customFormat="1">
      <c r="A84" s="201" t="s">
        <v>1759</v>
      </c>
      <c r="B84" s="100">
        <v>4.38</v>
      </c>
      <c r="C84" s="100">
        <v>17.260000000000002</v>
      </c>
      <c r="D84" s="100">
        <v>12.53</v>
      </c>
      <c r="E84" s="100">
        <v>5.56</v>
      </c>
      <c r="F84" s="151" t="s">
        <v>8</v>
      </c>
      <c r="G84" s="100">
        <v>46.35</v>
      </c>
      <c r="H84" s="100">
        <v>11.71</v>
      </c>
      <c r="I84" s="100">
        <v>8.67</v>
      </c>
      <c r="J84" s="100">
        <v>0.3</v>
      </c>
      <c r="K84" s="100">
        <v>162.88</v>
      </c>
      <c r="L84" s="100">
        <v>15.22</v>
      </c>
      <c r="M84" s="100">
        <v>20.43</v>
      </c>
      <c r="N84" s="100">
        <v>1.5</v>
      </c>
      <c r="O84" s="100">
        <v>0</v>
      </c>
      <c r="P84" s="100">
        <v>0.56999999999999995</v>
      </c>
      <c r="Q84" s="100">
        <v>9.32</v>
      </c>
      <c r="R84" s="6"/>
      <c r="S84" s="6"/>
      <c r="T84" s="156"/>
      <c r="U84" s="6"/>
    </row>
    <row r="85" spans="1:21" customFormat="1">
      <c r="A85" s="201" t="s">
        <v>1760</v>
      </c>
      <c r="B85" s="100">
        <v>4.55</v>
      </c>
      <c r="C85" s="100">
        <v>17.07</v>
      </c>
      <c r="D85" s="100">
        <v>12.57</v>
      </c>
      <c r="E85" s="100">
        <v>5.59</v>
      </c>
      <c r="F85" s="151" t="s">
        <v>8</v>
      </c>
      <c r="G85" s="100">
        <v>46.35</v>
      </c>
      <c r="H85" s="100">
        <v>11.71</v>
      </c>
      <c r="I85" s="100">
        <v>8.81</v>
      </c>
      <c r="J85" s="100">
        <v>0.19</v>
      </c>
      <c r="K85" s="100">
        <v>173.13</v>
      </c>
      <c r="L85" s="100">
        <v>16.27</v>
      </c>
      <c r="M85" s="100">
        <v>23.07</v>
      </c>
      <c r="N85" s="100">
        <v>1.3</v>
      </c>
      <c r="O85" s="100">
        <v>0</v>
      </c>
      <c r="P85" s="100">
        <v>0.56999999999999995</v>
      </c>
      <c r="Q85" s="100">
        <v>9.32</v>
      </c>
      <c r="R85" s="6"/>
      <c r="S85" s="6"/>
      <c r="T85" s="156"/>
      <c r="U85" s="6"/>
    </row>
    <row r="86" spans="1:21" customFormat="1">
      <c r="A86" s="201" t="s">
        <v>1761</v>
      </c>
      <c r="B86" s="100">
        <v>4.7300000000000004</v>
      </c>
      <c r="C86" s="100">
        <v>17.100000000000001</v>
      </c>
      <c r="D86" s="100">
        <v>12.73</v>
      </c>
      <c r="E86" s="100">
        <v>5.67</v>
      </c>
      <c r="F86" s="151" t="s">
        <v>8</v>
      </c>
      <c r="G86" s="100">
        <v>46.35</v>
      </c>
      <c r="H86" s="100">
        <v>11.71</v>
      </c>
      <c r="I86" s="100">
        <v>8.9700000000000006</v>
      </c>
      <c r="J86" s="100">
        <v>0.17</v>
      </c>
      <c r="K86" s="100">
        <v>176.93</v>
      </c>
      <c r="L86" s="100">
        <v>16.68</v>
      </c>
      <c r="M86" s="100">
        <v>24.19</v>
      </c>
      <c r="N86" s="100">
        <v>1.3</v>
      </c>
      <c r="O86" s="100">
        <v>0</v>
      </c>
      <c r="P86" s="100">
        <v>0.59</v>
      </c>
      <c r="Q86" s="100">
        <v>9.32</v>
      </c>
      <c r="R86" s="6"/>
      <c r="S86" s="6"/>
      <c r="T86" s="156"/>
      <c r="U86" s="6"/>
    </row>
    <row r="87" spans="1:21" customFormat="1">
      <c r="A87" s="201" t="s">
        <v>1762</v>
      </c>
      <c r="B87" s="100">
        <v>4.95</v>
      </c>
      <c r="C87" s="100">
        <v>17.059999999999999</v>
      </c>
      <c r="D87" s="100">
        <v>12.88</v>
      </c>
      <c r="E87" s="100">
        <v>5.83</v>
      </c>
      <c r="F87" s="151" t="s">
        <v>8</v>
      </c>
      <c r="G87" s="100">
        <v>46.45</v>
      </c>
      <c r="H87" s="100">
        <v>11.83</v>
      </c>
      <c r="I87" s="100">
        <v>9.18</v>
      </c>
      <c r="J87" s="100">
        <v>0.21</v>
      </c>
      <c r="K87" s="100">
        <v>210.7</v>
      </c>
      <c r="L87" s="100">
        <v>18.87</v>
      </c>
      <c r="M87" s="100">
        <v>29.64</v>
      </c>
      <c r="N87" s="100">
        <v>1.5</v>
      </c>
      <c r="O87" s="100">
        <v>0</v>
      </c>
      <c r="P87" s="100">
        <v>0.6</v>
      </c>
      <c r="Q87" s="100">
        <v>9.32</v>
      </c>
      <c r="R87" s="6"/>
      <c r="S87" s="6"/>
      <c r="T87" s="156"/>
      <c r="U87" s="6"/>
    </row>
    <row r="88" spans="1:21" customFormat="1">
      <c r="A88" s="201" t="s">
        <v>1763</v>
      </c>
      <c r="B88" s="100">
        <v>5.13</v>
      </c>
      <c r="C88" s="100">
        <v>16.760000000000002</v>
      </c>
      <c r="D88" s="100">
        <v>12.87</v>
      </c>
      <c r="E88" s="100">
        <v>5.81</v>
      </c>
      <c r="F88" s="151" t="s">
        <v>8</v>
      </c>
      <c r="G88" s="100">
        <v>47.43</v>
      </c>
      <c r="H88" s="100">
        <v>12.89</v>
      </c>
      <c r="I88" s="100">
        <v>9.39</v>
      </c>
      <c r="J88" s="100">
        <v>0.2</v>
      </c>
      <c r="K88" s="100">
        <v>212.39</v>
      </c>
      <c r="L88" s="100">
        <v>19.010000000000002</v>
      </c>
      <c r="M88" s="100">
        <v>30.01</v>
      </c>
      <c r="N88" s="100">
        <v>1.4</v>
      </c>
      <c r="O88" s="100">
        <v>0</v>
      </c>
      <c r="P88" s="100">
        <v>0.61</v>
      </c>
      <c r="Q88" s="100">
        <v>9.32</v>
      </c>
      <c r="R88" s="6"/>
      <c r="S88" s="6"/>
      <c r="T88" s="156"/>
      <c r="U88" s="6"/>
    </row>
    <row r="89" spans="1:21" customFormat="1">
      <c r="A89" s="201" t="s">
        <v>1764</v>
      </c>
      <c r="B89" s="100">
        <v>5.29</v>
      </c>
      <c r="C89" s="100">
        <v>16.48</v>
      </c>
      <c r="D89" s="100">
        <v>12.85</v>
      </c>
      <c r="E89" s="100">
        <v>5.56</v>
      </c>
      <c r="F89" s="151" t="s">
        <v>8</v>
      </c>
      <c r="G89" s="100">
        <v>47.43</v>
      </c>
      <c r="H89" s="100">
        <v>12.89</v>
      </c>
      <c r="I89" s="100">
        <v>9.58</v>
      </c>
      <c r="J89" s="100">
        <v>0.17</v>
      </c>
      <c r="K89" s="100">
        <v>217.12</v>
      </c>
      <c r="L89" s="100">
        <v>19.37</v>
      </c>
      <c r="M89" s="100">
        <v>30.9</v>
      </c>
      <c r="N89" s="100">
        <v>1.2</v>
      </c>
      <c r="O89" s="100">
        <v>0</v>
      </c>
      <c r="P89" s="100">
        <v>0.61</v>
      </c>
      <c r="Q89" s="100">
        <v>9.32</v>
      </c>
      <c r="R89" s="6"/>
      <c r="S89" s="6"/>
      <c r="T89" s="156"/>
      <c r="U89" s="6"/>
    </row>
    <row r="90" spans="1:21" customFormat="1">
      <c r="A90" s="201" t="s">
        <v>1765</v>
      </c>
      <c r="B90" s="100">
        <v>5.45</v>
      </c>
      <c r="C90" s="100">
        <v>16.2</v>
      </c>
      <c r="D90" s="100">
        <v>12.83</v>
      </c>
      <c r="E90" s="100">
        <v>5.87</v>
      </c>
      <c r="F90" s="151" t="s">
        <v>8</v>
      </c>
      <c r="G90" s="100">
        <v>47.43</v>
      </c>
      <c r="H90" s="100">
        <v>12.89</v>
      </c>
      <c r="I90" s="100">
        <v>9.6199999999999992</v>
      </c>
      <c r="J90" s="100">
        <v>0.15</v>
      </c>
      <c r="K90" s="100">
        <v>194.97</v>
      </c>
      <c r="L90" s="100">
        <v>17.86</v>
      </c>
      <c r="M90" s="100">
        <v>27.14</v>
      </c>
      <c r="N90" s="100">
        <v>1.1000000000000001</v>
      </c>
      <c r="O90" s="100">
        <v>0</v>
      </c>
      <c r="P90" s="100">
        <v>0.63</v>
      </c>
      <c r="Q90" s="100">
        <v>9.32</v>
      </c>
      <c r="R90" s="6"/>
      <c r="S90" s="6"/>
      <c r="T90" s="156"/>
      <c r="U90" s="6"/>
    </row>
    <row r="91" spans="1:21" customFormat="1">
      <c r="A91" s="201" t="s">
        <v>1766</v>
      </c>
      <c r="B91" s="100">
        <v>5.62</v>
      </c>
      <c r="C91" s="100">
        <v>16.05</v>
      </c>
      <c r="D91" s="100">
        <v>12.89</v>
      </c>
      <c r="E91" s="100">
        <v>5.63</v>
      </c>
      <c r="F91" s="151" t="s">
        <v>8</v>
      </c>
      <c r="G91" s="100">
        <v>47.27</v>
      </c>
      <c r="H91" s="100">
        <v>12.87</v>
      </c>
      <c r="I91" s="100">
        <v>9.59</v>
      </c>
      <c r="J91" s="100">
        <v>0.19</v>
      </c>
      <c r="K91" s="100">
        <v>195.23</v>
      </c>
      <c r="L91" s="100">
        <v>17.87</v>
      </c>
      <c r="M91" s="100">
        <v>27.15</v>
      </c>
      <c r="N91" s="100">
        <v>1.1000000000000001</v>
      </c>
      <c r="O91" s="100">
        <v>0</v>
      </c>
      <c r="P91" s="100">
        <v>0.62</v>
      </c>
      <c r="Q91" s="100">
        <v>9.32</v>
      </c>
      <c r="R91" s="6"/>
      <c r="S91" s="6"/>
      <c r="T91" s="156"/>
      <c r="U91" s="6"/>
    </row>
    <row r="92" spans="1:21" customFormat="1">
      <c r="A92" s="201" t="s">
        <v>1767</v>
      </c>
      <c r="B92" s="100">
        <v>5.86</v>
      </c>
      <c r="C92" s="100">
        <v>15.91</v>
      </c>
      <c r="D92" s="100">
        <v>13.01</v>
      </c>
      <c r="E92" s="100">
        <v>5.66</v>
      </c>
      <c r="F92" s="151" t="s">
        <v>8</v>
      </c>
      <c r="G92" s="100">
        <v>45.87</v>
      </c>
      <c r="H92" s="100">
        <v>12.7</v>
      </c>
      <c r="I92" s="100">
        <v>9.67</v>
      </c>
      <c r="J92" s="100">
        <v>0.17</v>
      </c>
      <c r="K92" s="100">
        <v>209.18</v>
      </c>
      <c r="L92" s="100">
        <v>18.8</v>
      </c>
      <c r="M92" s="100">
        <v>29.41</v>
      </c>
      <c r="N92" s="100">
        <v>1.2</v>
      </c>
      <c r="O92" s="100">
        <v>0</v>
      </c>
      <c r="P92" s="100">
        <v>0.63</v>
      </c>
      <c r="Q92" s="100">
        <v>9.32</v>
      </c>
      <c r="R92" s="6"/>
      <c r="S92" s="6"/>
      <c r="T92" s="156"/>
      <c r="U92" s="6"/>
    </row>
    <row r="93" spans="1:21" customFormat="1">
      <c r="A93" s="201" t="s">
        <v>1768</v>
      </c>
      <c r="B93" s="100">
        <v>6.16</v>
      </c>
      <c r="C93" s="100">
        <v>15.76</v>
      </c>
      <c r="D93" s="100">
        <v>13.18</v>
      </c>
      <c r="E93" s="100">
        <v>5.98</v>
      </c>
      <c r="F93" s="151" t="s">
        <v>8</v>
      </c>
      <c r="G93" s="100">
        <v>45.87</v>
      </c>
      <c r="H93" s="100">
        <v>12.7</v>
      </c>
      <c r="I93" s="100">
        <v>9.73</v>
      </c>
      <c r="J93" s="100">
        <v>0.16</v>
      </c>
      <c r="K93" s="100">
        <v>212.48</v>
      </c>
      <c r="L93" s="100">
        <v>19</v>
      </c>
      <c r="M93" s="100">
        <v>29.96</v>
      </c>
      <c r="N93" s="100">
        <v>1.2</v>
      </c>
      <c r="O93" s="100">
        <v>0</v>
      </c>
      <c r="P93" s="100">
        <v>0.64</v>
      </c>
      <c r="Q93" s="100">
        <v>9.32</v>
      </c>
      <c r="R93" s="6"/>
      <c r="S93" s="6"/>
      <c r="T93" s="156"/>
      <c r="U93" s="6"/>
    </row>
    <row r="94" spans="1:21" customFormat="1">
      <c r="A94" s="201" t="s">
        <v>1769</v>
      </c>
      <c r="B94" s="100">
        <v>6.53</v>
      </c>
      <c r="C94" s="100">
        <v>15.78</v>
      </c>
      <c r="D94" s="100">
        <v>13.48</v>
      </c>
      <c r="E94" s="100">
        <v>5.55</v>
      </c>
      <c r="F94" s="151" t="s">
        <v>8</v>
      </c>
      <c r="G94" s="100">
        <v>45.87</v>
      </c>
      <c r="H94" s="100">
        <v>12.7</v>
      </c>
      <c r="I94" s="100">
        <v>9.77</v>
      </c>
      <c r="J94" s="100">
        <v>0.18</v>
      </c>
      <c r="K94" s="100">
        <v>231.56</v>
      </c>
      <c r="L94" s="100">
        <v>19.809999999999999</v>
      </c>
      <c r="M94" s="100">
        <v>32.01</v>
      </c>
      <c r="N94" s="100">
        <v>1</v>
      </c>
      <c r="O94" s="100">
        <v>0</v>
      </c>
      <c r="P94" s="100">
        <v>0.64</v>
      </c>
      <c r="Q94" s="100">
        <v>9.32</v>
      </c>
      <c r="R94" s="6"/>
      <c r="S94" s="6"/>
      <c r="T94" s="156"/>
      <c r="U94" s="6"/>
    </row>
    <row r="95" spans="1:21" customFormat="1">
      <c r="A95" s="201" t="s">
        <v>1770</v>
      </c>
      <c r="B95" s="100">
        <v>7.01</v>
      </c>
      <c r="C95" s="100">
        <v>15.9</v>
      </c>
      <c r="D95" s="100">
        <v>13.93</v>
      </c>
      <c r="E95" s="100">
        <v>5.65</v>
      </c>
      <c r="F95" s="151" t="s">
        <v>8</v>
      </c>
      <c r="G95" s="100">
        <v>45.86</v>
      </c>
      <c r="H95" s="100">
        <v>12.67</v>
      </c>
      <c r="I95" s="100">
        <v>9.82</v>
      </c>
      <c r="J95" s="100">
        <v>0.15</v>
      </c>
      <c r="K95" s="100">
        <v>205.04</v>
      </c>
      <c r="L95" s="100">
        <v>18.690000000000001</v>
      </c>
      <c r="M95" s="100">
        <v>29.18</v>
      </c>
      <c r="N95" s="100">
        <v>1.2</v>
      </c>
      <c r="O95" s="100">
        <v>0</v>
      </c>
      <c r="P95" s="100">
        <v>0.65</v>
      </c>
      <c r="Q95" s="100">
        <v>9.32</v>
      </c>
      <c r="R95" s="6"/>
      <c r="S95" s="6"/>
      <c r="T95" s="156"/>
      <c r="U95" s="6"/>
    </row>
    <row r="96" spans="1:21" customFormat="1">
      <c r="A96" s="201" t="s">
        <v>1771</v>
      </c>
      <c r="B96" s="100">
        <v>7.52</v>
      </c>
      <c r="C96" s="100">
        <v>16.02</v>
      </c>
      <c r="D96" s="100">
        <v>14.4</v>
      </c>
      <c r="E96" s="100">
        <v>5.72</v>
      </c>
      <c r="F96" s="151" t="s">
        <v>8</v>
      </c>
      <c r="G96" s="100">
        <v>45.76</v>
      </c>
      <c r="H96" s="100">
        <v>12.43</v>
      </c>
      <c r="I96" s="100">
        <v>9.8800000000000008</v>
      </c>
      <c r="J96" s="100">
        <v>0.18</v>
      </c>
      <c r="K96" s="100">
        <v>180.99</v>
      </c>
      <c r="L96" s="100">
        <v>16.809999999999999</v>
      </c>
      <c r="M96" s="100">
        <v>24.56</v>
      </c>
      <c r="N96" s="100">
        <v>1</v>
      </c>
      <c r="O96" s="100">
        <v>0</v>
      </c>
      <c r="P96" s="100">
        <v>0.64</v>
      </c>
      <c r="Q96" s="100">
        <v>9.32</v>
      </c>
      <c r="R96" s="6"/>
      <c r="S96" s="6"/>
      <c r="T96" s="156"/>
      <c r="U96" s="6"/>
    </row>
    <row r="97" spans="1:28" customFormat="1">
      <c r="A97" s="201" t="s">
        <v>1772</v>
      </c>
      <c r="B97" s="100">
        <v>7.79</v>
      </c>
      <c r="C97" s="100">
        <v>15.98</v>
      </c>
      <c r="D97" s="100">
        <v>14.59</v>
      </c>
      <c r="E97" s="100">
        <v>5.99</v>
      </c>
      <c r="F97" s="151" t="s">
        <v>8</v>
      </c>
      <c r="G97" s="100">
        <v>45.76</v>
      </c>
      <c r="H97" s="100">
        <v>12.43</v>
      </c>
      <c r="I97" s="100">
        <v>10</v>
      </c>
      <c r="J97" s="100">
        <v>0.21</v>
      </c>
      <c r="K97" s="100">
        <v>216.29</v>
      </c>
      <c r="L97" s="100">
        <v>19.2</v>
      </c>
      <c r="M97" s="100">
        <v>30.53</v>
      </c>
      <c r="N97" s="100">
        <v>1.2</v>
      </c>
      <c r="O97" s="100">
        <v>0</v>
      </c>
      <c r="P97" s="100">
        <v>0.65</v>
      </c>
      <c r="Q97" s="100">
        <v>9.32</v>
      </c>
      <c r="R97" s="6"/>
      <c r="S97" s="6"/>
      <c r="T97" s="156"/>
      <c r="U97" s="6"/>
    </row>
    <row r="98" spans="1:28" customFormat="1">
      <c r="A98" s="201" t="s">
        <v>1773</v>
      </c>
      <c r="B98" s="100">
        <v>7.79</v>
      </c>
      <c r="C98" s="100">
        <v>15.85</v>
      </c>
      <c r="D98" s="100">
        <v>14.53</v>
      </c>
      <c r="E98" s="100">
        <v>5.96</v>
      </c>
      <c r="F98" s="151" t="s">
        <v>8</v>
      </c>
      <c r="G98" s="100">
        <v>45.76</v>
      </c>
      <c r="H98" s="100">
        <v>12.43</v>
      </c>
      <c r="I98" s="100">
        <v>10.19</v>
      </c>
      <c r="J98" s="100">
        <v>0.15</v>
      </c>
      <c r="K98" s="100">
        <v>175.49</v>
      </c>
      <c r="L98" s="100">
        <v>16.46</v>
      </c>
      <c r="M98" s="100">
        <v>23.66</v>
      </c>
      <c r="N98" s="100">
        <v>1.1000000000000001</v>
      </c>
      <c r="O98" s="100">
        <v>0</v>
      </c>
      <c r="P98" s="100">
        <v>0.67</v>
      </c>
      <c r="Q98" s="100">
        <v>9.32</v>
      </c>
      <c r="R98" s="6"/>
      <c r="S98" s="6"/>
      <c r="T98" s="156"/>
      <c r="U98" s="6"/>
    </row>
    <row r="99" spans="1:28" customFormat="1">
      <c r="A99" s="201" t="s">
        <v>1774</v>
      </c>
      <c r="B99" s="100">
        <v>7.85</v>
      </c>
      <c r="C99" s="100">
        <v>15.81</v>
      </c>
      <c r="D99" s="100">
        <v>14.56</v>
      </c>
      <c r="E99" s="100">
        <v>6.13</v>
      </c>
      <c r="F99" s="151" t="s">
        <v>8</v>
      </c>
      <c r="G99" s="100">
        <v>45.62</v>
      </c>
      <c r="H99" s="100">
        <v>12.51</v>
      </c>
      <c r="I99" s="100">
        <v>10.61</v>
      </c>
      <c r="J99" s="100">
        <v>0.19</v>
      </c>
      <c r="K99" s="100">
        <v>202.18</v>
      </c>
      <c r="L99" s="100">
        <v>18.02</v>
      </c>
      <c r="M99" s="100">
        <v>27.57</v>
      </c>
      <c r="N99" s="100">
        <v>1</v>
      </c>
      <c r="O99" s="100">
        <v>0</v>
      </c>
      <c r="P99" s="100">
        <v>0.68</v>
      </c>
      <c r="Q99" s="100">
        <v>9.32</v>
      </c>
      <c r="R99" s="6"/>
      <c r="S99" s="6"/>
      <c r="T99" s="156"/>
      <c r="U99" s="6"/>
    </row>
    <row r="100" spans="1:28" customFormat="1">
      <c r="A100" s="201" t="s">
        <v>1775</v>
      </c>
      <c r="B100" s="100">
        <v>8.19</v>
      </c>
      <c r="C100" s="100">
        <v>15.84</v>
      </c>
      <c r="D100" s="100">
        <v>14.85</v>
      </c>
      <c r="E100" s="100">
        <v>6.19</v>
      </c>
      <c r="F100" s="151" t="s">
        <v>8</v>
      </c>
      <c r="G100" s="100">
        <v>44.34</v>
      </c>
      <c r="H100" s="100">
        <v>13.18</v>
      </c>
      <c r="I100" s="100">
        <v>10.83</v>
      </c>
      <c r="J100" s="100">
        <v>0.18</v>
      </c>
      <c r="K100" s="100">
        <v>199.25</v>
      </c>
      <c r="L100" s="100">
        <v>18.239999999999998</v>
      </c>
      <c r="M100" s="100">
        <v>28.08</v>
      </c>
      <c r="N100" s="100">
        <v>1.2</v>
      </c>
      <c r="O100" s="100">
        <v>0</v>
      </c>
      <c r="P100" s="100">
        <v>0.69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1776</v>
      </c>
      <c r="B101" s="100">
        <v>8.24</v>
      </c>
      <c r="C101" s="100">
        <v>15.79</v>
      </c>
      <c r="D101" s="100">
        <v>14.85</v>
      </c>
      <c r="E101" s="100">
        <v>6.1</v>
      </c>
      <c r="F101" s="151" t="s">
        <v>8</v>
      </c>
      <c r="G101" s="100">
        <v>44.34</v>
      </c>
      <c r="H101" s="100">
        <v>13.18</v>
      </c>
      <c r="I101" s="100">
        <v>11.01</v>
      </c>
      <c r="J101" s="100">
        <v>0.16</v>
      </c>
      <c r="K101" s="100">
        <v>182.07</v>
      </c>
      <c r="L101" s="100">
        <v>16.48</v>
      </c>
      <c r="M101" s="100">
        <v>23.69</v>
      </c>
      <c r="N101" s="100">
        <v>1.1000000000000001</v>
      </c>
      <c r="O101" s="100">
        <v>0</v>
      </c>
      <c r="P101" s="100">
        <v>0.7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1777</v>
      </c>
      <c r="B102" s="100">
        <v>8.42</v>
      </c>
      <c r="C102" s="100">
        <v>15.92</v>
      </c>
      <c r="D102" s="100">
        <v>15.07</v>
      </c>
      <c r="E102" s="100">
        <v>6.05</v>
      </c>
      <c r="F102" s="151" t="s">
        <v>8</v>
      </c>
      <c r="G102" s="100">
        <v>44.34</v>
      </c>
      <c r="H102" s="100">
        <v>13.18</v>
      </c>
      <c r="I102" s="100">
        <v>11.39</v>
      </c>
      <c r="J102" s="100">
        <v>0.15</v>
      </c>
      <c r="K102" s="100">
        <v>174.58</v>
      </c>
      <c r="L102" s="100">
        <v>16.579999999999998</v>
      </c>
      <c r="M102" s="100">
        <v>23.96</v>
      </c>
      <c r="N102" s="100">
        <v>1</v>
      </c>
      <c r="O102" s="100">
        <v>0</v>
      </c>
      <c r="P102" s="100">
        <v>0.7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1778</v>
      </c>
      <c r="B103" s="100">
        <v>9.16</v>
      </c>
      <c r="C103" s="100">
        <v>16.100000000000001</v>
      </c>
      <c r="D103" s="100">
        <v>15.76</v>
      </c>
      <c r="E103" s="100">
        <v>6.03</v>
      </c>
      <c r="F103" s="151" t="s">
        <v>8</v>
      </c>
      <c r="G103" s="100">
        <v>44.27</v>
      </c>
      <c r="H103" s="100">
        <v>13.25</v>
      </c>
      <c r="I103" s="100">
        <v>11.5</v>
      </c>
      <c r="J103" s="100">
        <v>0.17</v>
      </c>
      <c r="K103" s="100">
        <v>202.46</v>
      </c>
      <c r="L103" s="100">
        <v>18.149999999999999</v>
      </c>
      <c r="M103" s="100">
        <v>27.89</v>
      </c>
      <c r="N103" s="100">
        <v>0.9</v>
      </c>
      <c r="O103" s="100">
        <v>0</v>
      </c>
      <c r="P103" s="100">
        <v>0.71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1779</v>
      </c>
      <c r="B104" s="100">
        <v>9.83</v>
      </c>
      <c r="C104" s="100">
        <v>16.149999999999999</v>
      </c>
      <c r="D104" s="100">
        <v>16.32</v>
      </c>
      <c r="E104" s="100">
        <v>6.13</v>
      </c>
      <c r="F104" s="151" t="s">
        <v>8</v>
      </c>
      <c r="G104" s="100">
        <v>43.62</v>
      </c>
      <c r="H104" s="100">
        <v>13.87</v>
      </c>
      <c r="I104" s="100">
        <v>11.61</v>
      </c>
      <c r="J104" s="100">
        <v>0.2</v>
      </c>
      <c r="K104" s="100">
        <v>214.75</v>
      </c>
      <c r="L104" s="100">
        <v>18.89</v>
      </c>
      <c r="M104" s="100">
        <v>29.77</v>
      </c>
      <c r="N104" s="100">
        <v>1.3</v>
      </c>
      <c r="O104" s="100">
        <v>0</v>
      </c>
      <c r="P104" s="100">
        <v>0.72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1.78</v>
      </c>
      <c r="C106" s="158">
        <f>MIN(C9:C104)</f>
        <v>15.56</v>
      </c>
      <c r="D106" s="158">
        <f t="shared" ref="D106:Q106" si="0">MIN(D9:D104)</f>
        <v>9.56</v>
      </c>
      <c r="E106" s="158">
        <f t="shared" si="0"/>
        <v>3.69</v>
      </c>
      <c r="F106" s="158">
        <f t="shared" si="0"/>
        <v>0</v>
      </c>
      <c r="G106" s="158">
        <f t="shared" si="0"/>
        <v>27.37</v>
      </c>
      <c r="H106" s="158">
        <f t="shared" si="0"/>
        <v>10.07</v>
      </c>
      <c r="I106" s="158">
        <f t="shared" si="0"/>
        <v>8.27</v>
      </c>
      <c r="J106" s="158">
        <f t="shared" si="0"/>
        <v>0.04</v>
      </c>
      <c r="K106" s="158">
        <f t="shared" si="0"/>
        <v>5.87</v>
      </c>
      <c r="L106" s="158">
        <f t="shared" si="0"/>
        <v>7.3</v>
      </c>
      <c r="M106" s="158">
        <f t="shared" si="0"/>
        <v>0.35</v>
      </c>
      <c r="N106" s="158">
        <f t="shared" si="0"/>
        <v>0.8</v>
      </c>
      <c r="O106" s="158">
        <f t="shared" si="0"/>
        <v>0</v>
      </c>
      <c r="P106" s="158">
        <f t="shared" si="0"/>
        <v>0.46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29.38</v>
      </c>
      <c r="C107" s="157">
        <f t="shared" ref="C107:Q107" si="1">MAX(C9:C104)</f>
        <v>19.61</v>
      </c>
      <c r="D107" s="157">
        <f t="shared" si="1"/>
        <v>33.75</v>
      </c>
      <c r="E107" s="157">
        <f t="shared" si="1"/>
        <v>7.6</v>
      </c>
      <c r="F107" s="157">
        <f t="shared" si="1"/>
        <v>0</v>
      </c>
      <c r="G107" s="157">
        <f t="shared" si="1"/>
        <v>68.34</v>
      </c>
      <c r="H107" s="157">
        <f t="shared" si="1"/>
        <v>18.72</v>
      </c>
      <c r="I107" s="157">
        <f t="shared" si="1"/>
        <v>17.420000000000002</v>
      </c>
      <c r="J107" s="157">
        <f t="shared" si="1"/>
        <v>1.51</v>
      </c>
      <c r="K107" s="157">
        <f t="shared" si="1"/>
        <v>339.22</v>
      </c>
      <c r="L107" s="157">
        <f t="shared" si="1"/>
        <v>23.07</v>
      </c>
      <c r="M107" s="157">
        <f t="shared" si="1"/>
        <v>32.36</v>
      </c>
      <c r="N107" s="157">
        <f t="shared" si="1"/>
        <v>579.6</v>
      </c>
      <c r="O107" s="157">
        <f t="shared" si="1"/>
        <v>0</v>
      </c>
      <c r="P107" s="157">
        <f t="shared" si="1"/>
        <v>0.88</v>
      </c>
      <c r="Q107" s="157">
        <f t="shared" si="1"/>
        <v>10.28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12.472499999999998</v>
      </c>
      <c r="C108" s="158">
        <f t="shared" ref="C108:Q108" si="2">AVERAGE(C9:C104)</f>
        <v>17.864791666666662</v>
      </c>
      <c r="D108" s="158">
        <f t="shared" si="2"/>
        <v>19.336145833333322</v>
      </c>
      <c r="E108" s="158">
        <f t="shared" si="2"/>
        <v>6.3107291666666656</v>
      </c>
      <c r="F108" s="158" t="e">
        <f t="shared" si="2"/>
        <v>#DIV/0!</v>
      </c>
      <c r="G108" s="158">
        <f t="shared" si="2"/>
        <v>47.333645833333321</v>
      </c>
      <c r="H108" s="158">
        <f t="shared" si="2"/>
        <v>14.404687500000003</v>
      </c>
      <c r="I108" s="158">
        <f t="shared" si="2"/>
        <v>12.126041666666666</v>
      </c>
      <c r="J108" s="158">
        <f t="shared" si="2"/>
        <v>0.3847916666666667</v>
      </c>
      <c r="K108" s="158">
        <f t="shared" si="2"/>
        <v>105.34281250000002</v>
      </c>
      <c r="L108" s="158">
        <f t="shared" si="2"/>
        <v>14.692604166666662</v>
      </c>
      <c r="M108" s="158">
        <f t="shared" si="2"/>
        <v>16.162291666666675</v>
      </c>
      <c r="N108" s="158">
        <f t="shared" si="2"/>
        <v>122.45625000000007</v>
      </c>
      <c r="O108" s="158">
        <f t="shared" si="2"/>
        <v>0</v>
      </c>
      <c r="P108" s="158">
        <f t="shared" si="2"/>
        <v>0.66281250000000014</v>
      </c>
      <c r="Q108" s="158">
        <f t="shared" si="2"/>
        <v>9.4336458333333475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9.1800904708304127</v>
      </c>
      <c r="C109" s="158">
        <f t="shared" ref="C109:Q109" si="3">STDEV(C9:C104)</f>
        <v>1.4143304007395658</v>
      </c>
      <c r="D109" s="158">
        <f t="shared" si="3"/>
        <v>7.8745195168095323</v>
      </c>
      <c r="E109" s="158">
        <f t="shared" si="3"/>
        <v>0.5308587775168333</v>
      </c>
      <c r="F109" s="158" t="e">
        <f t="shared" si="3"/>
        <v>#DIV/0!</v>
      </c>
      <c r="G109" s="158">
        <f t="shared" si="3"/>
        <v>11.669285110452906</v>
      </c>
      <c r="H109" s="158">
        <f t="shared" si="3"/>
        <v>2.85969190579205</v>
      </c>
      <c r="I109" s="158">
        <f t="shared" si="3"/>
        <v>2.8462468285045217</v>
      </c>
      <c r="J109" s="158">
        <f t="shared" si="3"/>
        <v>0.29532133851527925</v>
      </c>
      <c r="K109" s="158">
        <f t="shared" si="3"/>
        <v>81.579750308686457</v>
      </c>
      <c r="L109" s="158">
        <f t="shared" si="3"/>
        <v>3.3791896396346393</v>
      </c>
      <c r="M109" s="158">
        <f t="shared" si="3"/>
        <v>9.6231654141305878</v>
      </c>
      <c r="N109" s="158">
        <f t="shared" si="3"/>
        <v>195.86561602147961</v>
      </c>
      <c r="O109" s="158">
        <f t="shared" si="3"/>
        <v>0</v>
      </c>
      <c r="P109" s="158">
        <f t="shared" si="3"/>
        <v>0.12355014430543917</v>
      </c>
      <c r="Q109" s="158">
        <f t="shared" si="3"/>
        <v>0.21038370855311345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82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1780</v>
      </c>
      <c r="B9" s="100">
        <v>9.84</v>
      </c>
      <c r="C9" s="100">
        <v>15.42</v>
      </c>
      <c r="D9" s="100">
        <v>15.95</v>
      </c>
      <c r="E9" s="100">
        <v>5.96</v>
      </c>
      <c r="F9" s="151" t="s">
        <v>8</v>
      </c>
      <c r="G9" s="100">
        <v>43.62</v>
      </c>
      <c r="H9" s="100">
        <v>13.87</v>
      </c>
      <c r="I9" s="100">
        <v>11.71</v>
      </c>
      <c r="J9" s="100">
        <v>0.17</v>
      </c>
      <c r="K9" s="100">
        <v>213.31</v>
      </c>
      <c r="L9" s="100">
        <v>18.72</v>
      </c>
      <c r="M9" s="100">
        <v>29.3</v>
      </c>
      <c r="N9" s="100">
        <v>1.2</v>
      </c>
      <c r="O9" s="100">
        <v>0</v>
      </c>
      <c r="P9" s="100">
        <v>0.71</v>
      </c>
      <c r="Q9" s="100">
        <v>9.32</v>
      </c>
      <c r="R9" s="6"/>
      <c r="S9" s="6"/>
      <c r="T9" s="156"/>
      <c r="U9" s="6"/>
    </row>
    <row r="10" spans="1:21" customFormat="1">
      <c r="A10" s="201" t="s">
        <v>1781</v>
      </c>
      <c r="B10" s="100">
        <v>9.75</v>
      </c>
      <c r="C10" s="100">
        <v>15.51</v>
      </c>
      <c r="D10" s="100">
        <v>15.92</v>
      </c>
      <c r="E10" s="100">
        <v>5.88</v>
      </c>
      <c r="F10" s="151" t="s">
        <v>8</v>
      </c>
      <c r="G10" s="100">
        <v>43.62</v>
      </c>
      <c r="H10" s="100">
        <v>13.87</v>
      </c>
      <c r="I10" s="100">
        <v>11.81</v>
      </c>
      <c r="J10" s="100">
        <v>0.11</v>
      </c>
      <c r="K10" s="100">
        <v>180.91</v>
      </c>
      <c r="L10" s="100">
        <v>15.76</v>
      </c>
      <c r="M10" s="100">
        <v>21.87</v>
      </c>
      <c r="N10" s="100">
        <v>1.1000000000000001</v>
      </c>
      <c r="O10" s="100">
        <v>0</v>
      </c>
      <c r="P10" s="100">
        <v>0.72</v>
      </c>
      <c r="Q10" s="100">
        <v>9.32</v>
      </c>
      <c r="R10" s="6"/>
      <c r="S10" s="6"/>
      <c r="T10" s="156"/>
      <c r="U10" s="6"/>
    </row>
    <row r="11" spans="1:21" customFormat="1">
      <c r="A11" s="201" t="s">
        <v>1782</v>
      </c>
      <c r="B11" s="100">
        <v>9.93</v>
      </c>
      <c r="C11" s="100">
        <v>15.51</v>
      </c>
      <c r="D11" s="100">
        <v>16.059999999999999</v>
      </c>
      <c r="E11" s="100">
        <v>6.04</v>
      </c>
      <c r="F11" s="151" t="s">
        <v>8</v>
      </c>
      <c r="G11" s="100">
        <v>43.55</v>
      </c>
      <c r="H11" s="100">
        <v>13.88</v>
      </c>
      <c r="I11" s="100">
        <v>11.83</v>
      </c>
      <c r="J11" s="100">
        <v>0.08</v>
      </c>
      <c r="K11" s="100">
        <v>6.89</v>
      </c>
      <c r="L11" s="100">
        <v>16.010000000000002</v>
      </c>
      <c r="M11" s="100">
        <v>22.3</v>
      </c>
      <c r="N11" s="100">
        <v>0.9</v>
      </c>
      <c r="O11" s="100">
        <v>0</v>
      </c>
      <c r="P11" s="100">
        <v>0.72</v>
      </c>
      <c r="Q11" s="100">
        <v>9.32</v>
      </c>
      <c r="R11" s="6"/>
      <c r="S11" s="6"/>
      <c r="T11" s="156"/>
      <c r="U11" s="6"/>
    </row>
    <row r="12" spans="1:21" customFormat="1">
      <c r="A12" s="201" t="s">
        <v>1783</v>
      </c>
      <c r="B12" s="100">
        <v>11</v>
      </c>
      <c r="C12" s="100">
        <v>15.88</v>
      </c>
      <c r="D12" s="100">
        <v>17.11</v>
      </c>
      <c r="E12" s="100">
        <v>5.99</v>
      </c>
      <c r="F12" s="151" t="s">
        <v>8</v>
      </c>
      <c r="G12" s="100">
        <v>42.9</v>
      </c>
      <c r="H12" s="100">
        <v>13.95</v>
      </c>
      <c r="I12" s="100">
        <v>11.8</v>
      </c>
      <c r="J12" s="100">
        <v>0.34</v>
      </c>
      <c r="K12" s="100">
        <v>51.08</v>
      </c>
      <c r="L12" s="100">
        <v>8.2899999999999991</v>
      </c>
      <c r="M12" s="100">
        <v>2.92</v>
      </c>
      <c r="N12" s="100">
        <v>0.7</v>
      </c>
      <c r="O12" s="100">
        <v>0</v>
      </c>
      <c r="P12" s="100">
        <v>0.72</v>
      </c>
      <c r="Q12" s="100">
        <v>9.32</v>
      </c>
      <c r="R12" s="6"/>
      <c r="S12" s="6"/>
      <c r="T12" s="156"/>
      <c r="U12" s="6"/>
    </row>
    <row r="13" spans="1:21" customFormat="1">
      <c r="A13" s="201" t="s">
        <v>1784</v>
      </c>
      <c r="B13" s="100">
        <v>11.61</v>
      </c>
      <c r="C13" s="100">
        <v>16.22</v>
      </c>
      <c r="D13" s="100">
        <v>17.78</v>
      </c>
      <c r="E13" s="100">
        <v>5.85</v>
      </c>
      <c r="F13" s="151" t="s">
        <v>8</v>
      </c>
      <c r="G13" s="100">
        <v>42.9</v>
      </c>
      <c r="H13" s="100">
        <v>13.95</v>
      </c>
      <c r="I13" s="100">
        <v>11.85</v>
      </c>
      <c r="J13" s="100">
        <v>0.16</v>
      </c>
      <c r="K13" s="100">
        <v>101.04</v>
      </c>
      <c r="L13" s="100">
        <v>12.14</v>
      </c>
      <c r="M13" s="100">
        <v>12.74</v>
      </c>
      <c r="N13" s="100">
        <v>0.9</v>
      </c>
      <c r="O13" s="100">
        <v>0</v>
      </c>
      <c r="P13" s="100">
        <v>0.73</v>
      </c>
      <c r="Q13" s="100">
        <v>9.32</v>
      </c>
      <c r="R13" s="6"/>
      <c r="S13" s="6"/>
      <c r="T13" s="156"/>
      <c r="U13" s="6"/>
    </row>
    <row r="14" spans="1:21" customFormat="1">
      <c r="A14" s="201" t="s">
        <v>1785</v>
      </c>
      <c r="B14" s="100">
        <v>11.7</v>
      </c>
      <c r="C14" s="100">
        <v>16.63</v>
      </c>
      <c r="D14" s="100">
        <v>18.07</v>
      </c>
      <c r="E14" s="100">
        <v>6.09</v>
      </c>
      <c r="F14" s="151" t="s">
        <v>8</v>
      </c>
      <c r="G14" s="100">
        <v>42.9</v>
      </c>
      <c r="H14" s="100">
        <v>13.95</v>
      </c>
      <c r="I14" s="100">
        <v>11.98</v>
      </c>
      <c r="J14" s="100">
        <v>0.13</v>
      </c>
      <c r="K14" s="100">
        <v>63.96</v>
      </c>
      <c r="L14" s="100">
        <v>13.46</v>
      </c>
      <c r="M14" s="100">
        <v>15.98</v>
      </c>
      <c r="N14" s="100">
        <v>1.1000000000000001</v>
      </c>
      <c r="O14" s="100">
        <v>0</v>
      </c>
      <c r="P14" s="100">
        <v>0.72</v>
      </c>
      <c r="Q14" s="100">
        <v>9.32</v>
      </c>
      <c r="R14" s="6"/>
      <c r="S14" s="6"/>
      <c r="T14" s="156"/>
      <c r="U14" s="6"/>
    </row>
    <row r="15" spans="1:21" customFormat="1">
      <c r="A15" s="201" t="s">
        <v>1786</v>
      </c>
      <c r="B15" s="100">
        <v>11.88</v>
      </c>
      <c r="C15" s="100">
        <v>16.89</v>
      </c>
      <c r="D15" s="100">
        <v>18.350000000000001</v>
      </c>
      <c r="E15" s="100">
        <v>6.42</v>
      </c>
      <c r="F15" s="151" t="s">
        <v>8</v>
      </c>
      <c r="G15" s="100">
        <v>43.1</v>
      </c>
      <c r="H15" s="100">
        <v>13.86</v>
      </c>
      <c r="I15" s="100">
        <v>12</v>
      </c>
      <c r="J15" s="100">
        <v>0.28999999999999998</v>
      </c>
      <c r="K15" s="100">
        <v>40.46</v>
      </c>
      <c r="L15" s="100">
        <v>9.67</v>
      </c>
      <c r="M15" s="100">
        <v>6.37</v>
      </c>
      <c r="N15" s="100">
        <v>0.8</v>
      </c>
      <c r="O15" s="100">
        <v>0</v>
      </c>
      <c r="P15" s="100">
        <v>0.73</v>
      </c>
      <c r="Q15" s="100">
        <v>9.32</v>
      </c>
      <c r="R15" s="6"/>
      <c r="S15" s="6"/>
      <c r="T15" s="156"/>
      <c r="U15" s="6"/>
    </row>
    <row r="16" spans="1:21" customFormat="1">
      <c r="A16" s="201" t="s">
        <v>1787</v>
      </c>
      <c r="B16" s="100">
        <v>12.09</v>
      </c>
      <c r="C16" s="100">
        <v>17.12</v>
      </c>
      <c r="D16" s="100">
        <v>18.64</v>
      </c>
      <c r="E16" s="100">
        <v>6.1</v>
      </c>
      <c r="F16" s="151" t="s">
        <v>8</v>
      </c>
      <c r="G16" s="100">
        <v>45.13</v>
      </c>
      <c r="H16" s="100">
        <v>13.18</v>
      </c>
      <c r="I16" s="100">
        <v>12.14</v>
      </c>
      <c r="J16" s="100">
        <v>0.45</v>
      </c>
      <c r="K16" s="100">
        <v>45.57</v>
      </c>
      <c r="L16" s="100">
        <v>7.74</v>
      </c>
      <c r="M16" s="100">
        <v>1.5</v>
      </c>
      <c r="N16" s="100">
        <v>0.7</v>
      </c>
      <c r="O16" s="100">
        <v>0</v>
      </c>
      <c r="P16" s="100">
        <v>0.72</v>
      </c>
      <c r="Q16" s="100">
        <v>9.32</v>
      </c>
      <c r="R16" s="6"/>
      <c r="S16" s="6"/>
      <c r="T16" s="156"/>
      <c r="U16" s="6"/>
    </row>
    <row r="17" spans="1:21" customFormat="1">
      <c r="A17" s="201" t="s">
        <v>1788</v>
      </c>
      <c r="B17" s="100">
        <v>12</v>
      </c>
      <c r="C17" s="100">
        <v>17.28</v>
      </c>
      <c r="D17" s="100">
        <v>18.649999999999999</v>
      </c>
      <c r="E17" s="100">
        <v>4.49</v>
      </c>
      <c r="F17" s="151" t="s">
        <v>8</v>
      </c>
      <c r="G17" s="100">
        <v>45.13</v>
      </c>
      <c r="H17" s="100">
        <v>13.18</v>
      </c>
      <c r="I17" s="100">
        <v>12.56</v>
      </c>
      <c r="J17" s="100">
        <v>0.34</v>
      </c>
      <c r="K17" s="100">
        <v>38.68</v>
      </c>
      <c r="L17" s="100">
        <v>8.7100000000000009</v>
      </c>
      <c r="M17" s="100">
        <v>3.93</v>
      </c>
      <c r="N17" s="100">
        <v>1.1000000000000001</v>
      </c>
      <c r="O17" s="100">
        <v>0</v>
      </c>
      <c r="P17" s="100">
        <v>0.72</v>
      </c>
      <c r="Q17" s="100">
        <v>9.32</v>
      </c>
      <c r="R17" s="6"/>
      <c r="S17" s="6"/>
      <c r="T17" s="156"/>
      <c r="U17" s="6"/>
    </row>
    <row r="18" spans="1:21" customFormat="1">
      <c r="A18" s="201" t="s">
        <v>1789</v>
      </c>
      <c r="B18" s="100">
        <v>11.77</v>
      </c>
      <c r="C18" s="100">
        <v>17.489999999999998</v>
      </c>
      <c r="D18" s="100">
        <v>18.579999999999998</v>
      </c>
      <c r="E18" s="100">
        <v>5.57</v>
      </c>
      <c r="F18" s="151" t="s">
        <v>8</v>
      </c>
      <c r="G18" s="100">
        <v>45.13</v>
      </c>
      <c r="H18" s="100">
        <v>13.18</v>
      </c>
      <c r="I18" s="100">
        <v>12.92</v>
      </c>
      <c r="J18" s="100">
        <v>0.19</v>
      </c>
      <c r="K18" s="100">
        <v>29.33</v>
      </c>
      <c r="L18" s="100">
        <v>11.66</v>
      </c>
      <c r="M18" s="100">
        <v>11.25</v>
      </c>
      <c r="N18" s="100">
        <v>1.3</v>
      </c>
      <c r="O18" s="100">
        <v>0</v>
      </c>
      <c r="P18" s="100">
        <v>0.71</v>
      </c>
      <c r="Q18" s="100">
        <v>9.32</v>
      </c>
      <c r="R18" s="6"/>
      <c r="S18" s="6"/>
      <c r="T18" s="156"/>
      <c r="U18" s="6"/>
    </row>
    <row r="19" spans="1:21" customFormat="1">
      <c r="A19" s="201" t="s">
        <v>1790</v>
      </c>
      <c r="B19" s="100">
        <v>11.46</v>
      </c>
      <c r="C19" s="100">
        <v>17.52</v>
      </c>
      <c r="D19" s="100">
        <v>18.34</v>
      </c>
      <c r="E19" s="100">
        <v>5.6</v>
      </c>
      <c r="F19" s="151" t="s">
        <v>8</v>
      </c>
      <c r="G19" s="100">
        <v>45.18</v>
      </c>
      <c r="H19" s="100">
        <v>13.25</v>
      </c>
      <c r="I19" s="100">
        <v>13.03</v>
      </c>
      <c r="J19" s="100">
        <v>0.2</v>
      </c>
      <c r="K19" s="100">
        <v>38.700000000000003</v>
      </c>
      <c r="L19" s="100">
        <v>12.83</v>
      </c>
      <c r="M19" s="100">
        <v>14.33</v>
      </c>
      <c r="N19" s="100">
        <v>1.1000000000000001</v>
      </c>
      <c r="O19" s="100">
        <v>0</v>
      </c>
      <c r="P19" s="100">
        <v>0.71</v>
      </c>
      <c r="Q19" s="100">
        <v>9.32</v>
      </c>
      <c r="R19" s="6"/>
      <c r="S19" s="6"/>
      <c r="T19" s="156"/>
      <c r="U19" s="6"/>
    </row>
    <row r="20" spans="1:21" customFormat="1">
      <c r="A20" s="201" t="s">
        <v>1791</v>
      </c>
      <c r="B20" s="100">
        <v>11.17</v>
      </c>
      <c r="C20" s="100">
        <v>17.440000000000001</v>
      </c>
      <c r="D20" s="100">
        <v>18.07</v>
      </c>
      <c r="E20" s="100">
        <v>5.51</v>
      </c>
      <c r="F20" s="151" t="s">
        <v>8</v>
      </c>
      <c r="G20" s="100">
        <v>45.7</v>
      </c>
      <c r="H20" s="100">
        <v>14.01</v>
      </c>
      <c r="I20" s="100">
        <v>13.03</v>
      </c>
      <c r="J20" s="100">
        <v>0.17</v>
      </c>
      <c r="K20" s="100">
        <v>41.32</v>
      </c>
      <c r="L20" s="100">
        <v>12.36</v>
      </c>
      <c r="M20" s="100">
        <v>13.16</v>
      </c>
      <c r="N20" s="100">
        <v>1.1000000000000001</v>
      </c>
      <c r="O20" s="100">
        <v>0</v>
      </c>
      <c r="P20" s="100">
        <v>0.72</v>
      </c>
      <c r="Q20" s="100">
        <v>9.32</v>
      </c>
      <c r="R20" s="6"/>
      <c r="S20" s="6"/>
      <c r="T20" s="156"/>
      <c r="U20" s="6"/>
    </row>
    <row r="21" spans="1:21" customFormat="1">
      <c r="A21" s="201" t="s">
        <v>1792</v>
      </c>
      <c r="B21" s="100">
        <v>10.92</v>
      </c>
      <c r="C21" s="100">
        <v>17.39</v>
      </c>
      <c r="D21" s="100">
        <v>17.850000000000001</v>
      </c>
      <c r="E21" s="100">
        <v>5.41</v>
      </c>
      <c r="F21" s="151" t="s">
        <v>8</v>
      </c>
      <c r="G21" s="100">
        <v>45.7</v>
      </c>
      <c r="H21" s="100">
        <v>14.01</v>
      </c>
      <c r="I21" s="100">
        <v>12.81</v>
      </c>
      <c r="J21" s="100">
        <v>0.15</v>
      </c>
      <c r="K21" s="100">
        <v>55.34</v>
      </c>
      <c r="L21" s="100">
        <v>12.76</v>
      </c>
      <c r="M21" s="100">
        <v>14.23</v>
      </c>
      <c r="N21" s="100">
        <v>1.2</v>
      </c>
      <c r="O21" s="100">
        <v>0</v>
      </c>
      <c r="P21" s="100">
        <v>0.72</v>
      </c>
      <c r="Q21" s="100">
        <v>9.32</v>
      </c>
      <c r="R21" s="6"/>
      <c r="S21" s="6"/>
      <c r="T21" s="156"/>
      <c r="U21" s="6"/>
    </row>
    <row r="22" spans="1:21" customFormat="1">
      <c r="A22" s="201" t="s">
        <v>1793</v>
      </c>
      <c r="B22" s="100">
        <v>10.77</v>
      </c>
      <c r="C22" s="100">
        <v>17.39</v>
      </c>
      <c r="D22" s="100">
        <v>17.72</v>
      </c>
      <c r="E22" s="100">
        <v>5.72</v>
      </c>
      <c r="F22" s="151" t="s">
        <v>8</v>
      </c>
      <c r="G22" s="100">
        <v>45.7</v>
      </c>
      <c r="H22" s="100">
        <v>14.01</v>
      </c>
      <c r="I22" s="100">
        <v>12.54</v>
      </c>
      <c r="J22" s="100">
        <v>0.11</v>
      </c>
      <c r="K22" s="100">
        <v>99.58</v>
      </c>
      <c r="L22" s="100">
        <v>13.03</v>
      </c>
      <c r="M22" s="100">
        <v>14.9</v>
      </c>
      <c r="N22" s="100">
        <v>1.4</v>
      </c>
      <c r="O22" s="100">
        <v>0</v>
      </c>
      <c r="P22" s="100">
        <v>0.71</v>
      </c>
      <c r="Q22" s="100">
        <v>9.32</v>
      </c>
      <c r="R22" s="6"/>
      <c r="S22" s="6"/>
      <c r="T22" s="156"/>
      <c r="U22" s="6"/>
    </row>
    <row r="23" spans="1:21" customFormat="1">
      <c r="A23" s="201" t="s">
        <v>1794</v>
      </c>
      <c r="B23" s="100">
        <v>10.71</v>
      </c>
      <c r="C23" s="100">
        <v>17.579999999999998</v>
      </c>
      <c r="D23" s="100">
        <v>17.78</v>
      </c>
      <c r="E23" s="100">
        <v>3.05</v>
      </c>
      <c r="F23" s="151" t="s">
        <v>8</v>
      </c>
      <c r="G23" s="100">
        <v>45.76</v>
      </c>
      <c r="H23" s="100">
        <v>14</v>
      </c>
      <c r="I23" s="100">
        <v>12.42</v>
      </c>
      <c r="J23" s="100">
        <v>0.23</v>
      </c>
      <c r="K23" s="100">
        <v>25.1</v>
      </c>
      <c r="L23" s="100">
        <v>14.3</v>
      </c>
      <c r="M23" s="100">
        <v>17.87</v>
      </c>
      <c r="N23" s="100">
        <v>0.9</v>
      </c>
      <c r="O23" s="100">
        <v>0</v>
      </c>
      <c r="P23" s="100">
        <v>0.7</v>
      </c>
      <c r="Q23" s="100">
        <v>9.32</v>
      </c>
      <c r="R23" s="6"/>
      <c r="S23" s="6"/>
      <c r="T23" s="156"/>
      <c r="U23" s="6"/>
    </row>
    <row r="24" spans="1:21" customFormat="1">
      <c r="A24" s="201" t="s">
        <v>1795</v>
      </c>
      <c r="B24" s="100">
        <v>10.81</v>
      </c>
      <c r="C24" s="100">
        <v>17.55</v>
      </c>
      <c r="D24" s="100">
        <v>17.84</v>
      </c>
      <c r="E24" s="100">
        <v>4.95</v>
      </c>
      <c r="F24" s="151" t="s">
        <v>8</v>
      </c>
      <c r="G24" s="100">
        <v>46.28</v>
      </c>
      <c r="H24" s="100">
        <v>13.93</v>
      </c>
      <c r="I24" s="100">
        <v>12.24</v>
      </c>
      <c r="J24" s="100">
        <v>0.31</v>
      </c>
      <c r="K24" s="100">
        <v>42.09</v>
      </c>
      <c r="L24" s="100">
        <v>8.76</v>
      </c>
      <c r="M24" s="100">
        <v>3.97</v>
      </c>
      <c r="N24" s="100">
        <v>1</v>
      </c>
      <c r="O24" s="100">
        <v>0</v>
      </c>
      <c r="P24" s="100">
        <v>0.68</v>
      </c>
      <c r="Q24" s="100">
        <v>9.32</v>
      </c>
      <c r="R24" s="6"/>
      <c r="S24" s="6"/>
      <c r="T24" s="156"/>
      <c r="U24" s="6"/>
    </row>
    <row r="25" spans="1:21" customFormat="1">
      <c r="A25" s="201" t="s">
        <v>1796</v>
      </c>
      <c r="B25" s="100">
        <v>10.72</v>
      </c>
      <c r="C25" s="100">
        <v>17.52</v>
      </c>
      <c r="D25" s="100">
        <v>17.75</v>
      </c>
      <c r="E25" s="100">
        <v>4.9800000000000004</v>
      </c>
      <c r="F25" s="151" t="s">
        <v>8</v>
      </c>
      <c r="G25" s="100">
        <v>46.28</v>
      </c>
      <c r="H25" s="100">
        <v>13.93</v>
      </c>
      <c r="I25" s="100">
        <v>12.05</v>
      </c>
      <c r="J25" s="100">
        <v>0.42</v>
      </c>
      <c r="K25" s="100">
        <v>47.78</v>
      </c>
      <c r="L25" s="100">
        <v>6.76</v>
      </c>
      <c r="M25" s="100">
        <v>3.97</v>
      </c>
      <c r="N25" s="100">
        <v>0.9</v>
      </c>
      <c r="O25" s="100">
        <v>0</v>
      </c>
      <c r="P25" s="100">
        <v>0.68</v>
      </c>
      <c r="Q25" s="100">
        <v>9.4700000000000006</v>
      </c>
      <c r="R25" s="6"/>
      <c r="S25" s="6"/>
      <c r="T25" s="156"/>
      <c r="U25" s="6"/>
    </row>
    <row r="26" spans="1:21" customFormat="1">
      <c r="A26" s="201" t="s">
        <v>1797</v>
      </c>
      <c r="B26" s="100">
        <v>10.55</v>
      </c>
      <c r="C26" s="100">
        <v>17.579999999999998</v>
      </c>
      <c r="D26" s="100">
        <v>17.649999999999999</v>
      </c>
      <c r="E26" s="100">
        <v>4.83</v>
      </c>
      <c r="F26" s="151" t="s">
        <v>8</v>
      </c>
      <c r="G26" s="100">
        <v>46.28</v>
      </c>
      <c r="H26" s="100">
        <v>13.93</v>
      </c>
      <c r="I26" s="100">
        <v>11.87</v>
      </c>
      <c r="J26" s="100">
        <v>0.09</v>
      </c>
      <c r="K26" s="100">
        <v>144.16</v>
      </c>
      <c r="L26" s="100">
        <v>13.61</v>
      </c>
      <c r="M26" s="100">
        <v>16.45</v>
      </c>
      <c r="N26" s="100">
        <v>1.7</v>
      </c>
      <c r="O26" s="100">
        <v>0</v>
      </c>
      <c r="P26" s="100">
        <v>0.67</v>
      </c>
      <c r="Q26" s="100">
        <v>9.5</v>
      </c>
      <c r="R26" s="6"/>
      <c r="S26" s="6"/>
      <c r="T26" s="156"/>
      <c r="U26" s="6"/>
    </row>
    <row r="27" spans="1:21" customFormat="1">
      <c r="A27" s="201" t="s">
        <v>1798</v>
      </c>
      <c r="B27" s="100">
        <v>10.4</v>
      </c>
      <c r="C27" s="100">
        <v>17.55</v>
      </c>
      <c r="D27" s="100">
        <v>17.510000000000002</v>
      </c>
      <c r="E27" s="100">
        <v>5.13</v>
      </c>
      <c r="F27" s="151" t="s">
        <v>8</v>
      </c>
      <c r="G27" s="100">
        <v>46.18</v>
      </c>
      <c r="H27" s="100">
        <v>14.04</v>
      </c>
      <c r="I27" s="100">
        <v>11.67</v>
      </c>
      <c r="J27" s="100">
        <v>0.13</v>
      </c>
      <c r="K27" s="100">
        <v>165.49</v>
      </c>
      <c r="L27" s="100">
        <v>15.36</v>
      </c>
      <c r="M27" s="100">
        <v>20.9</v>
      </c>
      <c r="N27" s="100">
        <v>1.4</v>
      </c>
      <c r="O27" s="100">
        <v>0</v>
      </c>
      <c r="P27" s="100">
        <v>0.66</v>
      </c>
      <c r="Q27" s="100">
        <v>9.49</v>
      </c>
      <c r="R27" s="6"/>
      <c r="S27" s="6"/>
      <c r="T27" s="156"/>
      <c r="U27" s="6"/>
    </row>
    <row r="28" spans="1:21" customFormat="1">
      <c r="A28" s="201" t="s">
        <v>1799</v>
      </c>
      <c r="B28" s="100">
        <v>10.16</v>
      </c>
      <c r="C28" s="100">
        <v>17.43</v>
      </c>
      <c r="D28" s="100">
        <v>17.260000000000002</v>
      </c>
      <c r="E28" s="100">
        <v>5.22</v>
      </c>
      <c r="F28" s="151" t="s">
        <v>8</v>
      </c>
      <c r="G28" s="100">
        <v>45.32</v>
      </c>
      <c r="H28" s="100">
        <v>14.93</v>
      </c>
      <c r="I28" s="100">
        <v>11.47</v>
      </c>
      <c r="J28" s="100">
        <v>0.14000000000000001</v>
      </c>
      <c r="K28" s="100">
        <v>186.55</v>
      </c>
      <c r="L28" s="100">
        <v>17.55</v>
      </c>
      <c r="M28" s="100">
        <v>26.37</v>
      </c>
      <c r="N28" s="100">
        <v>1.4</v>
      </c>
      <c r="O28" s="100">
        <v>0</v>
      </c>
      <c r="P28" s="100">
        <v>0.66</v>
      </c>
      <c r="Q28" s="100">
        <v>9.48</v>
      </c>
      <c r="R28" s="6"/>
      <c r="S28" s="6"/>
      <c r="T28" s="156"/>
      <c r="U28" s="6"/>
    </row>
    <row r="29" spans="1:21" customFormat="1">
      <c r="A29" s="201" t="s">
        <v>1800</v>
      </c>
      <c r="B29" s="100">
        <v>10.029999999999999</v>
      </c>
      <c r="C29" s="100">
        <v>17.32</v>
      </c>
      <c r="D29" s="100">
        <v>17.09</v>
      </c>
      <c r="E29" s="100">
        <v>5.21</v>
      </c>
      <c r="F29" s="151" t="s">
        <v>8</v>
      </c>
      <c r="G29" s="100">
        <v>45.32</v>
      </c>
      <c r="H29" s="100">
        <v>14.93</v>
      </c>
      <c r="I29" s="100">
        <v>11.28</v>
      </c>
      <c r="J29" s="100">
        <v>0.12</v>
      </c>
      <c r="K29" s="100">
        <v>207.69</v>
      </c>
      <c r="L29" s="100">
        <v>18.690000000000001</v>
      </c>
      <c r="M29" s="100">
        <v>29.2</v>
      </c>
      <c r="N29" s="100">
        <v>1.3</v>
      </c>
      <c r="O29" s="100">
        <v>0</v>
      </c>
      <c r="P29" s="100">
        <v>0.65</v>
      </c>
      <c r="Q29" s="100">
        <v>9.41</v>
      </c>
      <c r="R29" s="6"/>
      <c r="S29" s="6"/>
      <c r="T29" s="156"/>
      <c r="U29" s="6"/>
    </row>
    <row r="30" spans="1:21" customFormat="1">
      <c r="A30" s="201" t="s">
        <v>1801</v>
      </c>
      <c r="B30" s="100">
        <v>10.27</v>
      </c>
      <c r="C30" s="100">
        <v>17.45</v>
      </c>
      <c r="D30" s="100">
        <v>17.350000000000001</v>
      </c>
      <c r="E30" s="100">
        <v>5.15</v>
      </c>
      <c r="F30" s="151" t="s">
        <v>8</v>
      </c>
      <c r="G30" s="100">
        <v>45.32</v>
      </c>
      <c r="H30" s="100">
        <v>14.93</v>
      </c>
      <c r="I30" s="100">
        <v>11.11</v>
      </c>
      <c r="J30" s="100">
        <v>7.0000000000000007E-2</v>
      </c>
      <c r="K30" s="100">
        <v>183.7</v>
      </c>
      <c r="L30" s="100">
        <v>16.53</v>
      </c>
      <c r="M30" s="100">
        <v>23.78</v>
      </c>
      <c r="N30" s="100">
        <v>1.3</v>
      </c>
      <c r="O30" s="100">
        <v>0</v>
      </c>
      <c r="P30" s="100">
        <v>0.65</v>
      </c>
      <c r="Q30" s="100">
        <v>9.32</v>
      </c>
      <c r="R30" s="6"/>
      <c r="S30" s="6"/>
      <c r="T30" s="156"/>
      <c r="U30" s="6"/>
    </row>
    <row r="31" spans="1:21" customFormat="1">
      <c r="A31" s="201" t="s">
        <v>1802</v>
      </c>
      <c r="B31" s="100">
        <v>10.72</v>
      </c>
      <c r="C31" s="100">
        <v>17.77</v>
      </c>
      <c r="D31" s="100">
        <v>17.88</v>
      </c>
      <c r="E31" s="100">
        <v>5.24</v>
      </c>
      <c r="F31" s="151" t="s">
        <v>8</v>
      </c>
      <c r="G31" s="100">
        <v>45.14</v>
      </c>
      <c r="H31" s="100">
        <v>14.89</v>
      </c>
      <c r="I31" s="100">
        <v>11.01</v>
      </c>
      <c r="J31" s="100">
        <v>0.1</v>
      </c>
      <c r="K31" s="100">
        <v>197.15</v>
      </c>
      <c r="L31" s="100">
        <v>17.399999999999999</v>
      </c>
      <c r="M31" s="100">
        <v>25.98</v>
      </c>
      <c r="N31" s="100">
        <v>1.2</v>
      </c>
      <c r="O31" s="100">
        <v>0</v>
      </c>
      <c r="P31" s="100">
        <v>0.65</v>
      </c>
      <c r="Q31" s="100">
        <v>9.32</v>
      </c>
      <c r="R31" s="6"/>
      <c r="S31" s="6"/>
      <c r="T31" s="156"/>
      <c r="U31" s="6"/>
    </row>
    <row r="32" spans="1:21" customFormat="1">
      <c r="A32" s="201" t="s">
        <v>1803</v>
      </c>
      <c r="B32" s="100">
        <v>11.44</v>
      </c>
      <c r="C32" s="100">
        <v>17.86</v>
      </c>
      <c r="D32" s="100">
        <v>18.5</v>
      </c>
      <c r="E32" s="100">
        <v>5.38</v>
      </c>
      <c r="F32" s="151" t="s">
        <v>8</v>
      </c>
      <c r="G32" s="100">
        <v>43.33</v>
      </c>
      <c r="H32" s="100">
        <v>14.56</v>
      </c>
      <c r="I32" s="100">
        <v>10.92</v>
      </c>
      <c r="J32" s="100">
        <v>0.13</v>
      </c>
      <c r="K32" s="100">
        <v>203.73</v>
      </c>
      <c r="L32" s="100">
        <v>18.309999999999999</v>
      </c>
      <c r="M32" s="100">
        <v>28.25</v>
      </c>
      <c r="N32" s="100">
        <v>1.4</v>
      </c>
      <c r="O32" s="100">
        <v>0</v>
      </c>
      <c r="P32" s="100">
        <v>0.65</v>
      </c>
      <c r="Q32" s="100">
        <v>9.32</v>
      </c>
      <c r="R32" s="6"/>
      <c r="S32" s="6"/>
      <c r="T32" s="156"/>
      <c r="U32" s="6"/>
    </row>
    <row r="33" spans="1:21" customFormat="1">
      <c r="A33" s="201" t="s">
        <v>1804</v>
      </c>
      <c r="B33" s="100">
        <v>12.1</v>
      </c>
      <c r="C33" s="100">
        <v>18.100000000000001</v>
      </c>
      <c r="D33" s="100">
        <v>19.16</v>
      </c>
      <c r="E33" s="100">
        <v>5.03</v>
      </c>
      <c r="F33" s="151" t="s">
        <v>8</v>
      </c>
      <c r="G33" s="100">
        <v>43.33</v>
      </c>
      <c r="H33" s="100">
        <v>14.56</v>
      </c>
      <c r="I33" s="100">
        <v>10.79</v>
      </c>
      <c r="J33" s="100">
        <v>0.13</v>
      </c>
      <c r="K33" s="100">
        <v>212.77</v>
      </c>
      <c r="L33" s="100">
        <v>18.75</v>
      </c>
      <c r="M33" s="100">
        <v>29.33</v>
      </c>
      <c r="N33" s="100">
        <v>2.6</v>
      </c>
      <c r="O33" s="100">
        <v>0</v>
      </c>
      <c r="P33" s="100">
        <v>0.64</v>
      </c>
      <c r="Q33" s="100">
        <v>9.32</v>
      </c>
      <c r="R33" s="6"/>
      <c r="S33" s="6"/>
      <c r="T33" s="156"/>
      <c r="U33" s="6"/>
    </row>
    <row r="34" spans="1:21" customFormat="1">
      <c r="A34" s="201" t="s">
        <v>1805</v>
      </c>
      <c r="B34" s="100">
        <v>12.87</v>
      </c>
      <c r="C34" s="100">
        <v>18.41</v>
      </c>
      <c r="D34" s="100">
        <v>19.93</v>
      </c>
      <c r="E34" s="100">
        <v>5.09</v>
      </c>
      <c r="F34" s="151" t="s">
        <v>8</v>
      </c>
      <c r="G34" s="100">
        <v>43.33</v>
      </c>
      <c r="H34" s="100">
        <v>14.56</v>
      </c>
      <c r="I34" s="100">
        <v>10.7</v>
      </c>
      <c r="J34" s="100">
        <v>0.1</v>
      </c>
      <c r="K34" s="100">
        <v>188.23</v>
      </c>
      <c r="L34" s="100">
        <v>17.04</v>
      </c>
      <c r="M34" s="100">
        <v>24.93</v>
      </c>
      <c r="N34" s="100">
        <v>7.7</v>
      </c>
      <c r="O34" s="100">
        <v>0</v>
      </c>
      <c r="P34" s="100">
        <v>0.65</v>
      </c>
      <c r="Q34" s="100">
        <v>9.32</v>
      </c>
      <c r="R34" s="6"/>
      <c r="S34" s="6"/>
      <c r="T34" s="156"/>
      <c r="U34" s="6"/>
    </row>
    <row r="35" spans="1:21" customFormat="1">
      <c r="A35" s="201" t="s">
        <v>1806</v>
      </c>
      <c r="B35" s="100">
        <v>14.02</v>
      </c>
      <c r="C35" s="100">
        <v>18.600000000000001</v>
      </c>
      <c r="D35" s="100">
        <v>20.96</v>
      </c>
      <c r="E35" s="100">
        <v>4.8899999999999997</v>
      </c>
      <c r="F35" s="151" t="s">
        <v>8</v>
      </c>
      <c r="G35" s="100">
        <v>43.61</v>
      </c>
      <c r="H35" s="100">
        <v>14.53</v>
      </c>
      <c r="I35" s="100">
        <v>10.65</v>
      </c>
      <c r="J35" s="100">
        <v>7.0000000000000007E-2</v>
      </c>
      <c r="K35" s="100">
        <v>76.260000000000005</v>
      </c>
      <c r="L35" s="100">
        <v>15.73</v>
      </c>
      <c r="M35" s="100">
        <v>21.33</v>
      </c>
      <c r="N35" s="100">
        <v>16.899999999999999</v>
      </c>
      <c r="O35" s="100">
        <v>0</v>
      </c>
      <c r="P35" s="100">
        <v>0.66</v>
      </c>
      <c r="Q35" s="100">
        <v>9.32</v>
      </c>
      <c r="R35" s="6"/>
      <c r="S35" s="6"/>
      <c r="T35" s="156"/>
      <c r="U35" s="6"/>
    </row>
    <row r="36" spans="1:21" customFormat="1">
      <c r="A36" s="201" t="s">
        <v>1807</v>
      </c>
      <c r="B36" s="100">
        <v>14.78</v>
      </c>
      <c r="C36" s="100">
        <v>18.61</v>
      </c>
      <c r="D36" s="100">
        <v>21.58</v>
      </c>
      <c r="E36" s="100">
        <v>5.5</v>
      </c>
      <c r="F36" s="151" t="s">
        <v>8</v>
      </c>
      <c r="G36" s="100">
        <v>46.06</v>
      </c>
      <c r="H36" s="100">
        <v>14.3</v>
      </c>
      <c r="I36" s="100">
        <v>10.66</v>
      </c>
      <c r="J36" s="100">
        <v>0.31</v>
      </c>
      <c r="K36" s="100">
        <v>25.98</v>
      </c>
      <c r="L36" s="100">
        <v>11.73</v>
      </c>
      <c r="M36" s="100">
        <v>12.01</v>
      </c>
      <c r="N36" s="100">
        <v>28.8</v>
      </c>
      <c r="O36" s="100">
        <v>0</v>
      </c>
      <c r="P36" s="100">
        <v>0.66</v>
      </c>
      <c r="Q36" s="100">
        <v>9.32</v>
      </c>
      <c r="R36" s="6"/>
      <c r="S36" s="6"/>
      <c r="T36" s="156"/>
      <c r="U36" s="6"/>
    </row>
    <row r="37" spans="1:21" customFormat="1">
      <c r="A37" s="201" t="s">
        <v>1808</v>
      </c>
      <c r="B37" s="100">
        <v>15.31</v>
      </c>
      <c r="C37" s="100">
        <v>18.7</v>
      </c>
      <c r="D37" s="100">
        <v>22.05</v>
      </c>
      <c r="E37" s="100">
        <v>4.99</v>
      </c>
      <c r="F37" s="151" t="s">
        <v>8</v>
      </c>
      <c r="G37" s="100">
        <v>46.06</v>
      </c>
      <c r="H37" s="100">
        <v>14.3</v>
      </c>
      <c r="I37" s="100">
        <v>10.71</v>
      </c>
      <c r="J37" s="100">
        <v>0.31</v>
      </c>
      <c r="K37" s="100">
        <v>46.61</v>
      </c>
      <c r="L37" s="100">
        <v>9.5500000000000007</v>
      </c>
      <c r="M37" s="100">
        <v>5.01</v>
      </c>
      <c r="N37" s="100">
        <v>42</v>
      </c>
      <c r="O37" s="100">
        <v>0</v>
      </c>
      <c r="P37" s="100">
        <v>0.68</v>
      </c>
      <c r="Q37" s="100">
        <v>9.32</v>
      </c>
      <c r="R37" s="6"/>
      <c r="S37" s="6"/>
      <c r="T37" s="156"/>
      <c r="U37" s="6"/>
    </row>
    <row r="38" spans="1:21" customFormat="1">
      <c r="A38" s="201" t="s">
        <v>1809</v>
      </c>
      <c r="B38" s="100">
        <v>15.76</v>
      </c>
      <c r="C38" s="100">
        <v>18.940000000000001</v>
      </c>
      <c r="D38" s="100">
        <v>22.54</v>
      </c>
      <c r="E38" s="100">
        <v>5.18</v>
      </c>
      <c r="F38" s="151" t="s">
        <v>8</v>
      </c>
      <c r="G38" s="100">
        <v>46.06</v>
      </c>
      <c r="H38" s="100">
        <v>14.3</v>
      </c>
      <c r="I38" s="100">
        <v>10.83</v>
      </c>
      <c r="J38" s="100">
        <v>0.41</v>
      </c>
      <c r="K38" s="100">
        <v>25.55</v>
      </c>
      <c r="L38" s="100">
        <v>12.75</v>
      </c>
      <c r="M38" s="100">
        <v>12.63</v>
      </c>
      <c r="N38" s="100">
        <v>56</v>
      </c>
      <c r="O38" s="100">
        <v>0</v>
      </c>
      <c r="P38" s="100">
        <v>0.69</v>
      </c>
      <c r="Q38" s="100">
        <v>9.32</v>
      </c>
      <c r="R38" s="6"/>
      <c r="S38" s="6"/>
      <c r="T38" s="156"/>
      <c r="U38" s="6"/>
    </row>
    <row r="39" spans="1:21" customFormat="1">
      <c r="A39" s="201" t="s">
        <v>1810</v>
      </c>
      <c r="B39" s="100">
        <v>15.69</v>
      </c>
      <c r="C39" s="100">
        <v>19.190000000000001</v>
      </c>
      <c r="D39" s="100">
        <v>22.61</v>
      </c>
      <c r="E39" s="100">
        <v>5.23</v>
      </c>
      <c r="F39" s="151" t="s">
        <v>8</v>
      </c>
      <c r="G39" s="100">
        <v>46.45</v>
      </c>
      <c r="H39" s="100">
        <v>14.37</v>
      </c>
      <c r="I39" s="100">
        <v>11.03</v>
      </c>
      <c r="J39" s="100">
        <v>0.59</v>
      </c>
      <c r="K39" s="100">
        <v>36.24</v>
      </c>
      <c r="L39" s="100">
        <v>9.61</v>
      </c>
      <c r="M39" s="100">
        <v>3.78</v>
      </c>
      <c r="N39" s="100">
        <v>70.3</v>
      </c>
      <c r="O39" s="100">
        <v>0</v>
      </c>
      <c r="P39" s="100">
        <v>0.68</v>
      </c>
      <c r="Q39" s="100">
        <v>9.32</v>
      </c>
      <c r="R39" s="6"/>
      <c r="S39" s="6"/>
      <c r="T39" s="156"/>
      <c r="U39" s="6"/>
    </row>
    <row r="40" spans="1:21" customFormat="1">
      <c r="A40" s="201" t="s">
        <v>1811</v>
      </c>
      <c r="B40" s="100">
        <v>15.27</v>
      </c>
      <c r="C40" s="100">
        <v>19.52</v>
      </c>
      <c r="D40" s="100">
        <v>22.45</v>
      </c>
      <c r="E40" s="100">
        <v>5.17</v>
      </c>
      <c r="F40" s="151" t="s">
        <v>8</v>
      </c>
      <c r="G40" s="100">
        <v>49.89</v>
      </c>
      <c r="H40" s="100">
        <v>14.9</v>
      </c>
      <c r="I40" s="100">
        <v>11.32</v>
      </c>
      <c r="J40" s="100">
        <v>0.84</v>
      </c>
      <c r="K40" s="100">
        <v>36.78</v>
      </c>
      <c r="L40" s="100">
        <v>7.87</v>
      </c>
      <c r="M40" s="100">
        <v>3.78</v>
      </c>
      <c r="N40" s="100">
        <v>149.1</v>
      </c>
      <c r="O40" s="100">
        <v>0</v>
      </c>
      <c r="P40" s="100">
        <v>0.69</v>
      </c>
      <c r="Q40" s="100">
        <v>9.32</v>
      </c>
      <c r="R40" s="6"/>
      <c r="S40" s="6"/>
      <c r="T40" s="156"/>
      <c r="U40" s="6"/>
    </row>
    <row r="41" spans="1:21" customFormat="1">
      <c r="A41" s="201" t="s">
        <v>1812</v>
      </c>
      <c r="B41" s="100">
        <v>14.69</v>
      </c>
      <c r="C41" s="100">
        <v>19.93</v>
      </c>
      <c r="D41" s="100">
        <v>22.19</v>
      </c>
      <c r="E41" s="100">
        <v>4.9000000000000004</v>
      </c>
      <c r="F41" s="151" t="s">
        <v>8</v>
      </c>
      <c r="G41" s="100">
        <v>49.89</v>
      </c>
      <c r="H41" s="100">
        <v>14.9</v>
      </c>
      <c r="I41" s="100">
        <v>11.7</v>
      </c>
      <c r="J41" s="100">
        <v>0.74</v>
      </c>
      <c r="K41" s="100">
        <v>21.61</v>
      </c>
      <c r="L41" s="100">
        <v>12.85</v>
      </c>
      <c r="M41" s="100">
        <v>9</v>
      </c>
      <c r="N41" s="100">
        <v>193.2</v>
      </c>
      <c r="O41" s="100">
        <v>0</v>
      </c>
      <c r="P41" s="100">
        <v>0.7</v>
      </c>
      <c r="Q41" s="100">
        <v>9.32</v>
      </c>
      <c r="R41" s="6"/>
      <c r="S41" s="6"/>
      <c r="T41" s="156"/>
      <c r="U41" s="6"/>
    </row>
    <row r="42" spans="1:21" customFormat="1">
      <c r="A42" s="201" t="s">
        <v>1813</v>
      </c>
      <c r="B42" s="100">
        <v>14.09</v>
      </c>
      <c r="C42" s="100">
        <v>20.05</v>
      </c>
      <c r="D42" s="100">
        <v>21.77</v>
      </c>
      <c r="E42" s="100">
        <v>5.0199999999999996</v>
      </c>
      <c r="F42" s="151" t="s">
        <v>8</v>
      </c>
      <c r="G42" s="100">
        <v>49.89</v>
      </c>
      <c r="H42" s="100">
        <v>14.9</v>
      </c>
      <c r="I42" s="100">
        <v>12.09</v>
      </c>
      <c r="J42" s="100">
        <v>0.68</v>
      </c>
      <c r="K42" s="100">
        <v>32.36</v>
      </c>
      <c r="L42" s="100">
        <v>11.68</v>
      </c>
      <c r="M42" s="100">
        <v>5.91</v>
      </c>
      <c r="N42" s="100">
        <v>230.4</v>
      </c>
      <c r="O42" s="100">
        <v>0</v>
      </c>
      <c r="P42" s="100">
        <v>0.7</v>
      </c>
      <c r="Q42" s="100">
        <v>9.32</v>
      </c>
      <c r="R42" s="6"/>
      <c r="S42" s="6"/>
      <c r="T42" s="156"/>
      <c r="U42" s="6"/>
    </row>
    <row r="43" spans="1:21" customFormat="1">
      <c r="A43" s="201" t="s">
        <v>1814</v>
      </c>
      <c r="B43" s="100">
        <v>13.6</v>
      </c>
      <c r="C43" s="100">
        <v>20.03</v>
      </c>
      <c r="D43" s="100">
        <v>21.37</v>
      </c>
      <c r="E43" s="100">
        <v>5.31</v>
      </c>
      <c r="F43" s="151" t="s">
        <v>8</v>
      </c>
      <c r="G43" s="100">
        <v>50.12</v>
      </c>
      <c r="H43" s="100">
        <v>15.02</v>
      </c>
      <c r="I43" s="100">
        <v>12.3</v>
      </c>
      <c r="J43" s="100">
        <v>0.65</v>
      </c>
      <c r="K43" s="100">
        <v>42.3</v>
      </c>
      <c r="L43" s="100">
        <v>12.52</v>
      </c>
      <c r="M43" s="100">
        <v>7.13</v>
      </c>
      <c r="N43" s="100">
        <v>267.3</v>
      </c>
      <c r="O43" s="100">
        <v>0</v>
      </c>
      <c r="P43" s="100">
        <v>0.7</v>
      </c>
      <c r="Q43" s="100">
        <v>9.32</v>
      </c>
      <c r="R43" s="6"/>
      <c r="S43" s="6"/>
      <c r="T43" s="156"/>
      <c r="U43" s="6"/>
    </row>
    <row r="44" spans="1:21" customFormat="1">
      <c r="A44" s="201" t="s">
        <v>1815</v>
      </c>
      <c r="B44" s="100">
        <v>13.14</v>
      </c>
      <c r="C44" s="100">
        <v>19.989999999999998</v>
      </c>
      <c r="D44" s="100">
        <v>20.99</v>
      </c>
      <c r="E44" s="100">
        <v>5.32</v>
      </c>
      <c r="F44" s="151" t="s">
        <v>8</v>
      </c>
      <c r="G44" s="100">
        <v>52.18</v>
      </c>
      <c r="H44" s="100">
        <v>16.05</v>
      </c>
      <c r="I44" s="100">
        <v>12.24</v>
      </c>
      <c r="J44" s="100">
        <v>0.72</v>
      </c>
      <c r="K44" s="100">
        <v>33.82</v>
      </c>
      <c r="L44" s="100">
        <v>12.04</v>
      </c>
      <c r="M44" s="100">
        <v>5.12</v>
      </c>
      <c r="N44" s="100">
        <v>303.8</v>
      </c>
      <c r="O44" s="100">
        <v>0</v>
      </c>
      <c r="P44" s="100">
        <v>0.7</v>
      </c>
      <c r="Q44" s="100">
        <v>9.32</v>
      </c>
      <c r="R44" s="6"/>
      <c r="S44" s="6"/>
      <c r="T44" s="156"/>
      <c r="U44" s="6"/>
    </row>
    <row r="45" spans="1:21" customFormat="1">
      <c r="A45" s="201" t="s">
        <v>1816</v>
      </c>
      <c r="B45" s="100">
        <v>12.66</v>
      </c>
      <c r="C45" s="100">
        <v>20.079999999999998</v>
      </c>
      <c r="D45" s="100">
        <v>20.64</v>
      </c>
      <c r="E45" s="100">
        <v>4.96</v>
      </c>
      <c r="F45" s="151" t="s">
        <v>8</v>
      </c>
      <c r="G45" s="100">
        <v>52.18</v>
      </c>
      <c r="H45" s="100">
        <v>16.05</v>
      </c>
      <c r="I45" s="100">
        <v>12.14</v>
      </c>
      <c r="J45" s="100">
        <v>0.95</v>
      </c>
      <c r="K45" s="100">
        <v>42.44</v>
      </c>
      <c r="L45" s="100">
        <v>11.18</v>
      </c>
      <c r="M45" s="100">
        <v>2.11</v>
      </c>
      <c r="N45" s="100">
        <v>339.3</v>
      </c>
      <c r="O45" s="100">
        <v>0</v>
      </c>
      <c r="P45" s="100">
        <v>0.7</v>
      </c>
      <c r="Q45" s="100">
        <v>9.32</v>
      </c>
      <c r="R45" s="6"/>
      <c r="S45" s="6"/>
      <c r="T45" s="156"/>
      <c r="U45" s="6"/>
    </row>
    <row r="46" spans="1:21" customFormat="1">
      <c r="A46" s="201" t="s">
        <v>1817</v>
      </c>
      <c r="B46" s="100">
        <v>12.04</v>
      </c>
      <c r="C46" s="100">
        <v>20.41</v>
      </c>
      <c r="D46" s="100">
        <v>20.32</v>
      </c>
      <c r="E46" s="100">
        <v>5.26</v>
      </c>
      <c r="F46" s="151" t="s">
        <v>8</v>
      </c>
      <c r="G46" s="100">
        <v>52.18</v>
      </c>
      <c r="H46" s="100">
        <v>16.05</v>
      </c>
      <c r="I46" s="100">
        <v>12.07</v>
      </c>
      <c r="J46" s="100">
        <v>0.77</v>
      </c>
      <c r="K46" s="100">
        <v>47.85</v>
      </c>
      <c r="L46" s="100">
        <v>11.91</v>
      </c>
      <c r="M46" s="100">
        <v>3.27</v>
      </c>
      <c r="N46" s="100">
        <v>368.6</v>
      </c>
      <c r="O46" s="100">
        <v>0</v>
      </c>
      <c r="P46" s="100">
        <v>0.69</v>
      </c>
      <c r="Q46" s="100">
        <v>9.32</v>
      </c>
      <c r="R46" s="6"/>
      <c r="S46" s="6"/>
      <c r="T46" s="156"/>
      <c r="U46" s="6"/>
    </row>
    <row r="47" spans="1:21" customFormat="1">
      <c r="A47" s="201" t="s">
        <v>1818</v>
      </c>
      <c r="B47" s="100">
        <v>11.26</v>
      </c>
      <c r="C47" s="100">
        <v>20.69</v>
      </c>
      <c r="D47" s="100">
        <v>19.84</v>
      </c>
      <c r="E47" s="100">
        <v>5.53</v>
      </c>
      <c r="F47" s="151" t="s">
        <v>8</v>
      </c>
      <c r="G47" s="100">
        <v>52.03</v>
      </c>
      <c r="H47" s="100">
        <v>15.93</v>
      </c>
      <c r="I47" s="100">
        <v>11.95</v>
      </c>
      <c r="J47" s="100">
        <v>0.41</v>
      </c>
      <c r="K47" s="100">
        <v>75.989999999999995</v>
      </c>
      <c r="L47" s="100">
        <v>13.73</v>
      </c>
      <c r="M47" s="100">
        <v>9.5</v>
      </c>
      <c r="N47" s="100">
        <v>274.2</v>
      </c>
      <c r="O47" s="100">
        <v>0</v>
      </c>
      <c r="P47" s="100">
        <v>0.69</v>
      </c>
      <c r="Q47" s="100">
        <v>9.32</v>
      </c>
      <c r="R47" s="6"/>
      <c r="S47" s="6"/>
      <c r="T47" s="156"/>
      <c r="U47" s="6"/>
    </row>
    <row r="48" spans="1:21" customFormat="1">
      <c r="A48" s="201" t="s">
        <v>1819</v>
      </c>
      <c r="B48" s="100">
        <v>10.44</v>
      </c>
      <c r="C48" s="100">
        <v>21.02</v>
      </c>
      <c r="D48" s="100">
        <v>19.36</v>
      </c>
      <c r="E48" s="100">
        <v>5.57</v>
      </c>
      <c r="F48" s="151" t="s">
        <v>8</v>
      </c>
      <c r="G48" s="100">
        <v>50.69</v>
      </c>
      <c r="H48" s="100">
        <v>14.98</v>
      </c>
      <c r="I48" s="100">
        <v>11.82</v>
      </c>
      <c r="J48" s="100">
        <v>0.87</v>
      </c>
      <c r="K48" s="100">
        <v>50.32</v>
      </c>
      <c r="L48" s="100">
        <v>12.65</v>
      </c>
      <c r="M48" s="100">
        <v>5.24</v>
      </c>
      <c r="N48" s="100">
        <v>364.8</v>
      </c>
      <c r="O48" s="100">
        <v>0</v>
      </c>
      <c r="P48" s="100">
        <v>0.69</v>
      </c>
      <c r="Q48" s="100">
        <v>9.32</v>
      </c>
      <c r="R48" s="6"/>
      <c r="S48" s="6"/>
      <c r="T48" s="156"/>
      <c r="U48" s="6"/>
    </row>
    <row r="49" spans="1:21" customFormat="1">
      <c r="A49" s="201" t="s">
        <v>1820</v>
      </c>
      <c r="B49" s="100">
        <v>9.7200000000000006</v>
      </c>
      <c r="C49" s="100">
        <v>21.28</v>
      </c>
      <c r="D49" s="100">
        <v>18.920000000000002</v>
      </c>
      <c r="E49" s="100">
        <v>5.12</v>
      </c>
      <c r="F49" s="151" t="s">
        <v>8</v>
      </c>
      <c r="G49" s="100">
        <v>50.69</v>
      </c>
      <c r="H49" s="100">
        <v>14.98</v>
      </c>
      <c r="I49" s="100">
        <v>11.68</v>
      </c>
      <c r="J49" s="100">
        <v>0.65</v>
      </c>
      <c r="K49" s="100">
        <v>57.16</v>
      </c>
      <c r="L49" s="100">
        <v>14.23</v>
      </c>
      <c r="M49" s="100">
        <v>6.52</v>
      </c>
      <c r="N49" s="100">
        <v>481.6</v>
      </c>
      <c r="O49" s="100">
        <v>0</v>
      </c>
      <c r="P49" s="100">
        <v>0.69</v>
      </c>
      <c r="Q49" s="100">
        <v>9.32</v>
      </c>
      <c r="R49" s="6"/>
      <c r="S49" s="6"/>
      <c r="T49" s="156"/>
      <c r="U49" s="6"/>
    </row>
    <row r="50" spans="1:21" customFormat="1">
      <c r="A50" s="201" t="s">
        <v>1821</v>
      </c>
      <c r="B50" s="100">
        <v>8.66</v>
      </c>
      <c r="C50" s="100">
        <v>21.41</v>
      </c>
      <c r="D50" s="100">
        <v>18.13</v>
      </c>
      <c r="E50" s="100">
        <v>6.1</v>
      </c>
      <c r="F50" s="151" t="s">
        <v>8</v>
      </c>
      <c r="G50" s="100">
        <v>50.69</v>
      </c>
      <c r="H50" s="100">
        <v>14.98</v>
      </c>
      <c r="I50" s="100">
        <v>11.54</v>
      </c>
      <c r="J50" s="100">
        <v>0.45</v>
      </c>
      <c r="K50" s="100">
        <v>78.709999999999994</v>
      </c>
      <c r="L50" s="100">
        <v>15.68</v>
      </c>
      <c r="M50" s="100">
        <v>9.3000000000000007</v>
      </c>
      <c r="N50" s="100">
        <v>521.70000000000005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201" t="s">
        <v>1822</v>
      </c>
      <c r="B51" s="100">
        <v>7.28</v>
      </c>
      <c r="C51" s="100">
        <v>21.38</v>
      </c>
      <c r="D51" s="100">
        <v>17</v>
      </c>
      <c r="E51" s="100">
        <v>5.87</v>
      </c>
      <c r="F51" s="151" t="s">
        <v>8</v>
      </c>
      <c r="G51" s="100">
        <v>50.27</v>
      </c>
      <c r="H51" s="100">
        <v>15.03</v>
      </c>
      <c r="I51" s="100">
        <v>11.42</v>
      </c>
      <c r="J51" s="100">
        <v>0.42</v>
      </c>
      <c r="K51" s="100">
        <v>74.72</v>
      </c>
      <c r="L51" s="100">
        <v>16.96</v>
      </c>
      <c r="M51" s="100">
        <v>11.95</v>
      </c>
      <c r="N51" s="100">
        <v>544.4</v>
      </c>
      <c r="O51" s="100">
        <v>0</v>
      </c>
      <c r="P51" s="100">
        <v>0.67</v>
      </c>
      <c r="Q51" s="100">
        <v>9.32</v>
      </c>
      <c r="R51" s="6"/>
      <c r="S51" s="6"/>
      <c r="T51" s="156"/>
      <c r="U51" s="6"/>
    </row>
    <row r="52" spans="1:21" customFormat="1">
      <c r="A52" s="201" t="s">
        <v>1823</v>
      </c>
      <c r="B52" s="100">
        <v>5.89</v>
      </c>
      <c r="C52" s="100">
        <v>21.22</v>
      </c>
      <c r="D52" s="100">
        <v>15.82</v>
      </c>
      <c r="E52" s="100">
        <v>5.74</v>
      </c>
      <c r="F52" s="151" t="s">
        <v>8</v>
      </c>
      <c r="G52" s="100">
        <v>46.47</v>
      </c>
      <c r="H52" s="100">
        <v>15.47</v>
      </c>
      <c r="I52" s="100">
        <v>11.25</v>
      </c>
      <c r="J52" s="100">
        <v>0.28999999999999998</v>
      </c>
      <c r="K52" s="100">
        <v>72.599999999999994</v>
      </c>
      <c r="L52" s="100">
        <v>16.649999999999999</v>
      </c>
      <c r="M52" s="100">
        <v>11.95</v>
      </c>
      <c r="N52" s="100">
        <v>510.9</v>
      </c>
      <c r="O52" s="100">
        <v>0</v>
      </c>
      <c r="P52" s="100">
        <v>0.65</v>
      </c>
      <c r="Q52" s="100">
        <v>9.32</v>
      </c>
      <c r="R52" s="6"/>
      <c r="S52" s="6"/>
      <c r="T52" s="156"/>
      <c r="U52" s="6"/>
    </row>
    <row r="53" spans="1:21" customFormat="1">
      <c r="A53" s="201" t="s">
        <v>1824</v>
      </c>
      <c r="B53" s="100">
        <v>4.79</v>
      </c>
      <c r="C53" s="100">
        <v>21.04</v>
      </c>
      <c r="D53" s="100">
        <v>14.83</v>
      </c>
      <c r="E53" s="100">
        <v>5.98</v>
      </c>
      <c r="F53" s="151" t="s">
        <v>8</v>
      </c>
      <c r="G53" s="100">
        <v>46.47</v>
      </c>
      <c r="H53" s="100">
        <v>15.47</v>
      </c>
      <c r="I53" s="100">
        <v>11.03</v>
      </c>
      <c r="J53" s="100">
        <v>0.54</v>
      </c>
      <c r="K53" s="100">
        <v>39.51</v>
      </c>
      <c r="L53" s="100">
        <v>16.440000000000001</v>
      </c>
      <c r="M53" s="100">
        <v>9.86</v>
      </c>
      <c r="N53" s="100">
        <v>573.5</v>
      </c>
      <c r="O53" s="100">
        <v>0</v>
      </c>
      <c r="P53" s="100">
        <v>0.65</v>
      </c>
      <c r="Q53" s="100">
        <v>9.32</v>
      </c>
      <c r="R53" s="6"/>
      <c r="S53" s="6"/>
      <c r="T53" s="156"/>
      <c r="U53" s="6"/>
    </row>
    <row r="54" spans="1:21" customFormat="1">
      <c r="A54" s="201" t="s">
        <v>1825</v>
      </c>
      <c r="B54" s="100">
        <v>3.98</v>
      </c>
      <c r="C54" s="100">
        <v>20.93</v>
      </c>
      <c r="D54" s="100">
        <v>14.13</v>
      </c>
      <c r="E54" s="100">
        <v>5.96</v>
      </c>
      <c r="F54" s="151" t="s">
        <v>8</v>
      </c>
      <c r="G54" s="100">
        <v>46.47</v>
      </c>
      <c r="H54" s="100">
        <v>15.47</v>
      </c>
      <c r="I54" s="100">
        <v>10.92</v>
      </c>
      <c r="J54" s="100">
        <v>0.47</v>
      </c>
      <c r="K54" s="100">
        <v>57.23</v>
      </c>
      <c r="L54" s="100">
        <v>16.34</v>
      </c>
      <c r="M54" s="100">
        <v>9.34</v>
      </c>
      <c r="N54" s="100">
        <v>588.79999999999995</v>
      </c>
      <c r="O54" s="100">
        <v>0</v>
      </c>
      <c r="P54" s="100">
        <v>0.65</v>
      </c>
      <c r="Q54" s="100">
        <v>9.32</v>
      </c>
      <c r="R54" s="6"/>
      <c r="S54" s="6"/>
      <c r="T54" s="156"/>
      <c r="U54" s="6"/>
    </row>
    <row r="55" spans="1:21" customFormat="1">
      <c r="A55" s="201" t="s">
        <v>1826</v>
      </c>
      <c r="B55" s="100">
        <v>3.3</v>
      </c>
      <c r="C55" s="100">
        <v>20.34</v>
      </c>
      <c r="D55" s="100">
        <v>13.27</v>
      </c>
      <c r="E55" s="100">
        <v>5.91</v>
      </c>
      <c r="F55" s="151" t="s">
        <v>8</v>
      </c>
      <c r="G55" s="100">
        <v>46.02</v>
      </c>
      <c r="H55" s="100">
        <v>15.33</v>
      </c>
      <c r="I55" s="100">
        <v>10.85</v>
      </c>
      <c r="J55" s="100">
        <v>0.48</v>
      </c>
      <c r="K55" s="100">
        <v>170.31</v>
      </c>
      <c r="L55" s="100">
        <v>20.96</v>
      </c>
      <c r="M55" s="100">
        <v>21.21</v>
      </c>
      <c r="N55" s="100">
        <v>585.5</v>
      </c>
      <c r="O55" s="100">
        <v>0</v>
      </c>
      <c r="P55" s="100">
        <v>0.64</v>
      </c>
      <c r="Q55" s="100">
        <v>9.32</v>
      </c>
      <c r="R55" s="6"/>
      <c r="S55" s="6"/>
      <c r="T55" s="156"/>
      <c r="U55" s="6"/>
    </row>
    <row r="56" spans="1:21" customFormat="1">
      <c r="A56" s="201" t="s">
        <v>1827</v>
      </c>
      <c r="B56" s="100">
        <v>2.71</v>
      </c>
      <c r="C56" s="100">
        <v>19.52</v>
      </c>
      <c r="D56" s="100">
        <v>12.38</v>
      </c>
      <c r="E56" s="100">
        <v>5.79</v>
      </c>
      <c r="F56" s="151" t="s">
        <v>8</v>
      </c>
      <c r="G56" s="100">
        <v>41.94</v>
      </c>
      <c r="H56" s="100">
        <v>14.14</v>
      </c>
      <c r="I56" s="100">
        <v>10.56</v>
      </c>
      <c r="J56" s="100">
        <v>0.37</v>
      </c>
      <c r="K56" s="100">
        <v>108.23</v>
      </c>
      <c r="L56" s="100">
        <v>17.68</v>
      </c>
      <c r="M56" s="100">
        <v>12.68</v>
      </c>
      <c r="N56" s="100">
        <v>594.29999999999995</v>
      </c>
      <c r="O56" s="100">
        <v>0</v>
      </c>
      <c r="P56" s="100">
        <v>0.63</v>
      </c>
      <c r="Q56" s="100">
        <v>9.32</v>
      </c>
      <c r="R56" s="6"/>
      <c r="S56" s="6"/>
      <c r="T56" s="156"/>
      <c r="U56" s="6"/>
    </row>
    <row r="57" spans="1:21" customFormat="1">
      <c r="A57" s="201" t="s">
        <v>1828</v>
      </c>
      <c r="B57" s="100">
        <v>2.34</v>
      </c>
      <c r="C57" s="100">
        <v>18.77</v>
      </c>
      <c r="D57" s="100">
        <v>11.68</v>
      </c>
      <c r="E57" s="100">
        <v>6.02</v>
      </c>
      <c r="F57" s="151" t="s">
        <v>8</v>
      </c>
      <c r="G57" s="100">
        <v>41.94</v>
      </c>
      <c r="H57" s="100">
        <v>14.14</v>
      </c>
      <c r="I57" s="100">
        <v>10.33</v>
      </c>
      <c r="J57" s="100">
        <v>0.4</v>
      </c>
      <c r="K57" s="100">
        <v>76.650000000000006</v>
      </c>
      <c r="L57" s="100">
        <v>17.45</v>
      </c>
      <c r="M57" s="100">
        <v>12.04</v>
      </c>
      <c r="N57" s="100">
        <v>590.9</v>
      </c>
      <c r="O57" s="100">
        <v>0</v>
      </c>
      <c r="P57" s="100">
        <v>0.61</v>
      </c>
      <c r="Q57" s="100">
        <v>9.32</v>
      </c>
      <c r="R57" s="6"/>
      <c r="S57" s="6"/>
      <c r="T57" s="156"/>
      <c r="U57" s="6"/>
    </row>
    <row r="58" spans="1:21" customFormat="1">
      <c r="A58" s="201" t="s">
        <v>1829</v>
      </c>
      <c r="B58" s="100">
        <v>2.08</v>
      </c>
      <c r="C58" s="100">
        <v>17.97</v>
      </c>
      <c r="D58" s="100">
        <v>11.06</v>
      </c>
      <c r="E58" s="100">
        <v>5.98</v>
      </c>
      <c r="F58" s="151" t="s">
        <v>8</v>
      </c>
      <c r="G58" s="100">
        <v>41.94</v>
      </c>
      <c r="H58" s="100">
        <v>14.14</v>
      </c>
      <c r="I58" s="100">
        <v>10.24</v>
      </c>
      <c r="J58" s="100">
        <v>0.23</v>
      </c>
      <c r="K58" s="100">
        <v>140.16</v>
      </c>
      <c r="L58" s="100">
        <v>20.36</v>
      </c>
      <c r="M58" s="100">
        <v>19.41</v>
      </c>
      <c r="N58" s="100">
        <v>592.6</v>
      </c>
      <c r="O58" s="100">
        <v>0</v>
      </c>
      <c r="P58" s="100">
        <v>0.6</v>
      </c>
      <c r="Q58" s="100">
        <v>9.32</v>
      </c>
      <c r="R58" s="6"/>
      <c r="S58" s="6"/>
      <c r="T58" s="156"/>
      <c r="U58" s="6"/>
    </row>
    <row r="59" spans="1:21" customFormat="1">
      <c r="A59" s="201" t="s">
        <v>1830</v>
      </c>
      <c r="B59" s="100">
        <v>1.91</v>
      </c>
      <c r="C59" s="100">
        <v>17.149999999999999</v>
      </c>
      <c r="D59" s="100">
        <v>10.49</v>
      </c>
      <c r="E59" s="100">
        <v>5.77</v>
      </c>
      <c r="F59" s="151" t="s">
        <v>8</v>
      </c>
      <c r="G59" s="100">
        <v>41.24</v>
      </c>
      <c r="H59" s="100">
        <v>13.99</v>
      </c>
      <c r="I59" s="100">
        <v>10.07</v>
      </c>
      <c r="J59" s="100">
        <v>0.09</v>
      </c>
      <c r="K59" s="100">
        <v>77.36</v>
      </c>
      <c r="L59" s="100">
        <v>20.36</v>
      </c>
      <c r="M59" s="100">
        <v>19.920000000000002</v>
      </c>
      <c r="N59" s="100">
        <v>568.20000000000005</v>
      </c>
      <c r="O59" s="100">
        <v>0</v>
      </c>
      <c r="P59" s="100">
        <v>0.59</v>
      </c>
      <c r="Q59" s="100">
        <v>9.32</v>
      </c>
      <c r="R59" s="6"/>
      <c r="S59" s="6"/>
      <c r="T59" s="156"/>
      <c r="U59" s="6"/>
    </row>
    <row r="60" spans="1:21" customFormat="1">
      <c r="A60" s="201" t="s">
        <v>1831</v>
      </c>
      <c r="B60" s="100">
        <v>1.98</v>
      </c>
      <c r="C60" s="100">
        <v>16.5</v>
      </c>
      <c r="D60" s="100">
        <v>10.210000000000001</v>
      </c>
      <c r="E60" s="100">
        <v>6.25</v>
      </c>
      <c r="F60" s="151" t="s">
        <v>8</v>
      </c>
      <c r="G60" s="100">
        <v>34.94</v>
      </c>
      <c r="H60" s="100">
        <v>12.75</v>
      </c>
      <c r="I60" s="100">
        <v>9.89</v>
      </c>
      <c r="J60" s="100">
        <v>0.14000000000000001</v>
      </c>
      <c r="K60" s="100">
        <v>250.83</v>
      </c>
      <c r="L60" s="100">
        <v>23.91</v>
      </c>
      <c r="M60" s="100">
        <v>29.48</v>
      </c>
      <c r="N60" s="100">
        <v>539.1</v>
      </c>
      <c r="O60" s="100">
        <v>0</v>
      </c>
      <c r="P60" s="100">
        <v>0.61</v>
      </c>
      <c r="Q60" s="100">
        <v>9.32</v>
      </c>
      <c r="R60" s="6"/>
      <c r="S60" s="6"/>
      <c r="T60" s="156"/>
      <c r="U60" s="6"/>
    </row>
    <row r="61" spans="1:21" customFormat="1">
      <c r="A61" s="201" t="s">
        <v>1832</v>
      </c>
      <c r="B61" s="100">
        <v>2</v>
      </c>
      <c r="C61" s="100">
        <v>15.8</v>
      </c>
      <c r="D61" s="100">
        <v>9.86</v>
      </c>
      <c r="E61" s="100">
        <v>6.06</v>
      </c>
      <c r="F61" s="151" t="s">
        <v>8</v>
      </c>
      <c r="G61" s="100">
        <v>34.94</v>
      </c>
      <c r="H61" s="100">
        <v>12.75</v>
      </c>
      <c r="I61" s="100">
        <v>9.7100000000000009</v>
      </c>
      <c r="J61" s="100">
        <v>0.02</v>
      </c>
      <c r="K61" s="100">
        <v>136.58000000000001</v>
      </c>
      <c r="L61" s="100">
        <v>21.23</v>
      </c>
      <c r="M61" s="100">
        <v>23.75</v>
      </c>
      <c r="N61" s="100">
        <v>495.4</v>
      </c>
      <c r="O61" s="100">
        <v>0</v>
      </c>
      <c r="P61" s="100">
        <v>0.61</v>
      </c>
      <c r="Q61" s="100">
        <v>9.32</v>
      </c>
      <c r="R61" s="6"/>
      <c r="S61" s="6"/>
      <c r="T61" s="156"/>
      <c r="U61" s="6"/>
    </row>
    <row r="62" spans="1:21" customFormat="1">
      <c r="A62" s="201" t="s">
        <v>1833</v>
      </c>
      <c r="B62" s="100">
        <v>1.99</v>
      </c>
      <c r="C62" s="100">
        <v>15.23</v>
      </c>
      <c r="D62" s="100">
        <v>9.56</v>
      </c>
      <c r="E62" s="100">
        <v>6.66</v>
      </c>
      <c r="F62" s="151" t="s">
        <v>8</v>
      </c>
      <c r="G62" s="100">
        <v>34.94</v>
      </c>
      <c r="H62" s="100">
        <v>12.75</v>
      </c>
      <c r="I62" s="100">
        <v>9.59</v>
      </c>
      <c r="J62" s="100">
        <v>0.22</v>
      </c>
      <c r="K62" s="100">
        <v>154.13</v>
      </c>
      <c r="L62" s="100">
        <v>16.61</v>
      </c>
      <c r="M62" s="100">
        <v>18.7</v>
      </c>
      <c r="N62" s="100">
        <v>215.4</v>
      </c>
      <c r="O62" s="100">
        <v>0</v>
      </c>
      <c r="P62" s="100">
        <v>0.59</v>
      </c>
      <c r="Q62" s="100">
        <v>9.32</v>
      </c>
      <c r="R62" s="6"/>
      <c r="S62" s="6"/>
      <c r="T62" s="156"/>
      <c r="U62" s="6"/>
    </row>
    <row r="63" spans="1:21" customFormat="1">
      <c r="A63" s="201" t="s">
        <v>1834</v>
      </c>
      <c r="B63" s="100">
        <v>1.99</v>
      </c>
      <c r="C63" s="100">
        <v>14.75</v>
      </c>
      <c r="D63" s="100">
        <v>9.31</v>
      </c>
      <c r="E63" s="100">
        <v>6.26</v>
      </c>
      <c r="F63" s="151" t="s">
        <v>8</v>
      </c>
      <c r="G63" s="100">
        <v>34.659999999999997</v>
      </c>
      <c r="H63" s="100">
        <v>12.64</v>
      </c>
      <c r="I63" s="100">
        <v>9.48</v>
      </c>
      <c r="J63" s="100">
        <v>0.33</v>
      </c>
      <c r="K63" s="100">
        <v>150.19</v>
      </c>
      <c r="L63" s="100">
        <v>16.38</v>
      </c>
      <c r="M63" s="100">
        <v>17.690000000000001</v>
      </c>
      <c r="N63" s="100">
        <v>237.6</v>
      </c>
      <c r="O63" s="100">
        <v>0</v>
      </c>
      <c r="P63" s="100">
        <v>0.59</v>
      </c>
      <c r="Q63" s="100">
        <v>9.32</v>
      </c>
      <c r="R63" s="6"/>
      <c r="S63" s="6"/>
      <c r="T63" s="156"/>
      <c r="U63" s="6"/>
    </row>
    <row r="64" spans="1:21" customFormat="1">
      <c r="A64" s="201" t="s">
        <v>1835</v>
      </c>
      <c r="B64" s="100">
        <v>2.0299999999999998</v>
      </c>
      <c r="C64" s="100">
        <v>14.43</v>
      </c>
      <c r="D64" s="100">
        <v>9.17</v>
      </c>
      <c r="E64" s="100">
        <v>6.35</v>
      </c>
      <c r="F64" s="151" t="s">
        <v>8</v>
      </c>
      <c r="G64" s="100">
        <v>32.159999999999997</v>
      </c>
      <c r="H64" s="100">
        <v>11.76</v>
      </c>
      <c r="I64" s="100">
        <v>9.3000000000000007</v>
      </c>
      <c r="J64" s="100">
        <v>0.18</v>
      </c>
      <c r="K64" s="100">
        <v>117.24</v>
      </c>
      <c r="L64" s="100">
        <v>16.73</v>
      </c>
      <c r="M64" s="100">
        <v>16.989999999999998</v>
      </c>
      <c r="N64" s="100">
        <v>302.60000000000002</v>
      </c>
      <c r="O64" s="100">
        <v>0</v>
      </c>
      <c r="P64" s="100">
        <v>0.57999999999999996</v>
      </c>
      <c r="Q64" s="100">
        <v>9.32</v>
      </c>
      <c r="R64" s="6"/>
      <c r="S64" s="6"/>
      <c r="T64" s="156"/>
      <c r="U64" s="6"/>
    </row>
    <row r="65" spans="1:21" customFormat="1">
      <c r="A65" s="201" t="s">
        <v>1836</v>
      </c>
      <c r="B65" s="100">
        <v>2.0699999999999998</v>
      </c>
      <c r="C65" s="100">
        <v>14.32</v>
      </c>
      <c r="D65" s="100">
        <v>9.14</v>
      </c>
      <c r="E65" s="100">
        <v>6.45</v>
      </c>
      <c r="F65" s="151" t="s">
        <v>8</v>
      </c>
      <c r="G65" s="100">
        <v>32.159999999999997</v>
      </c>
      <c r="H65" s="100">
        <v>11.76</v>
      </c>
      <c r="I65" s="100">
        <v>9.17</v>
      </c>
      <c r="J65" s="100">
        <v>0.68</v>
      </c>
      <c r="K65" s="100">
        <v>49.39</v>
      </c>
      <c r="L65" s="100">
        <v>12.03</v>
      </c>
      <c r="M65" s="100">
        <v>9.51</v>
      </c>
      <c r="N65" s="100">
        <v>112.3</v>
      </c>
      <c r="O65" s="100">
        <v>0</v>
      </c>
      <c r="P65" s="100">
        <v>0.46</v>
      </c>
      <c r="Q65" s="100">
        <v>9.32</v>
      </c>
      <c r="R65" s="6"/>
      <c r="S65" s="6"/>
      <c r="T65" s="156"/>
      <c r="U65" s="6"/>
    </row>
    <row r="66" spans="1:21" customFormat="1">
      <c r="A66" s="201" t="s">
        <v>1837</v>
      </c>
      <c r="B66" s="100">
        <v>2.2000000000000002</v>
      </c>
      <c r="C66" s="100">
        <v>15.53</v>
      </c>
      <c r="D66" s="100">
        <v>9.8800000000000008</v>
      </c>
      <c r="E66" s="100">
        <v>8.19</v>
      </c>
      <c r="F66" s="151" t="s">
        <v>8</v>
      </c>
      <c r="G66" s="100">
        <v>32.159999999999997</v>
      </c>
      <c r="H66" s="100">
        <v>11.76</v>
      </c>
      <c r="I66" s="100">
        <v>9.1199999999999992</v>
      </c>
      <c r="J66" s="100">
        <v>0.68</v>
      </c>
      <c r="K66" s="100">
        <v>12.81</v>
      </c>
      <c r="L66" s="100">
        <v>16.75</v>
      </c>
      <c r="M66" s="100">
        <v>21.66</v>
      </c>
      <c r="N66" s="100">
        <v>97.4</v>
      </c>
      <c r="O66" s="100">
        <v>0</v>
      </c>
      <c r="P66" s="100">
        <v>0.48</v>
      </c>
      <c r="Q66" s="100">
        <v>9.32</v>
      </c>
      <c r="R66" s="6"/>
      <c r="S66" s="6"/>
      <c r="T66" s="156"/>
      <c r="U66" s="6"/>
    </row>
    <row r="67" spans="1:21" customFormat="1">
      <c r="A67" s="201" t="s">
        <v>1838</v>
      </c>
      <c r="B67" s="100">
        <v>2.15</v>
      </c>
      <c r="C67" s="100">
        <v>14.81</v>
      </c>
      <c r="D67" s="100">
        <v>9.4600000000000009</v>
      </c>
      <c r="E67" s="100">
        <v>7.51</v>
      </c>
      <c r="F67" s="151" t="s">
        <v>8</v>
      </c>
      <c r="G67" s="100">
        <v>32.01</v>
      </c>
      <c r="H67" s="100">
        <v>11.76</v>
      </c>
      <c r="I67" s="100">
        <v>8.9700000000000006</v>
      </c>
      <c r="J67" s="100">
        <v>0.47</v>
      </c>
      <c r="K67" s="100">
        <v>27.15</v>
      </c>
      <c r="L67" s="100">
        <v>14.94</v>
      </c>
      <c r="M67" s="100">
        <v>17.21</v>
      </c>
      <c r="N67" s="100">
        <v>94.8</v>
      </c>
      <c r="O67" s="100">
        <v>0</v>
      </c>
      <c r="P67" s="100">
        <v>0.47</v>
      </c>
      <c r="Q67" s="100">
        <v>9.32</v>
      </c>
      <c r="R67" s="6"/>
      <c r="S67" s="6"/>
      <c r="T67" s="156"/>
      <c r="U67" s="6"/>
    </row>
    <row r="68" spans="1:21" customFormat="1">
      <c r="A68" s="201" t="s">
        <v>1839</v>
      </c>
      <c r="B68" s="100">
        <v>2.16</v>
      </c>
      <c r="C68" s="100">
        <v>14.79</v>
      </c>
      <c r="D68" s="100">
        <v>9.4600000000000009</v>
      </c>
      <c r="E68" s="100">
        <v>7.44</v>
      </c>
      <c r="F68" s="151" t="s">
        <v>8</v>
      </c>
      <c r="G68" s="100">
        <v>30.63</v>
      </c>
      <c r="H68" s="100">
        <v>11.74</v>
      </c>
      <c r="I68" s="100">
        <v>8.7899999999999991</v>
      </c>
      <c r="J68" s="100">
        <v>0.48</v>
      </c>
      <c r="K68" s="100">
        <v>35.369999999999997</v>
      </c>
      <c r="L68" s="100">
        <v>11.2</v>
      </c>
      <c r="M68" s="100">
        <v>7.81</v>
      </c>
      <c r="N68" s="100">
        <v>95.5</v>
      </c>
      <c r="O68" s="100">
        <v>0</v>
      </c>
      <c r="P68" s="100">
        <v>0.47</v>
      </c>
      <c r="Q68" s="100">
        <v>9.32</v>
      </c>
      <c r="R68" s="6"/>
      <c r="S68" s="6"/>
      <c r="T68" s="156"/>
      <c r="U68" s="6"/>
    </row>
    <row r="69" spans="1:21" customFormat="1">
      <c r="A69" s="201" t="s">
        <v>1840</v>
      </c>
      <c r="B69" s="100">
        <v>2.13</v>
      </c>
      <c r="C69" s="100">
        <v>14.91</v>
      </c>
      <c r="D69" s="100">
        <v>9.5</v>
      </c>
      <c r="E69" s="100">
        <v>7.45</v>
      </c>
      <c r="F69" s="151" t="s">
        <v>8</v>
      </c>
      <c r="G69" s="100">
        <v>30.63</v>
      </c>
      <c r="H69" s="100">
        <v>11.74</v>
      </c>
      <c r="I69" s="100">
        <v>8.74</v>
      </c>
      <c r="J69" s="100">
        <v>0.47</v>
      </c>
      <c r="K69" s="100">
        <v>47.66</v>
      </c>
      <c r="L69" s="100">
        <v>13.72</v>
      </c>
      <c r="M69" s="100">
        <v>14.72</v>
      </c>
      <c r="N69" s="100">
        <v>74.5</v>
      </c>
      <c r="O69" s="100">
        <v>0</v>
      </c>
      <c r="P69" s="100">
        <v>0.47</v>
      </c>
      <c r="Q69" s="100">
        <v>9.32</v>
      </c>
      <c r="R69" s="6"/>
      <c r="S69" s="6"/>
      <c r="T69" s="156"/>
      <c r="U69" s="6"/>
    </row>
    <row r="70" spans="1:21" customFormat="1">
      <c r="A70" s="201" t="s">
        <v>1841</v>
      </c>
      <c r="B70" s="100">
        <v>2.11</v>
      </c>
      <c r="C70" s="100">
        <v>14.5</v>
      </c>
      <c r="D70" s="100">
        <v>9.27</v>
      </c>
      <c r="E70" s="100">
        <v>6.83</v>
      </c>
      <c r="F70" s="151" t="s">
        <v>8</v>
      </c>
      <c r="G70" s="100">
        <v>30.63</v>
      </c>
      <c r="H70" s="100">
        <v>11.74</v>
      </c>
      <c r="I70" s="100">
        <v>8.68</v>
      </c>
      <c r="J70" s="100">
        <v>0.16</v>
      </c>
      <c r="K70" s="100">
        <v>98.92</v>
      </c>
      <c r="L70" s="100">
        <v>13.02</v>
      </c>
      <c r="M70" s="100">
        <v>13.32</v>
      </c>
      <c r="N70" s="100">
        <v>66</v>
      </c>
      <c r="O70" s="100">
        <v>0</v>
      </c>
      <c r="P70" s="100">
        <v>0.46</v>
      </c>
      <c r="Q70" s="100">
        <v>9.32</v>
      </c>
      <c r="R70" s="6"/>
      <c r="S70" s="6"/>
      <c r="T70" s="156"/>
      <c r="U70" s="6"/>
    </row>
    <row r="71" spans="1:21" customFormat="1">
      <c r="A71" s="201" t="s">
        <v>1842</v>
      </c>
      <c r="B71" s="100">
        <v>2.11</v>
      </c>
      <c r="C71" s="100">
        <v>14.65</v>
      </c>
      <c r="D71" s="100">
        <v>9.35</v>
      </c>
      <c r="E71" s="100">
        <v>8.0299999999999994</v>
      </c>
      <c r="F71" s="151" t="s">
        <v>8</v>
      </c>
      <c r="G71" s="100">
        <v>30.71</v>
      </c>
      <c r="H71" s="100">
        <v>11.76</v>
      </c>
      <c r="I71" s="100">
        <v>8.6</v>
      </c>
      <c r="J71" s="100">
        <v>0.56999999999999995</v>
      </c>
      <c r="K71" s="100">
        <v>31.11</v>
      </c>
      <c r="L71" s="100">
        <v>12.94</v>
      </c>
      <c r="M71" s="100">
        <v>13.02</v>
      </c>
      <c r="N71" s="100">
        <v>59.9</v>
      </c>
      <c r="O71" s="100">
        <v>0</v>
      </c>
      <c r="P71" s="100">
        <v>0.46</v>
      </c>
      <c r="Q71" s="100">
        <v>9.32</v>
      </c>
      <c r="R71" s="6"/>
      <c r="S71" s="6"/>
      <c r="T71" s="156"/>
      <c r="U71" s="6"/>
    </row>
    <row r="72" spans="1:21" customFormat="1">
      <c r="A72" s="201" t="s">
        <v>1843</v>
      </c>
      <c r="B72" s="100">
        <v>2.11</v>
      </c>
      <c r="C72" s="100">
        <v>14.63</v>
      </c>
      <c r="D72" s="100">
        <v>9.34</v>
      </c>
      <c r="E72" s="100">
        <v>7.23</v>
      </c>
      <c r="F72" s="151" t="s">
        <v>8</v>
      </c>
      <c r="G72" s="100">
        <v>31.49</v>
      </c>
      <c r="H72" s="100">
        <v>11.91</v>
      </c>
      <c r="I72" s="100">
        <v>8.5500000000000007</v>
      </c>
      <c r="J72" s="100">
        <v>0.28999999999999998</v>
      </c>
      <c r="K72" s="100">
        <v>180.5</v>
      </c>
      <c r="L72" s="100">
        <v>17.149999999999999</v>
      </c>
      <c r="M72" s="100">
        <v>24.08</v>
      </c>
      <c r="N72" s="100">
        <v>51.3</v>
      </c>
      <c r="O72" s="100">
        <v>0</v>
      </c>
      <c r="P72" s="100">
        <v>0.46</v>
      </c>
      <c r="Q72" s="100">
        <v>9.32</v>
      </c>
      <c r="R72" s="6"/>
      <c r="S72" s="6"/>
      <c r="T72" s="156"/>
      <c r="U72" s="6"/>
    </row>
    <row r="73" spans="1:21" customFormat="1">
      <c r="A73" s="201" t="s">
        <v>1844</v>
      </c>
      <c r="B73" s="100">
        <v>2.0499999999999998</v>
      </c>
      <c r="C73" s="100">
        <v>14.16</v>
      </c>
      <c r="D73" s="100">
        <v>9.0399999999999991</v>
      </c>
      <c r="E73" s="100">
        <v>6.6</v>
      </c>
      <c r="F73" s="151" t="s">
        <v>8</v>
      </c>
      <c r="G73" s="100">
        <v>31.49</v>
      </c>
      <c r="H73" s="100">
        <v>11.91</v>
      </c>
      <c r="I73" s="100">
        <v>8.4700000000000006</v>
      </c>
      <c r="J73" s="100">
        <v>0.2</v>
      </c>
      <c r="K73" s="100">
        <v>139.93</v>
      </c>
      <c r="L73" s="100">
        <v>14.39</v>
      </c>
      <c r="M73" s="100">
        <v>17.21</v>
      </c>
      <c r="N73" s="100">
        <v>49.2</v>
      </c>
      <c r="O73" s="100">
        <v>0</v>
      </c>
      <c r="P73" s="100">
        <v>0.46</v>
      </c>
      <c r="Q73" s="100">
        <v>9.32</v>
      </c>
      <c r="R73" s="6"/>
      <c r="S73" s="6"/>
      <c r="T73" s="156"/>
      <c r="U73" s="6"/>
    </row>
    <row r="74" spans="1:21" customFormat="1">
      <c r="A74" s="201" t="s">
        <v>1845</v>
      </c>
      <c r="B74" s="100">
        <v>2.14</v>
      </c>
      <c r="C74" s="100">
        <v>14.92</v>
      </c>
      <c r="D74" s="100">
        <v>9.51</v>
      </c>
      <c r="E74" s="100">
        <v>6.93</v>
      </c>
      <c r="F74" s="151" t="s">
        <v>8</v>
      </c>
      <c r="G74" s="100">
        <v>31.49</v>
      </c>
      <c r="H74" s="100">
        <v>11.91</v>
      </c>
      <c r="I74" s="100">
        <v>8.35</v>
      </c>
      <c r="J74" s="100">
        <v>0.26</v>
      </c>
      <c r="K74" s="100">
        <v>56.56</v>
      </c>
      <c r="L74" s="100">
        <v>10.039999999999999</v>
      </c>
      <c r="M74" s="100">
        <v>6.54</v>
      </c>
      <c r="N74" s="100">
        <v>33</v>
      </c>
      <c r="O74" s="100">
        <v>0</v>
      </c>
      <c r="P74" s="100">
        <v>0.46</v>
      </c>
      <c r="Q74" s="100">
        <v>9.32</v>
      </c>
      <c r="R74" s="6"/>
      <c r="S74" s="6"/>
      <c r="T74" s="156"/>
      <c r="U74" s="6"/>
    </row>
    <row r="75" spans="1:21" customFormat="1">
      <c r="A75" s="201" t="s">
        <v>1846</v>
      </c>
      <c r="B75" s="100">
        <v>2.21</v>
      </c>
      <c r="C75" s="100">
        <v>15.19</v>
      </c>
      <c r="D75" s="100">
        <v>9.7100000000000009</v>
      </c>
      <c r="E75" s="100">
        <v>7.1</v>
      </c>
      <c r="F75" s="151" t="s">
        <v>8</v>
      </c>
      <c r="G75" s="100">
        <v>31.66</v>
      </c>
      <c r="H75" s="100">
        <v>11.91</v>
      </c>
      <c r="I75" s="100">
        <v>8.27</v>
      </c>
      <c r="J75" s="100">
        <v>0.12</v>
      </c>
      <c r="K75" s="100">
        <v>116.08</v>
      </c>
      <c r="L75" s="100">
        <v>13.7</v>
      </c>
      <c r="M75" s="100">
        <v>16.05</v>
      </c>
      <c r="N75" s="100">
        <v>24.3</v>
      </c>
      <c r="O75" s="100">
        <v>0</v>
      </c>
      <c r="P75" s="100">
        <v>0.46</v>
      </c>
      <c r="Q75" s="100">
        <v>9.32</v>
      </c>
      <c r="R75" s="6"/>
      <c r="S75" s="6"/>
      <c r="T75" s="156"/>
      <c r="U75" s="6"/>
    </row>
    <row r="76" spans="1:21" customFormat="1">
      <c r="A76" s="201" t="s">
        <v>1847</v>
      </c>
      <c r="B76" s="100">
        <v>2.2799999999999998</v>
      </c>
      <c r="C76" s="100">
        <v>14.84</v>
      </c>
      <c r="D76" s="100">
        <v>9.58</v>
      </c>
      <c r="E76" s="100">
        <v>6.91</v>
      </c>
      <c r="F76" s="151" t="s">
        <v>8</v>
      </c>
      <c r="G76" s="100">
        <v>33.200000000000003</v>
      </c>
      <c r="H76" s="100">
        <v>11.83</v>
      </c>
      <c r="I76" s="100">
        <v>8.24</v>
      </c>
      <c r="J76" s="100">
        <v>0.23</v>
      </c>
      <c r="K76" s="100">
        <v>169.69</v>
      </c>
      <c r="L76" s="100">
        <v>16.100000000000001</v>
      </c>
      <c r="M76" s="100">
        <v>22.38</v>
      </c>
      <c r="N76" s="100">
        <v>15.3</v>
      </c>
      <c r="O76" s="100">
        <v>0</v>
      </c>
      <c r="P76" s="100">
        <v>0.46</v>
      </c>
      <c r="Q76" s="100">
        <v>9.32</v>
      </c>
      <c r="R76" s="6"/>
      <c r="S76" s="6"/>
      <c r="T76" s="156"/>
      <c r="U76" s="6"/>
    </row>
    <row r="77" spans="1:21" customFormat="1">
      <c r="A77" s="201" t="s">
        <v>1848</v>
      </c>
      <c r="B77" s="100">
        <v>2.38</v>
      </c>
      <c r="C77" s="100">
        <v>14.83</v>
      </c>
      <c r="D77" s="100">
        <v>9.66</v>
      </c>
      <c r="E77" s="100">
        <v>6.84</v>
      </c>
      <c r="F77" s="151" t="s">
        <v>8</v>
      </c>
      <c r="G77" s="100">
        <v>33.200000000000003</v>
      </c>
      <c r="H77" s="100">
        <v>11.83</v>
      </c>
      <c r="I77" s="100">
        <v>8.2200000000000006</v>
      </c>
      <c r="J77" s="100">
        <v>0.28999999999999998</v>
      </c>
      <c r="K77" s="100">
        <v>171.9</v>
      </c>
      <c r="L77" s="100">
        <v>16.22</v>
      </c>
      <c r="M77" s="100">
        <v>22.81</v>
      </c>
      <c r="N77" s="100">
        <v>7.8</v>
      </c>
      <c r="O77" s="100">
        <v>0</v>
      </c>
      <c r="P77" s="100">
        <v>0.47</v>
      </c>
      <c r="Q77" s="100">
        <v>9.32</v>
      </c>
      <c r="R77" s="6"/>
      <c r="S77" s="6"/>
      <c r="T77" s="156"/>
      <c r="U77" s="6"/>
    </row>
    <row r="78" spans="1:21" customFormat="1">
      <c r="A78" s="201" t="s">
        <v>1849</v>
      </c>
      <c r="B78" s="100">
        <v>2.56</v>
      </c>
      <c r="C78" s="100">
        <v>15</v>
      </c>
      <c r="D78" s="100">
        <v>9.89</v>
      </c>
      <c r="E78" s="100">
        <v>6.2</v>
      </c>
      <c r="F78" s="151" t="s">
        <v>8</v>
      </c>
      <c r="G78" s="100">
        <v>33.200000000000003</v>
      </c>
      <c r="H78" s="100">
        <v>11.83</v>
      </c>
      <c r="I78" s="100">
        <v>8.23</v>
      </c>
      <c r="J78" s="100">
        <v>0.15</v>
      </c>
      <c r="K78" s="100">
        <v>157.84</v>
      </c>
      <c r="L78" s="100">
        <v>14.76</v>
      </c>
      <c r="M78" s="100">
        <v>19.260000000000002</v>
      </c>
      <c r="N78" s="100">
        <v>3</v>
      </c>
      <c r="O78" s="100">
        <v>0</v>
      </c>
      <c r="P78" s="100">
        <v>0.46</v>
      </c>
      <c r="Q78" s="100">
        <v>9.32</v>
      </c>
      <c r="R78" s="6"/>
      <c r="S78" s="6"/>
      <c r="T78" s="156"/>
      <c r="U78" s="6"/>
    </row>
    <row r="79" spans="1:21" customFormat="1">
      <c r="A79" s="201" t="s">
        <v>1850</v>
      </c>
      <c r="B79" s="100">
        <v>2.61</v>
      </c>
      <c r="C79" s="100">
        <v>15.57</v>
      </c>
      <c r="D79" s="100">
        <v>10.23</v>
      </c>
      <c r="E79" s="100">
        <v>5.88</v>
      </c>
      <c r="F79" s="151" t="s">
        <v>8</v>
      </c>
      <c r="G79" s="100">
        <v>33.94</v>
      </c>
      <c r="H79" s="100">
        <v>11.86</v>
      </c>
      <c r="I79" s="100">
        <v>8.25</v>
      </c>
      <c r="J79" s="100">
        <v>0.28000000000000003</v>
      </c>
      <c r="K79" s="100">
        <v>170.78</v>
      </c>
      <c r="L79" s="100">
        <v>16.14</v>
      </c>
      <c r="M79" s="100">
        <v>22.86</v>
      </c>
      <c r="N79" s="100">
        <v>1.9</v>
      </c>
      <c r="O79" s="100">
        <v>0</v>
      </c>
      <c r="P79" s="100">
        <v>0.44</v>
      </c>
      <c r="Q79" s="100">
        <v>9.32</v>
      </c>
      <c r="R79" s="6"/>
      <c r="S79" s="6"/>
      <c r="T79" s="156"/>
      <c r="U79" s="6"/>
    </row>
    <row r="80" spans="1:21" customFormat="1">
      <c r="A80" s="201" t="s">
        <v>1851</v>
      </c>
      <c r="B80" s="100">
        <v>2.74</v>
      </c>
      <c r="C80" s="100">
        <v>16.29</v>
      </c>
      <c r="D80" s="100">
        <v>10.71</v>
      </c>
      <c r="E80" s="100">
        <v>6.45</v>
      </c>
      <c r="F80" s="151" t="s">
        <v>8</v>
      </c>
      <c r="G80" s="100">
        <v>40.57</v>
      </c>
      <c r="H80" s="100">
        <v>12.11</v>
      </c>
      <c r="I80" s="100">
        <v>8.24</v>
      </c>
      <c r="J80" s="100">
        <v>0.25</v>
      </c>
      <c r="K80" s="100">
        <v>175.37</v>
      </c>
      <c r="L80" s="100">
        <v>16.46</v>
      </c>
      <c r="M80" s="100">
        <v>23.67</v>
      </c>
      <c r="N80" s="100">
        <v>1.6</v>
      </c>
      <c r="O80" s="100">
        <v>0</v>
      </c>
      <c r="P80" s="100">
        <v>0.45</v>
      </c>
      <c r="Q80" s="100">
        <v>9.32</v>
      </c>
      <c r="R80" s="6"/>
      <c r="S80" s="6"/>
      <c r="T80" s="156"/>
      <c r="U80" s="6"/>
    </row>
    <row r="81" spans="1:21" customFormat="1">
      <c r="A81" s="201" t="s">
        <v>1852</v>
      </c>
      <c r="B81" s="100">
        <v>2.93</v>
      </c>
      <c r="C81" s="100">
        <v>17.11</v>
      </c>
      <c r="D81" s="100">
        <v>11.29</v>
      </c>
      <c r="E81" s="100">
        <v>5.48</v>
      </c>
      <c r="F81" s="151" t="s">
        <v>8</v>
      </c>
      <c r="G81" s="100">
        <v>40.57</v>
      </c>
      <c r="H81" s="100">
        <v>12.11</v>
      </c>
      <c r="I81" s="100">
        <v>8.25</v>
      </c>
      <c r="J81" s="100">
        <v>0.23</v>
      </c>
      <c r="K81" s="100">
        <v>174.94</v>
      </c>
      <c r="L81" s="100">
        <v>16.28</v>
      </c>
      <c r="M81" s="100">
        <v>23.21</v>
      </c>
      <c r="N81" s="100">
        <v>1.7</v>
      </c>
      <c r="O81" s="100">
        <v>0</v>
      </c>
      <c r="P81" s="100">
        <v>0.47</v>
      </c>
      <c r="Q81" s="100">
        <v>9.32</v>
      </c>
      <c r="R81" s="6"/>
      <c r="S81" s="6"/>
      <c r="T81" s="156"/>
      <c r="U81" s="6"/>
    </row>
    <row r="82" spans="1:21" customFormat="1">
      <c r="A82" s="201" t="s">
        <v>1853</v>
      </c>
      <c r="B82" s="100">
        <v>3.23</v>
      </c>
      <c r="C82" s="100">
        <v>17.63</v>
      </c>
      <c r="D82" s="100">
        <v>11.8</v>
      </c>
      <c r="E82" s="100">
        <v>6.33</v>
      </c>
      <c r="F82" s="151" t="s">
        <v>8</v>
      </c>
      <c r="G82" s="100">
        <v>40.57</v>
      </c>
      <c r="H82" s="100">
        <v>12.11</v>
      </c>
      <c r="I82" s="100">
        <v>8.26</v>
      </c>
      <c r="J82" s="100">
        <v>0.09</v>
      </c>
      <c r="K82" s="100">
        <v>205.27</v>
      </c>
      <c r="L82" s="100">
        <v>17.100000000000001</v>
      </c>
      <c r="M82" s="100">
        <v>25.17</v>
      </c>
      <c r="N82" s="100">
        <v>1.3</v>
      </c>
      <c r="O82" s="100">
        <v>0</v>
      </c>
      <c r="P82" s="100">
        <v>0.48</v>
      </c>
      <c r="Q82" s="100">
        <v>9.32</v>
      </c>
      <c r="R82" s="6"/>
      <c r="S82" s="6"/>
      <c r="T82" s="156"/>
      <c r="U82" s="6"/>
    </row>
    <row r="83" spans="1:21" customFormat="1">
      <c r="A83" s="201" t="s">
        <v>1854</v>
      </c>
      <c r="B83" s="100">
        <v>3.89</v>
      </c>
      <c r="C83" s="100">
        <v>18.38</v>
      </c>
      <c r="D83" s="100">
        <v>12.72</v>
      </c>
      <c r="E83" s="100">
        <v>6.81</v>
      </c>
      <c r="F83" s="151" t="s">
        <v>8</v>
      </c>
      <c r="G83" s="100">
        <v>41.26</v>
      </c>
      <c r="H83" s="100">
        <v>12.26</v>
      </c>
      <c r="I83" s="100">
        <v>8.33</v>
      </c>
      <c r="J83" s="100">
        <v>0.31</v>
      </c>
      <c r="K83" s="100">
        <v>160.05000000000001</v>
      </c>
      <c r="L83" s="100">
        <v>15.58</v>
      </c>
      <c r="M83" s="100">
        <v>21.49</v>
      </c>
      <c r="N83" s="100">
        <v>1.4</v>
      </c>
      <c r="O83" s="100">
        <v>0</v>
      </c>
      <c r="P83" s="100">
        <v>0.51</v>
      </c>
      <c r="Q83" s="100">
        <v>9.32</v>
      </c>
      <c r="R83" s="6"/>
      <c r="S83" s="6"/>
      <c r="T83" s="156"/>
      <c r="U83" s="6"/>
    </row>
    <row r="84" spans="1:21" customFormat="1">
      <c r="A84" s="201" t="s">
        <v>1855</v>
      </c>
      <c r="B84" s="100">
        <v>4.41</v>
      </c>
      <c r="C84" s="100">
        <v>18.84</v>
      </c>
      <c r="D84" s="100">
        <v>13.38</v>
      </c>
      <c r="E84" s="100">
        <v>6.79</v>
      </c>
      <c r="F84" s="151" t="s">
        <v>8</v>
      </c>
      <c r="G84" s="100">
        <v>47.48</v>
      </c>
      <c r="H84" s="100">
        <v>13.5</v>
      </c>
      <c r="I84" s="100">
        <v>8.49</v>
      </c>
      <c r="J84" s="100">
        <v>0.25</v>
      </c>
      <c r="K84" s="100">
        <v>157</v>
      </c>
      <c r="L84" s="100">
        <v>15.17</v>
      </c>
      <c r="M84" s="100">
        <v>20.440000000000001</v>
      </c>
      <c r="N84" s="100">
        <v>1.5</v>
      </c>
      <c r="O84" s="100">
        <v>0</v>
      </c>
      <c r="P84" s="100">
        <v>0.53</v>
      </c>
      <c r="Q84" s="100">
        <v>9.32</v>
      </c>
      <c r="R84" s="6"/>
      <c r="S84" s="6"/>
      <c r="T84" s="156"/>
      <c r="U84" s="6"/>
    </row>
    <row r="85" spans="1:21" customFormat="1">
      <c r="A85" s="201" t="s">
        <v>1856</v>
      </c>
      <c r="B85" s="100">
        <v>4.7699999999999996</v>
      </c>
      <c r="C85" s="100">
        <v>19.18</v>
      </c>
      <c r="D85" s="100">
        <v>13.84</v>
      </c>
      <c r="E85" s="100">
        <v>6.86</v>
      </c>
      <c r="F85" s="151" t="s">
        <v>8</v>
      </c>
      <c r="G85" s="100">
        <v>47.48</v>
      </c>
      <c r="H85" s="100">
        <v>13.5</v>
      </c>
      <c r="I85" s="100">
        <v>8.73</v>
      </c>
      <c r="J85" s="100">
        <v>0.26</v>
      </c>
      <c r="K85" s="100">
        <v>160.21</v>
      </c>
      <c r="L85" s="100">
        <v>15.27</v>
      </c>
      <c r="M85" s="100">
        <v>20.71</v>
      </c>
      <c r="N85" s="100">
        <v>1.4</v>
      </c>
      <c r="O85" s="100">
        <v>0</v>
      </c>
      <c r="P85" s="100">
        <v>0.54</v>
      </c>
      <c r="Q85" s="100">
        <v>9.56</v>
      </c>
      <c r="R85" s="6"/>
      <c r="S85" s="6"/>
      <c r="T85" s="156"/>
      <c r="U85" s="6"/>
    </row>
    <row r="86" spans="1:21" customFormat="1">
      <c r="A86" s="201" t="s">
        <v>1857</v>
      </c>
      <c r="B86" s="100">
        <v>5.07</v>
      </c>
      <c r="C86" s="100">
        <v>19.5</v>
      </c>
      <c r="D86" s="100">
        <v>14.25</v>
      </c>
      <c r="E86" s="100">
        <v>6.36</v>
      </c>
      <c r="F86" s="151" t="s">
        <v>8</v>
      </c>
      <c r="G86" s="100">
        <v>47.48</v>
      </c>
      <c r="H86" s="100">
        <v>13.5</v>
      </c>
      <c r="I86" s="100">
        <v>9.06</v>
      </c>
      <c r="J86" s="100">
        <v>0.15</v>
      </c>
      <c r="K86" s="100">
        <v>172.09</v>
      </c>
      <c r="L86" s="100">
        <v>15.98</v>
      </c>
      <c r="M86" s="100">
        <v>22.46</v>
      </c>
      <c r="N86" s="100">
        <v>1.4</v>
      </c>
      <c r="O86" s="100">
        <v>0</v>
      </c>
      <c r="P86" s="100">
        <v>0.56999999999999995</v>
      </c>
      <c r="Q86" s="100">
        <v>11</v>
      </c>
      <c r="R86" s="6"/>
      <c r="S86" s="6"/>
      <c r="T86" s="156"/>
      <c r="U86" s="6"/>
    </row>
    <row r="87" spans="1:21" customFormat="1">
      <c r="A87" s="201" t="s">
        <v>1858</v>
      </c>
      <c r="B87" s="100">
        <v>5.48</v>
      </c>
      <c r="C87" s="100">
        <v>19.77</v>
      </c>
      <c r="D87" s="100">
        <v>14.72</v>
      </c>
      <c r="E87" s="100">
        <v>6.55</v>
      </c>
      <c r="F87" s="151" t="s">
        <v>8</v>
      </c>
      <c r="G87" s="100">
        <v>48.3</v>
      </c>
      <c r="H87" s="100">
        <v>13.65</v>
      </c>
      <c r="I87" s="100">
        <v>9.19</v>
      </c>
      <c r="J87" s="100">
        <v>0.23</v>
      </c>
      <c r="K87" s="100">
        <v>178.15</v>
      </c>
      <c r="L87" s="100">
        <v>16.87</v>
      </c>
      <c r="M87" s="100">
        <v>24.71</v>
      </c>
      <c r="N87" s="100">
        <v>1.4</v>
      </c>
      <c r="O87" s="100">
        <v>0</v>
      </c>
      <c r="P87" s="100">
        <v>0.59</v>
      </c>
      <c r="Q87" s="100">
        <v>9.61</v>
      </c>
      <c r="R87" s="6"/>
      <c r="S87" s="6"/>
      <c r="T87" s="156"/>
      <c r="U87" s="6"/>
    </row>
    <row r="88" spans="1:21" customFormat="1">
      <c r="A88" s="201" t="s">
        <v>1859</v>
      </c>
      <c r="B88" s="100">
        <v>5.92</v>
      </c>
      <c r="C88" s="100">
        <v>19.93</v>
      </c>
      <c r="D88" s="100">
        <v>15.16</v>
      </c>
      <c r="E88" s="100">
        <v>6.97</v>
      </c>
      <c r="F88" s="151" t="s">
        <v>8</v>
      </c>
      <c r="G88" s="100">
        <v>55.71</v>
      </c>
      <c r="H88" s="100">
        <v>14.92</v>
      </c>
      <c r="I88" s="100">
        <v>9.35</v>
      </c>
      <c r="J88" s="100">
        <v>0.16</v>
      </c>
      <c r="K88" s="100">
        <v>190.5</v>
      </c>
      <c r="L88" s="100">
        <v>17.170000000000002</v>
      </c>
      <c r="M88" s="100">
        <v>25.48</v>
      </c>
      <c r="N88" s="100">
        <v>1.5</v>
      </c>
      <c r="O88" s="100">
        <v>0</v>
      </c>
      <c r="P88" s="100">
        <v>0.61</v>
      </c>
      <c r="Q88" s="100">
        <v>9.35</v>
      </c>
      <c r="R88" s="6"/>
      <c r="S88" s="6"/>
      <c r="T88" s="156"/>
      <c r="U88" s="6"/>
    </row>
    <row r="89" spans="1:21" customFormat="1">
      <c r="A89" s="201" t="s">
        <v>1860</v>
      </c>
      <c r="B89" s="100">
        <v>6.43</v>
      </c>
      <c r="C89" s="100">
        <v>20.27</v>
      </c>
      <c r="D89" s="100">
        <v>15.75</v>
      </c>
      <c r="E89" s="100">
        <v>7</v>
      </c>
      <c r="F89" s="151" t="s">
        <v>8</v>
      </c>
      <c r="G89" s="100">
        <v>55.71</v>
      </c>
      <c r="H89" s="100">
        <v>14.92</v>
      </c>
      <c r="I89" s="100">
        <v>9.65</v>
      </c>
      <c r="J89" s="100">
        <v>0.16</v>
      </c>
      <c r="K89" s="100">
        <v>190.29</v>
      </c>
      <c r="L89" s="100">
        <v>17.29</v>
      </c>
      <c r="M89" s="100">
        <v>25.79</v>
      </c>
      <c r="N89" s="100">
        <v>1.4</v>
      </c>
      <c r="O89" s="100">
        <v>0</v>
      </c>
      <c r="P89" s="100">
        <v>0.62</v>
      </c>
      <c r="Q89" s="100">
        <v>9.9600000000000009</v>
      </c>
      <c r="R89" s="6"/>
      <c r="S89" s="6"/>
      <c r="T89" s="156"/>
      <c r="U89" s="6"/>
    </row>
    <row r="90" spans="1:21" customFormat="1">
      <c r="A90" s="201" t="s">
        <v>1861</v>
      </c>
      <c r="B90" s="100">
        <v>7.29</v>
      </c>
      <c r="C90" s="100">
        <v>20.63</v>
      </c>
      <c r="D90" s="100">
        <v>16.63</v>
      </c>
      <c r="E90" s="100">
        <v>7.11</v>
      </c>
      <c r="F90" s="151" t="s">
        <v>8</v>
      </c>
      <c r="G90" s="100">
        <v>55.71</v>
      </c>
      <c r="H90" s="100">
        <v>14.92</v>
      </c>
      <c r="I90" s="100">
        <v>9.92</v>
      </c>
      <c r="J90" s="100">
        <v>0.26</v>
      </c>
      <c r="K90" s="100">
        <v>158.37</v>
      </c>
      <c r="L90" s="100">
        <v>14.74</v>
      </c>
      <c r="M90" s="100">
        <v>19.350000000000001</v>
      </c>
      <c r="N90" s="100">
        <v>1.3</v>
      </c>
      <c r="O90" s="100">
        <v>0</v>
      </c>
      <c r="P90" s="100">
        <v>0.64</v>
      </c>
      <c r="Q90" s="100">
        <v>9.35</v>
      </c>
      <c r="R90" s="6"/>
      <c r="S90" s="6"/>
      <c r="T90" s="156"/>
      <c r="U90" s="6"/>
    </row>
    <row r="91" spans="1:21" customFormat="1">
      <c r="A91" s="201" t="s">
        <v>1862</v>
      </c>
      <c r="B91" s="100">
        <v>7.95</v>
      </c>
      <c r="C91" s="100">
        <v>20.83</v>
      </c>
      <c r="D91" s="100">
        <v>17.260000000000002</v>
      </c>
      <c r="E91" s="100">
        <v>7.13</v>
      </c>
      <c r="F91" s="151" t="s">
        <v>8</v>
      </c>
      <c r="G91" s="100">
        <v>56.53</v>
      </c>
      <c r="H91" s="100">
        <v>15.17</v>
      </c>
      <c r="I91" s="100">
        <v>10.199999999999999</v>
      </c>
      <c r="J91" s="100">
        <v>0.22</v>
      </c>
      <c r="K91" s="100">
        <v>141.21</v>
      </c>
      <c r="L91" s="100">
        <v>13.6</v>
      </c>
      <c r="M91" s="100">
        <v>16.510000000000002</v>
      </c>
      <c r="N91" s="100">
        <v>1.3</v>
      </c>
      <c r="O91" s="100">
        <v>0</v>
      </c>
      <c r="P91" s="100">
        <v>0.66</v>
      </c>
      <c r="Q91" s="100">
        <v>9.35</v>
      </c>
      <c r="R91" s="6"/>
      <c r="S91" s="6"/>
      <c r="T91" s="156"/>
      <c r="U91" s="6"/>
    </row>
    <row r="92" spans="1:21" customFormat="1">
      <c r="A92" s="201" t="s">
        <v>1863</v>
      </c>
      <c r="B92" s="100">
        <v>8.35</v>
      </c>
      <c r="C92" s="100">
        <v>20.81</v>
      </c>
      <c r="D92" s="100">
        <v>17.57</v>
      </c>
      <c r="E92" s="100">
        <v>6.67</v>
      </c>
      <c r="F92" s="151" t="s">
        <v>8</v>
      </c>
      <c r="G92" s="100">
        <v>63.92</v>
      </c>
      <c r="H92" s="100">
        <v>17.16</v>
      </c>
      <c r="I92" s="100">
        <v>10.41</v>
      </c>
      <c r="J92" s="100">
        <v>0.15</v>
      </c>
      <c r="K92" s="100">
        <v>173.43</v>
      </c>
      <c r="L92" s="100">
        <v>16.010000000000002</v>
      </c>
      <c r="M92" s="100">
        <v>22.57</v>
      </c>
      <c r="N92" s="100">
        <v>1.4</v>
      </c>
      <c r="O92" s="100">
        <v>0</v>
      </c>
      <c r="P92" s="100">
        <v>0.67</v>
      </c>
      <c r="Q92" s="100">
        <v>9.32</v>
      </c>
      <c r="R92" s="6"/>
      <c r="S92" s="6"/>
      <c r="T92" s="156"/>
      <c r="U92" s="6"/>
    </row>
    <row r="93" spans="1:21" customFormat="1">
      <c r="A93" s="201" t="s">
        <v>1864</v>
      </c>
      <c r="B93" s="100">
        <v>8.84</v>
      </c>
      <c r="C93" s="100">
        <v>20.91</v>
      </c>
      <c r="D93" s="100">
        <v>18.010000000000002</v>
      </c>
      <c r="E93" s="100">
        <v>6.91</v>
      </c>
      <c r="F93" s="151" t="s">
        <v>8</v>
      </c>
      <c r="G93" s="100">
        <v>63.92</v>
      </c>
      <c r="H93" s="100">
        <v>17.16</v>
      </c>
      <c r="I93" s="100">
        <v>10.82</v>
      </c>
      <c r="J93" s="100">
        <v>0.16</v>
      </c>
      <c r="K93" s="100">
        <v>208.14</v>
      </c>
      <c r="L93" s="100">
        <v>18.510000000000002</v>
      </c>
      <c r="M93" s="100">
        <v>28.84</v>
      </c>
      <c r="N93" s="100">
        <v>1.3</v>
      </c>
      <c r="O93" s="100">
        <v>0</v>
      </c>
      <c r="P93" s="100">
        <v>0.69</v>
      </c>
      <c r="Q93" s="100">
        <v>9.33</v>
      </c>
      <c r="R93" s="6"/>
      <c r="S93" s="6"/>
      <c r="T93" s="156"/>
      <c r="U93" s="6"/>
    </row>
    <row r="94" spans="1:21" customFormat="1">
      <c r="A94" s="201" t="s">
        <v>1865</v>
      </c>
      <c r="B94" s="100">
        <v>9.44</v>
      </c>
      <c r="C94" s="100">
        <v>21.13</v>
      </c>
      <c r="D94" s="100">
        <v>18.61</v>
      </c>
      <c r="E94" s="100">
        <v>7.13</v>
      </c>
      <c r="F94" s="151" t="s">
        <v>8</v>
      </c>
      <c r="G94" s="100">
        <v>63.92</v>
      </c>
      <c r="H94" s="100">
        <v>17.16</v>
      </c>
      <c r="I94" s="100">
        <v>11.29</v>
      </c>
      <c r="J94" s="100">
        <v>0.2</v>
      </c>
      <c r="K94" s="100">
        <v>166.59</v>
      </c>
      <c r="L94" s="100">
        <v>15.41</v>
      </c>
      <c r="M94" s="100">
        <v>21.06</v>
      </c>
      <c r="N94" s="100">
        <v>1.4</v>
      </c>
      <c r="O94" s="100">
        <v>0</v>
      </c>
      <c r="P94" s="100">
        <v>0.71</v>
      </c>
      <c r="Q94" s="100">
        <v>9.32</v>
      </c>
      <c r="R94" s="6"/>
      <c r="S94" s="6"/>
      <c r="T94" s="156"/>
      <c r="U94" s="6"/>
    </row>
    <row r="95" spans="1:21" customFormat="1">
      <c r="A95" s="201" t="s">
        <v>1866</v>
      </c>
      <c r="B95" s="100">
        <v>10.19</v>
      </c>
      <c r="C95" s="100">
        <v>21.24</v>
      </c>
      <c r="D95" s="100">
        <v>19.27</v>
      </c>
      <c r="E95" s="100">
        <v>7.16</v>
      </c>
      <c r="F95" s="151" t="s">
        <v>8</v>
      </c>
      <c r="G95" s="100">
        <v>63.92</v>
      </c>
      <c r="H95" s="100">
        <v>17.29</v>
      </c>
      <c r="I95" s="100">
        <v>11.25</v>
      </c>
      <c r="J95" s="100">
        <v>0.17</v>
      </c>
      <c r="K95" s="100">
        <v>164.2</v>
      </c>
      <c r="L95" s="100">
        <v>15.37</v>
      </c>
      <c r="M95" s="100">
        <v>21.04</v>
      </c>
      <c r="N95" s="100">
        <v>1.3</v>
      </c>
      <c r="O95" s="100">
        <v>0</v>
      </c>
      <c r="P95" s="100">
        <v>0.72</v>
      </c>
      <c r="Q95" s="100">
        <v>9.32</v>
      </c>
      <c r="R95" s="6"/>
      <c r="S95" s="6"/>
      <c r="T95" s="156"/>
      <c r="U95" s="6"/>
    </row>
    <row r="96" spans="1:21" customFormat="1">
      <c r="A96" s="201" t="s">
        <v>1867</v>
      </c>
      <c r="B96" s="100">
        <v>10.88</v>
      </c>
      <c r="C96" s="100">
        <v>21.23</v>
      </c>
      <c r="D96" s="100">
        <v>19.82</v>
      </c>
      <c r="E96" s="100">
        <v>7.08</v>
      </c>
      <c r="F96" s="151" t="s">
        <v>8</v>
      </c>
      <c r="G96" s="100">
        <v>63.92</v>
      </c>
      <c r="H96" s="100">
        <v>18.36</v>
      </c>
      <c r="I96" s="100">
        <v>11.39</v>
      </c>
      <c r="J96" s="100">
        <v>0.17</v>
      </c>
      <c r="K96" s="100">
        <v>178.81</v>
      </c>
      <c r="L96" s="100">
        <v>16.43</v>
      </c>
      <c r="M96" s="100">
        <v>23.6</v>
      </c>
      <c r="N96" s="100">
        <v>1.4</v>
      </c>
      <c r="O96" s="100">
        <v>0</v>
      </c>
      <c r="P96" s="100">
        <v>0.74</v>
      </c>
      <c r="Q96" s="100">
        <v>9.32</v>
      </c>
      <c r="R96" s="6"/>
      <c r="S96" s="6"/>
      <c r="T96" s="156"/>
      <c r="U96" s="6"/>
    </row>
    <row r="97" spans="1:28" customFormat="1">
      <c r="A97" s="201" t="s">
        <v>1868</v>
      </c>
      <c r="B97" s="100">
        <v>11.08</v>
      </c>
      <c r="C97" s="100">
        <v>21.24</v>
      </c>
      <c r="D97" s="100">
        <v>19.98</v>
      </c>
      <c r="E97" s="100">
        <v>7.06</v>
      </c>
      <c r="F97" s="151" t="s">
        <v>8</v>
      </c>
      <c r="G97" s="100">
        <v>63.92</v>
      </c>
      <c r="H97" s="100">
        <v>18.36</v>
      </c>
      <c r="I97" s="100">
        <v>11.81</v>
      </c>
      <c r="J97" s="100">
        <v>0.18</v>
      </c>
      <c r="K97" s="100">
        <v>178.82</v>
      </c>
      <c r="L97" s="100">
        <v>16.36</v>
      </c>
      <c r="M97" s="100">
        <v>23.44</v>
      </c>
      <c r="N97" s="100">
        <v>1.4</v>
      </c>
      <c r="O97" s="100">
        <v>0</v>
      </c>
      <c r="P97" s="100">
        <v>0.74</v>
      </c>
      <c r="Q97" s="100">
        <v>9.32</v>
      </c>
      <c r="R97" s="6"/>
      <c r="S97" s="6"/>
      <c r="T97" s="156"/>
      <c r="U97" s="6"/>
    </row>
    <row r="98" spans="1:28" customFormat="1">
      <c r="A98" s="201" t="s">
        <v>1869</v>
      </c>
      <c r="B98" s="100">
        <v>11.4</v>
      </c>
      <c r="C98" s="100">
        <v>21.2</v>
      </c>
      <c r="D98" s="100">
        <v>20.22</v>
      </c>
      <c r="E98" s="100">
        <v>6.91</v>
      </c>
      <c r="F98" s="151" t="s">
        <v>8</v>
      </c>
      <c r="G98" s="100">
        <v>63.92</v>
      </c>
      <c r="H98" s="100">
        <v>18.36</v>
      </c>
      <c r="I98" s="100">
        <v>11.96</v>
      </c>
      <c r="J98" s="100">
        <v>0.22</v>
      </c>
      <c r="K98" s="100">
        <v>156.57</v>
      </c>
      <c r="L98" s="100">
        <v>15.02</v>
      </c>
      <c r="M98" s="100">
        <v>20.07</v>
      </c>
      <c r="N98" s="100">
        <v>1.3</v>
      </c>
      <c r="O98" s="100">
        <v>0</v>
      </c>
      <c r="P98" s="100">
        <v>0.75</v>
      </c>
      <c r="Q98" s="100">
        <v>9.32</v>
      </c>
      <c r="R98" s="6"/>
      <c r="S98" s="6"/>
      <c r="T98" s="156"/>
      <c r="U98" s="6"/>
    </row>
    <row r="99" spans="1:28" customFormat="1">
      <c r="A99" s="201" t="s">
        <v>1870</v>
      </c>
      <c r="B99" s="100">
        <v>11.69</v>
      </c>
      <c r="C99" s="100">
        <v>21.14</v>
      </c>
      <c r="D99" s="100">
        <v>20.420000000000002</v>
      </c>
      <c r="E99" s="100">
        <v>4.3499999999999996</v>
      </c>
      <c r="F99" s="151" t="s">
        <v>8</v>
      </c>
      <c r="G99" s="100">
        <v>64.260000000000005</v>
      </c>
      <c r="H99" s="100">
        <v>18.420000000000002</v>
      </c>
      <c r="I99" s="100">
        <v>12.08</v>
      </c>
      <c r="J99" s="100">
        <v>0.15</v>
      </c>
      <c r="K99" s="100">
        <v>157.21</v>
      </c>
      <c r="L99" s="100">
        <v>15.37</v>
      </c>
      <c r="M99" s="100">
        <v>20.96</v>
      </c>
      <c r="N99" s="100">
        <v>1.3</v>
      </c>
      <c r="O99" s="100">
        <v>0</v>
      </c>
      <c r="P99" s="100">
        <v>0.78</v>
      </c>
      <c r="Q99" s="100">
        <v>9.32</v>
      </c>
      <c r="R99" s="6"/>
      <c r="S99" s="6"/>
      <c r="T99" s="156"/>
      <c r="U99" s="6"/>
    </row>
    <row r="100" spans="1:28" customFormat="1">
      <c r="A100" s="201" t="s">
        <v>1871</v>
      </c>
      <c r="B100" s="100">
        <v>11.88</v>
      </c>
      <c r="C100" s="100">
        <v>20.66</v>
      </c>
      <c r="D100" s="100">
        <v>20.32</v>
      </c>
      <c r="E100" s="100">
        <v>6.64</v>
      </c>
      <c r="F100" s="151" t="s">
        <v>8</v>
      </c>
      <c r="G100" s="100">
        <v>67.31</v>
      </c>
      <c r="H100" s="100">
        <v>18.850000000000001</v>
      </c>
      <c r="I100" s="100">
        <v>12.19</v>
      </c>
      <c r="J100" s="100">
        <v>0.21</v>
      </c>
      <c r="K100" s="100">
        <v>175.15</v>
      </c>
      <c r="L100" s="100">
        <v>16.52</v>
      </c>
      <c r="M100" s="100">
        <v>23.78</v>
      </c>
      <c r="N100" s="100">
        <v>1.3</v>
      </c>
      <c r="O100" s="100">
        <v>0</v>
      </c>
      <c r="P100" s="100">
        <v>0.79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1872</v>
      </c>
      <c r="B101" s="100">
        <v>11.85</v>
      </c>
      <c r="C101" s="100">
        <v>20.28</v>
      </c>
      <c r="D101" s="100">
        <v>20.100000000000001</v>
      </c>
      <c r="E101" s="100">
        <v>6.71</v>
      </c>
      <c r="F101" s="151" t="s">
        <v>8</v>
      </c>
      <c r="G101" s="100">
        <v>67.31</v>
      </c>
      <c r="H101" s="100">
        <v>18.850000000000001</v>
      </c>
      <c r="I101" s="100">
        <v>12.3</v>
      </c>
      <c r="J101" s="100">
        <v>0.16</v>
      </c>
      <c r="K101" s="100">
        <v>195.15</v>
      </c>
      <c r="L101" s="100">
        <v>17.48</v>
      </c>
      <c r="M101" s="100">
        <v>26.18</v>
      </c>
      <c r="N101" s="100">
        <v>1.4</v>
      </c>
      <c r="O101" s="100">
        <v>0</v>
      </c>
      <c r="P101" s="100">
        <v>0.81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1873</v>
      </c>
      <c r="B102" s="100">
        <v>11.73</v>
      </c>
      <c r="C102" s="100">
        <v>19.82</v>
      </c>
      <c r="D102" s="100">
        <v>19.77</v>
      </c>
      <c r="E102" s="100">
        <v>6.81</v>
      </c>
      <c r="F102" s="151" t="s">
        <v>8</v>
      </c>
      <c r="G102" s="100">
        <v>67.31</v>
      </c>
      <c r="H102" s="100">
        <v>18.850000000000001</v>
      </c>
      <c r="I102" s="100">
        <v>12.39</v>
      </c>
      <c r="J102" s="100">
        <v>0.18</v>
      </c>
      <c r="K102" s="100">
        <v>214.72</v>
      </c>
      <c r="L102" s="100">
        <v>19.02</v>
      </c>
      <c r="M102" s="100">
        <v>30.03</v>
      </c>
      <c r="N102" s="100">
        <v>1.5</v>
      </c>
      <c r="O102" s="100">
        <v>0</v>
      </c>
      <c r="P102" s="100">
        <v>0.81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1874</v>
      </c>
      <c r="B103" s="100">
        <v>11.64</v>
      </c>
      <c r="C103" s="100">
        <v>19.29</v>
      </c>
      <c r="D103" s="100">
        <v>19.420000000000002</v>
      </c>
      <c r="E103" s="100">
        <v>6.77</v>
      </c>
      <c r="F103" s="151" t="s">
        <v>8</v>
      </c>
      <c r="G103" s="100">
        <v>66.38</v>
      </c>
      <c r="H103" s="100">
        <v>19.079999999999998</v>
      </c>
      <c r="I103" s="100">
        <v>12.47</v>
      </c>
      <c r="J103" s="100">
        <v>0.18</v>
      </c>
      <c r="K103" s="100">
        <v>228.86</v>
      </c>
      <c r="L103" s="100">
        <v>20.11</v>
      </c>
      <c r="M103" s="100">
        <v>32.75</v>
      </c>
      <c r="N103" s="100">
        <v>1.4</v>
      </c>
      <c r="O103" s="100">
        <v>0</v>
      </c>
      <c r="P103" s="100">
        <v>0.82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1875</v>
      </c>
      <c r="B104" s="100">
        <v>11.86</v>
      </c>
      <c r="C104" s="100">
        <v>18.899999999999999</v>
      </c>
      <c r="D104" s="100">
        <v>19.39</v>
      </c>
      <c r="E104" s="100">
        <v>6.96</v>
      </c>
      <c r="F104" s="151" t="s">
        <v>8</v>
      </c>
      <c r="G104" s="100">
        <v>57.94</v>
      </c>
      <c r="H104" s="100">
        <v>19.38</v>
      </c>
      <c r="I104" s="100">
        <v>12.57</v>
      </c>
      <c r="J104" s="100">
        <v>0.24</v>
      </c>
      <c r="K104" s="100">
        <v>181.18</v>
      </c>
      <c r="L104" s="100">
        <v>17.489999999999998</v>
      </c>
      <c r="M104" s="100">
        <v>26.19</v>
      </c>
      <c r="N104" s="100">
        <v>1.4</v>
      </c>
      <c r="O104" s="100">
        <v>0</v>
      </c>
      <c r="P104" s="100">
        <v>0.82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1.91</v>
      </c>
      <c r="C106" s="158">
        <f>MIN(C9:C104)</f>
        <v>14.16</v>
      </c>
      <c r="D106" s="158">
        <f t="shared" ref="D106:Q106" si="0">MIN(D9:D104)</f>
        <v>9.0399999999999991</v>
      </c>
      <c r="E106" s="158">
        <f t="shared" si="0"/>
        <v>3.05</v>
      </c>
      <c r="F106" s="158">
        <f t="shared" si="0"/>
        <v>0</v>
      </c>
      <c r="G106" s="158">
        <f t="shared" si="0"/>
        <v>30.63</v>
      </c>
      <c r="H106" s="158">
        <f t="shared" si="0"/>
        <v>11.74</v>
      </c>
      <c r="I106" s="158">
        <f t="shared" si="0"/>
        <v>8.2200000000000006</v>
      </c>
      <c r="J106" s="158">
        <f t="shared" si="0"/>
        <v>0.02</v>
      </c>
      <c r="K106" s="158">
        <f t="shared" si="0"/>
        <v>6.89</v>
      </c>
      <c r="L106" s="158">
        <f t="shared" si="0"/>
        <v>6.76</v>
      </c>
      <c r="M106" s="158">
        <f t="shared" si="0"/>
        <v>1.5</v>
      </c>
      <c r="N106" s="158">
        <f t="shared" si="0"/>
        <v>0.7</v>
      </c>
      <c r="O106" s="158">
        <f t="shared" si="0"/>
        <v>0</v>
      </c>
      <c r="P106" s="158">
        <f t="shared" si="0"/>
        <v>0.44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15.76</v>
      </c>
      <c r="C107" s="157">
        <f t="shared" ref="C107:Q107" si="1">MAX(C9:C104)</f>
        <v>21.41</v>
      </c>
      <c r="D107" s="157">
        <f t="shared" si="1"/>
        <v>22.61</v>
      </c>
      <c r="E107" s="157">
        <f t="shared" si="1"/>
        <v>8.19</v>
      </c>
      <c r="F107" s="157">
        <f t="shared" si="1"/>
        <v>0</v>
      </c>
      <c r="G107" s="157">
        <f t="shared" si="1"/>
        <v>67.31</v>
      </c>
      <c r="H107" s="157">
        <f t="shared" si="1"/>
        <v>19.38</v>
      </c>
      <c r="I107" s="157">
        <f t="shared" si="1"/>
        <v>13.03</v>
      </c>
      <c r="J107" s="157">
        <f t="shared" si="1"/>
        <v>0.95</v>
      </c>
      <c r="K107" s="157">
        <f t="shared" si="1"/>
        <v>250.83</v>
      </c>
      <c r="L107" s="157">
        <f t="shared" si="1"/>
        <v>23.91</v>
      </c>
      <c r="M107" s="157">
        <f t="shared" si="1"/>
        <v>32.75</v>
      </c>
      <c r="N107" s="157">
        <f t="shared" si="1"/>
        <v>594.29999999999995</v>
      </c>
      <c r="O107" s="157">
        <f t="shared" si="1"/>
        <v>0</v>
      </c>
      <c r="P107" s="157">
        <f t="shared" si="1"/>
        <v>0.82</v>
      </c>
      <c r="Q107" s="157">
        <f t="shared" si="1"/>
        <v>11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8.0862500000000015</v>
      </c>
      <c r="C108" s="158">
        <f t="shared" ref="C108:Q108" si="2">AVERAGE(C9:C104)</f>
        <v>18.105729166666674</v>
      </c>
      <c r="D108" s="158">
        <f t="shared" si="2"/>
        <v>15.944895833333334</v>
      </c>
      <c r="E108" s="158">
        <f t="shared" si="2"/>
        <v>6.0534375000000011</v>
      </c>
      <c r="F108" s="158" t="e">
        <f t="shared" si="2"/>
        <v>#DIV/0!</v>
      </c>
      <c r="G108" s="158">
        <f t="shared" si="2"/>
        <v>46.03250000000002</v>
      </c>
      <c r="H108" s="158">
        <f t="shared" si="2"/>
        <v>14.363645833333335</v>
      </c>
      <c r="I108" s="158">
        <f t="shared" si="2"/>
        <v>10.71</v>
      </c>
      <c r="J108" s="158">
        <f t="shared" si="2"/>
        <v>0.29927083333333321</v>
      </c>
      <c r="K108" s="158">
        <f t="shared" si="2"/>
        <v>115.35729166666664</v>
      </c>
      <c r="L108" s="158">
        <f t="shared" si="2"/>
        <v>14.934166666666664</v>
      </c>
      <c r="M108" s="158">
        <f t="shared" si="2"/>
        <v>16.982604166666665</v>
      </c>
      <c r="N108" s="158">
        <f t="shared" si="2"/>
        <v>119.8520833333332</v>
      </c>
      <c r="O108" s="158">
        <f t="shared" si="2"/>
        <v>0</v>
      </c>
      <c r="P108" s="158">
        <f t="shared" si="2"/>
        <v>0.6367708333333334</v>
      </c>
      <c r="Q108" s="158">
        <f t="shared" si="2"/>
        <v>9.3585416666666834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4.4583809310461282</v>
      </c>
      <c r="C109" s="158">
        <f t="shared" ref="C109:Q109" si="3">STDEV(C9:C104)</f>
        <v>2.2337948569013815</v>
      </c>
      <c r="D109" s="158">
        <f t="shared" si="3"/>
        <v>4.2608753720806645</v>
      </c>
      <c r="E109" s="158">
        <f t="shared" si="3"/>
        <v>0.88428838844991065</v>
      </c>
      <c r="F109" s="158" t="e">
        <f t="shared" si="3"/>
        <v>#DIV/0!</v>
      </c>
      <c r="G109" s="158">
        <f t="shared" si="3"/>
        <v>9.8186029663350816</v>
      </c>
      <c r="H109" s="158">
        <f t="shared" si="3"/>
        <v>1.9771404762229561</v>
      </c>
      <c r="I109" s="158">
        <f t="shared" si="3"/>
        <v>1.4676877625779439</v>
      </c>
      <c r="J109" s="158">
        <f t="shared" si="3"/>
        <v>0.20528924288820941</v>
      </c>
      <c r="K109" s="158">
        <f t="shared" si="3"/>
        <v>67.42772254291674</v>
      </c>
      <c r="L109" s="158">
        <f t="shared" si="3"/>
        <v>3.2314085788567257</v>
      </c>
      <c r="M109" s="158">
        <f t="shared" si="3"/>
        <v>8.0225092865133529</v>
      </c>
      <c r="N109" s="158">
        <f t="shared" si="3"/>
        <v>195.07720198028318</v>
      </c>
      <c r="O109" s="158">
        <f t="shared" si="3"/>
        <v>0</v>
      </c>
      <c r="P109" s="158">
        <f t="shared" si="3"/>
        <v>0.10121883319314853</v>
      </c>
      <c r="Q109" s="158">
        <f t="shared" si="3"/>
        <v>0.18782398908870238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82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1876</v>
      </c>
      <c r="B9" s="100">
        <v>11.68</v>
      </c>
      <c r="C9" s="100">
        <v>18.03</v>
      </c>
      <c r="D9" s="100">
        <v>18.78</v>
      </c>
      <c r="E9" s="100">
        <v>6.63</v>
      </c>
      <c r="F9" s="151" t="s">
        <v>8</v>
      </c>
      <c r="G9" s="100">
        <v>57.94</v>
      </c>
      <c r="H9" s="100">
        <v>19.38</v>
      </c>
      <c r="I9" s="100">
        <v>12.63</v>
      </c>
      <c r="J9" s="100">
        <v>0.12</v>
      </c>
      <c r="K9" s="100">
        <v>182.77</v>
      </c>
      <c r="L9" s="100">
        <v>16.27</v>
      </c>
      <c r="M9" s="100">
        <v>23.17</v>
      </c>
      <c r="N9" s="100">
        <v>1.3</v>
      </c>
      <c r="O9" s="100">
        <v>0</v>
      </c>
      <c r="P9" s="100">
        <v>0.81</v>
      </c>
      <c r="Q9" s="100">
        <v>9.32</v>
      </c>
      <c r="R9" s="6"/>
      <c r="S9" s="6"/>
      <c r="T9" s="156"/>
      <c r="U9" s="6"/>
    </row>
    <row r="10" spans="1:21" customFormat="1">
      <c r="A10" s="201" t="s">
        <v>1877</v>
      </c>
      <c r="B10" s="100">
        <v>11.62</v>
      </c>
      <c r="C10" s="100">
        <v>18.079999999999998</v>
      </c>
      <c r="D10" s="100">
        <v>18.760000000000002</v>
      </c>
      <c r="E10" s="100">
        <v>6.63</v>
      </c>
      <c r="F10" s="151" t="s">
        <v>8</v>
      </c>
      <c r="G10" s="100">
        <v>57.94</v>
      </c>
      <c r="H10" s="100">
        <v>19.38</v>
      </c>
      <c r="I10" s="100">
        <v>12.66</v>
      </c>
      <c r="J10" s="100">
        <v>0.1</v>
      </c>
      <c r="K10" s="100">
        <v>204.94</v>
      </c>
      <c r="L10" s="100">
        <v>17.86</v>
      </c>
      <c r="M10" s="100">
        <v>27.13</v>
      </c>
      <c r="N10" s="100">
        <v>1.2</v>
      </c>
      <c r="O10" s="100">
        <v>0</v>
      </c>
      <c r="P10" s="100">
        <v>0.81</v>
      </c>
      <c r="Q10" s="100">
        <v>9.32</v>
      </c>
      <c r="R10" s="6"/>
      <c r="S10" s="6"/>
      <c r="T10" s="156"/>
      <c r="U10" s="6"/>
    </row>
    <row r="11" spans="1:21" customFormat="1">
      <c r="A11" s="201" t="s">
        <v>1878</v>
      </c>
      <c r="B11" s="100">
        <v>13</v>
      </c>
      <c r="C11" s="100">
        <v>18.399999999999999</v>
      </c>
      <c r="D11" s="100">
        <v>20.04</v>
      </c>
      <c r="E11" s="100">
        <v>6.63</v>
      </c>
      <c r="F11" s="151" t="s">
        <v>8</v>
      </c>
      <c r="G11" s="100">
        <v>57.41</v>
      </c>
      <c r="H11" s="100">
        <v>18.8</v>
      </c>
      <c r="I11" s="100">
        <v>12.64</v>
      </c>
      <c r="J11" s="100">
        <v>0.12</v>
      </c>
      <c r="K11" s="100">
        <v>187.95</v>
      </c>
      <c r="L11" s="100">
        <v>16.7</v>
      </c>
      <c r="M11" s="100">
        <v>24.27</v>
      </c>
      <c r="N11" s="100">
        <v>1</v>
      </c>
      <c r="O11" s="100">
        <v>0</v>
      </c>
      <c r="P11" s="100">
        <v>0.81</v>
      </c>
      <c r="Q11" s="100">
        <v>9.32</v>
      </c>
      <c r="R11" s="6"/>
      <c r="S11" s="6"/>
      <c r="T11" s="156"/>
      <c r="U11" s="6"/>
    </row>
    <row r="12" spans="1:21" customFormat="1">
      <c r="A12" s="201" t="s">
        <v>1879</v>
      </c>
      <c r="B12" s="100">
        <v>15.32</v>
      </c>
      <c r="C12" s="100">
        <v>18.91</v>
      </c>
      <c r="D12" s="100">
        <v>22.16</v>
      </c>
      <c r="E12" s="100">
        <v>6.7</v>
      </c>
      <c r="F12" s="151" t="s">
        <v>8</v>
      </c>
      <c r="G12" s="100">
        <v>52.66</v>
      </c>
      <c r="H12" s="100">
        <v>18.54</v>
      </c>
      <c r="I12" s="100">
        <v>12.61</v>
      </c>
      <c r="J12" s="100">
        <v>0.14000000000000001</v>
      </c>
      <c r="K12" s="100">
        <v>214.74</v>
      </c>
      <c r="L12" s="100">
        <v>18.98</v>
      </c>
      <c r="M12" s="100">
        <v>29.91</v>
      </c>
      <c r="N12" s="100">
        <v>1.3</v>
      </c>
      <c r="O12" s="100">
        <v>0</v>
      </c>
      <c r="P12" s="100">
        <v>0.81</v>
      </c>
      <c r="Q12" s="100">
        <v>9.32</v>
      </c>
      <c r="R12" s="6"/>
      <c r="S12" s="6"/>
      <c r="T12" s="156"/>
      <c r="U12" s="6"/>
    </row>
    <row r="13" spans="1:21" customFormat="1">
      <c r="A13" s="201" t="s">
        <v>1880</v>
      </c>
      <c r="B13" s="100">
        <v>16.989999999999998</v>
      </c>
      <c r="C13" s="100">
        <v>19.5</v>
      </c>
      <c r="D13" s="100">
        <v>23.82</v>
      </c>
      <c r="E13" s="100">
        <v>6.89</v>
      </c>
      <c r="F13" s="151" t="s">
        <v>8</v>
      </c>
      <c r="G13" s="100">
        <v>52.66</v>
      </c>
      <c r="H13" s="100">
        <v>18.54</v>
      </c>
      <c r="I13" s="100">
        <v>12.58</v>
      </c>
      <c r="J13" s="100">
        <v>0.14000000000000001</v>
      </c>
      <c r="K13" s="100">
        <v>160.38999999999999</v>
      </c>
      <c r="L13" s="100">
        <v>14.83</v>
      </c>
      <c r="M13" s="100">
        <v>19.54</v>
      </c>
      <c r="N13" s="100">
        <v>1.2</v>
      </c>
      <c r="O13" s="100">
        <v>0</v>
      </c>
      <c r="P13" s="100">
        <v>0.8</v>
      </c>
      <c r="Q13" s="100">
        <v>9.32</v>
      </c>
      <c r="R13" s="6"/>
      <c r="S13" s="6"/>
      <c r="T13" s="156"/>
      <c r="U13" s="6"/>
    </row>
    <row r="14" spans="1:21" customFormat="1">
      <c r="A14" s="201" t="s">
        <v>1881</v>
      </c>
      <c r="B14" s="100">
        <v>18.05</v>
      </c>
      <c r="C14" s="100">
        <v>19.86</v>
      </c>
      <c r="D14" s="100">
        <v>24.85</v>
      </c>
      <c r="E14" s="100">
        <v>6.44</v>
      </c>
      <c r="F14" s="151" t="s">
        <v>8</v>
      </c>
      <c r="G14" s="100">
        <v>52.66</v>
      </c>
      <c r="H14" s="100">
        <v>18.54</v>
      </c>
      <c r="I14" s="100">
        <v>12.58</v>
      </c>
      <c r="J14" s="100">
        <v>0.1</v>
      </c>
      <c r="K14" s="100">
        <v>167.27</v>
      </c>
      <c r="L14" s="100">
        <v>15.59</v>
      </c>
      <c r="M14" s="100">
        <v>21.5</v>
      </c>
      <c r="N14" s="100">
        <v>1.3</v>
      </c>
      <c r="O14" s="100">
        <v>0</v>
      </c>
      <c r="P14" s="100">
        <v>0.8</v>
      </c>
      <c r="Q14" s="100">
        <v>9.32</v>
      </c>
      <c r="R14" s="6"/>
      <c r="S14" s="6"/>
      <c r="T14" s="156"/>
      <c r="U14" s="6"/>
    </row>
    <row r="15" spans="1:21" customFormat="1">
      <c r="A15" s="201" t="s">
        <v>1882</v>
      </c>
      <c r="B15" s="100">
        <v>19.13</v>
      </c>
      <c r="C15" s="100">
        <v>20.04</v>
      </c>
      <c r="D15" s="100">
        <v>25.81</v>
      </c>
      <c r="E15" s="100">
        <v>6.64</v>
      </c>
      <c r="F15" s="151" t="s">
        <v>8</v>
      </c>
      <c r="G15" s="100">
        <v>52.55</v>
      </c>
      <c r="H15" s="100">
        <v>18.43</v>
      </c>
      <c r="I15" s="100">
        <v>12.53</v>
      </c>
      <c r="J15" s="100">
        <v>0.1</v>
      </c>
      <c r="K15" s="100">
        <v>348.5</v>
      </c>
      <c r="L15" s="100">
        <v>17.55</v>
      </c>
      <c r="M15" s="100">
        <v>26.18</v>
      </c>
      <c r="N15" s="100">
        <v>1.1000000000000001</v>
      </c>
      <c r="O15" s="100">
        <v>0</v>
      </c>
      <c r="P15" s="100">
        <v>0.79</v>
      </c>
      <c r="Q15" s="100">
        <v>9.32</v>
      </c>
      <c r="R15" s="6"/>
      <c r="S15" s="6"/>
      <c r="T15" s="156"/>
      <c r="U15" s="6"/>
    </row>
    <row r="16" spans="1:21" customFormat="1">
      <c r="A16" s="201" t="s">
        <v>1883</v>
      </c>
      <c r="B16" s="100">
        <v>19.739999999999998</v>
      </c>
      <c r="C16" s="100">
        <v>20.22</v>
      </c>
      <c r="D16" s="100">
        <v>26.39</v>
      </c>
      <c r="E16" s="100">
        <v>6.61</v>
      </c>
      <c r="F16" s="151" t="s">
        <v>8</v>
      </c>
      <c r="G16" s="100">
        <v>51.51</v>
      </c>
      <c r="H16" s="100">
        <v>17.489999999999998</v>
      </c>
      <c r="I16" s="100">
        <v>12.45</v>
      </c>
      <c r="J16" s="100">
        <v>0.1</v>
      </c>
      <c r="K16" s="100">
        <v>151.13</v>
      </c>
      <c r="L16" s="100">
        <v>13.73</v>
      </c>
      <c r="M16" s="100">
        <v>16.79</v>
      </c>
      <c r="N16" s="100">
        <v>1.3</v>
      </c>
      <c r="O16" s="100">
        <v>0</v>
      </c>
      <c r="P16" s="100">
        <v>0.78</v>
      </c>
      <c r="Q16" s="100">
        <v>9.32</v>
      </c>
      <c r="R16" s="6"/>
      <c r="S16" s="6"/>
      <c r="T16" s="156"/>
      <c r="U16" s="6"/>
    </row>
    <row r="17" spans="1:21" customFormat="1">
      <c r="A17" s="201" t="s">
        <v>1884</v>
      </c>
      <c r="B17" s="100">
        <v>19.48</v>
      </c>
      <c r="C17" s="100">
        <v>19.93</v>
      </c>
      <c r="D17" s="100">
        <v>26.03</v>
      </c>
      <c r="E17" s="100">
        <v>4.41</v>
      </c>
      <c r="F17" s="151" t="s">
        <v>8</v>
      </c>
      <c r="G17" s="100">
        <v>51.51</v>
      </c>
      <c r="H17" s="100">
        <v>17.489999999999998</v>
      </c>
      <c r="I17" s="100">
        <v>12.4</v>
      </c>
      <c r="J17" s="100">
        <v>0.04</v>
      </c>
      <c r="K17" s="100">
        <v>84.07</v>
      </c>
      <c r="L17" s="100">
        <v>14.75</v>
      </c>
      <c r="M17" s="100">
        <v>19.21</v>
      </c>
      <c r="N17" s="100">
        <v>1</v>
      </c>
      <c r="O17" s="100">
        <v>0</v>
      </c>
      <c r="P17" s="100">
        <v>0.77</v>
      </c>
      <c r="Q17" s="100">
        <v>9.32</v>
      </c>
      <c r="R17" s="6"/>
      <c r="S17" s="6"/>
      <c r="T17" s="156"/>
      <c r="U17" s="6"/>
    </row>
    <row r="18" spans="1:21" customFormat="1">
      <c r="A18" s="201" t="s">
        <v>1885</v>
      </c>
      <c r="B18" s="100">
        <v>18.98</v>
      </c>
      <c r="C18" s="100">
        <v>19.850000000000001</v>
      </c>
      <c r="D18" s="100">
        <v>25.59</v>
      </c>
      <c r="E18" s="100">
        <v>5.26</v>
      </c>
      <c r="F18" s="151" t="s">
        <v>8</v>
      </c>
      <c r="G18" s="100">
        <v>51.51</v>
      </c>
      <c r="H18" s="100">
        <v>17.489999999999998</v>
      </c>
      <c r="I18" s="100">
        <v>12.32</v>
      </c>
      <c r="J18" s="100">
        <v>0.2</v>
      </c>
      <c r="K18" s="100">
        <v>22.53</v>
      </c>
      <c r="L18" s="100">
        <v>13.28</v>
      </c>
      <c r="M18" s="100">
        <v>15.35</v>
      </c>
      <c r="N18" s="100">
        <v>1.1000000000000001</v>
      </c>
      <c r="O18" s="100">
        <v>0</v>
      </c>
      <c r="P18" s="100">
        <v>0.76</v>
      </c>
      <c r="Q18" s="100">
        <v>9.32</v>
      </c>
      <c r="R18" s="6"/>
      <c r="S18" s="6"/>
      <c r="T18" s="156"/>
      <c r="U18" s="6"/>
    </row>
    <row r="19" spans="1:21" customFormat="1">
      <c r="A19" s="201" t="s">
        <v>1886</v>
      </c>
      <c r="B19" s="100">
        <v>18.670000000000002</v>
      </c>
      <c r="C19" s="100">
        <v>19.690000000000001</v>
      </c>
      <c r="D19" s="100">
        <v>25.26</v>
      </c>
      <c r="E19" s="100">
        <v>5.08</v>
      </c>
      <c r="F19" s="151" t="s">
        <v>8</v>
      </c>
      <c r="G19" s="100">
        <v>51.39</v>
      </c>
      <c r="H19" s="100">
        <v>17.510000000000002</v>
      </c>
      <c r="I19" s="100">
        <v>12.27</v>
      </c>
      <c r="J19" s="100">
        <v>0.14000000000000001</v>
      </c>
      <c r="K19" s="100">
        <v>139.02000000000001</v>
      </c>
      <c r="L19" s="100">
        <v>13.29</v>
      </c>
      <c r="M19" s="100">
        <v>15.66</v>
      </c>
      <c r="N19" s="100">
        <v>1.3</v>
      </c>
      <c r="O19" s="100">
        <v>0</v>
      </c>
      <c r="P19" s="100">
        <v>0.76</v>
      </c>
      <c r="Q19" s="100">
        <v>9.32</v>
      </c>
      <c r="R19" s="6"/>
      <c r="S19" s="6"/>
      <c r="T19" s="156"/>
      <c r="U19" s="6"/>
    </row>
    <row r="20" spans="1:21" customFormat="1">
      <c r="A20" s="201" t="s">
        <v>1887</v>
      </c>
      <c r="B20" s="100">
        <v>18.16</v>
      </c>
      <c r="C20" s="100">
        <v>19.54</v>
      </c>
      <c r="D20" s="100">
        <v>24.77</v>
      </c>
      <c r="E20" s="100">
        <v>5.13</v>
      </c>
      <c r="F20" s="151" t="s">
        <v>8</v>
      </c>
      <c r="G20" s="100">
        <v>50.2</v>
      </c>
      <c r="H20" s="100">
        <v>17.649999999999999</v>
      </c>
      <c r="I20" s="100">
        <v>12.22</v>
      </c>
      <c r="J20" s="100">
        <v>0.13</v>
      </c>
      <c r="K20" s="100">
        <v>171.86</v>
      </c>
      <c r="L20" s="100">
        <v>16.260000000000002</v>
      </c>
      <c r="M20" s="100">
        <v>23.15</v>
      </c>
      <c r="N20" s="100">
        <v>1.4</v>
      </c>
      <c r="O20" s="100">
        <v>0</v>
      </c>
      <c r="P20" s="100">
        <v>0.76</v>
      </c>
      <c r="Q20" s="100">
        <v>9.32</v>
      </c>
      <c r="R20" s="6"/>
      <c r="S20" s="6"/>
      <c r="T20" s="156"/>
      <c r="U20" s="6"/>
    </row>
    <row r="21" spans="1:21" customFormat="1">
      <c r="A21" s="201" t="s">
        <v>1888</v>
      </c>
      <c r="B21" s="100">
        <v>17.690000000000001</v>
      </c>
      <c r="C21" s="100">
        <v>19.420000000000002</v>
      </c>
      <c r="D21" s="100">
        <v>24.33</v>
      </c>
      <c r="E21" s="100">
        <v>5.29</v>
      </c>
      <c r="F21" s="151" t="s">
        <v>8</v>
      </c>
      <c r="G21" s="100">
        <v>50.2</v>
      </c>
      <c r="H21" s="100">
        <v>17.649999999999999</v>
      </c>
      <c r="I21" s="100">
        <v>12.21</v>
      </c>
      <c r="J21" s="100">
        <v>0.06</v>
      </c>
      <c r="K21" s="100">
        <v>147.09</v>
      </c>
      <c r="L21" s="100">
        <v>14.1</v>
      </c>
      <c r="M21" s="100">
        <v>17.649999999999999</v>
      </c>
      <c r="N21" s="100">
        <v>1.2</v>
      </c>
      <c r="O21" s="100">
        <v>0</v>
      </c>
      <c r="P21" s="100">
        <v>0.76</v>
      </c>
      <c r="Q21" s="100">
        <v>9.32</v>
      </c>
      <c r="R21" s="6"/>
      <c r="S21" s="6"/>
      <c r="T21" s="156"/>
      <c r="U21" s="6"/>
    </row>
    <row r="22" spans="1:21" customFormat="1">
      <c r="A22" s="201" t="s">
        <v>1889</v>
      </c>
      <c r="B22" s="100">
        <v>17.46</v>
      </c>
      <c r="C22" s="100">
        <v>19.329999999999998</v>
      </c>
      <c r="D22" s="100">
        <v>24.1</v>
      </c>
      <c r="E22" s="100">
        <v>5.17</v>
      </c>
      <c r="F22" s="151" t="s">
        <v>8</v>
      </c>
      <c r="G22" s="100">
        <v>50.2</v>
      </c>
      <c r="H22" s="100">
        <v>17.649999999999999</v>
      </c>
      <c r="I22" s="100">
        <v>12.24</v>
      </c>
      <c r="J22" s="100">
        <v>0.09</v>
      </c>
      <c r="K22" s="100">
        <v>146.37</v>
      </c>
      <c r="L22" s="100">
        <v>14.85</v>
      </c>
      <c r="M22" s="100">
        <v>19.63</v>
      </c>
      <c r="N22" s="100">
        <v>1.3</v>
      </c>
      <c r="O22" s="100">
        <v>0</v>
      </c>
      <c r="P22" s="100">
        <v>0.73</v>
      </c>
      <c r="Q22" s="100">
        <v>9.32</v>
      </c>
      <c r="R22" s="6"/>
      <c r="S22" s="6"/>
      <c r="T22" s="156"/>
      <c r="U22" s="6"/>
    </row>
    <row r="23" spans="1:21" customFormat="1">
      <c r="A23" s="201" t="s">
        <v>1890</v>
      </c>
      <c r="B23" s="100">
        <v>16.95</v>
      </c>
      <c r="C23" s="100">
        <v>19.28</v>
      </c>
      <c r="D23" s="100">
        <v>23.67</v>
      </c>
      <c r="E23" s="100">
        <v>5.12</v>
      </c>
      <c r="F23" s="151" t="s">
        <v>8</v>
      </c>
      <c r="G23" s="100">
        <v>50.11</v>
      </c>
      <c r="H23" s="100">
        <v>17.57</v>
      </c>
      <c r="I23" s="100">
        <v>12.21</v>
      </c>
      <c r="J23" s="100">
        <v>0.14000000000000001</v>
      </c>
      <c r="K23" s="100">
        <v>159.79</v>
      </c>
      <c r="L23" s="100">
        <v>14.81</v>
      </c>
      <c r="M23" s="100">
        <v>19.57</v>
      </c>
      <c r="N23" s="100">
        <v>1.2</v>
      </c>
      <c r="O23" s="100">
        <v>0</v>
      </c>
      <c r="P23" s="100">
        <v>0.71</v>
      </c>
      <c r="Q23" s="100">
        <v>9.32</v>
      </c>
      <c r="R23" s="6"/>
      <c r="S23" s="6"/>
      <c r="T23" s="156"/>
      <c r="U23" s="6"/>
    </row>
    <row r="24" spans="1:21" customFormat="1">
      <c r="A24" s="201" t="s">
        <v>1891</v>
      </c>
      <c r="B24" s="100">
        <v>16.57</v>
      </c>
      <c r="C24" s="100">
        <v>19.18</v>
      </c>
      <c r="D24" s="100">
        <v>23.3</v>
      </c>
      <c r="E24" s="100">
        <v>5.26</v>
      </c>
      <c r="F24" s="151" t="s">
        <v>8</v>
      </c>
      <c r="G24" s="100">
        <v>49.26</v>
      </c>
      <c r="H24" s="100">
        <v>16.95</v>
      </c>
      <c r="I24" s="100">
        <v>12.17</v>
      </c>
      <c r="J24" s="100">
        <v>0.12</v>
      </c>
      <c r="K24" s="100">
        <v>147.96</v>
      </c>
      <c r="L24" s="100">
        <v>14.08</v>
      </c>
      <c r="M24" s="100">
        <v>17.73</v>
      </c>
      <c r="N24" s="100">
        <v>1.2</v>
      </c>
      <c r="O24" s="100">
        <v>0</v>
      </c>
      <c r="P24" s="100">
        <v>0.72</v>
      </c>
      <c r="Q24" s="100">
        <v>9.32</v>
      </c>
      <c r="R24" s="6"/>
      <c r="S24" s="6"/>
      <c r="T24" s="156"/>
      <c r="U24" s="6"/>
    </row>
    <row r="25" spans="1:21" customFormat="1">
      <c r="A25" s="201" t="s">
        <v>1892</v>
      </c>
      <c r="B25" s="100">
        <v>16.3</v>
      </c>
      <c r="C25" s="100">
        <v>19.010000000000002</v>
      </c>
      <c r="D25" s="100">
        <v>23</v>
      </c>
      <c r="E25" s="100">
        <v>5.28</v>
      </c>
      <c r="F25" s="151" t="s">
        <v>8</v>
      </c>
      <c r="G25" s="100">
        <v>49.26</v>
      </c>
      <c r="H25" s="100">
        <v>16.95</v>
      </c>
      <c r="I25" s="100">
        <v>12.1</v>
      </c>
      <c r="J25" s="100">
        <v>0.15</v>
      </c>
      <c r="K25" s="100">
        <v>140.33000000000001</v>
      </c>
      <c r="L25" s="100">
        <v>12.89</v>
      </c>
      <c r="M25" s="100">
        <v>14.74</v>
      </c>
      <c r="N25" s="100">
        <v>1.2</v>
      </c>
      <c r="O25" s="100">
        <v>0</v>
      </c>
      <c r="P25" s="100">
        <v>0.7</v>
      </c>
      <c r="Q25" s="100">
        <v>9.32</v>
      </c>
      <c r="R25" s="6"/>
      <c r="S25" s="6"/>
      <c r="T25" s="156"/>
      <c r="U25" s="6"/>
    </row>
    <row r="26" spans="1:21" customFormat="1">
      <c r="A26" s="201" t="s">
        <v>1893</v>
      </c>
      <c r="B26" s="100">
        <v>15.85</v>
      </c>
      <c r="C26" s="100">
        <v>18.989999999999998</v>
      </c>
      <c r="D26" s="100">
        <v>22.64</v>
      </c>
      <c r="E26" s="100">
        <v>5.26</v>
      </c>
      <c r="F26" s="151" t="s">
        <v>8</v>
      </c>
      <c r="G26" s="100">
        <v>49.26</v>
      </c>
      <c r="H26" s="100">
        <v>16.95</v>
      </c>
      <c r="I26" s="100">
        <v>12.06</v>
      </c>
      <c r="J26" s="100">
        <v>0.24</v>
      </c>
      <c r="K26" s="100">
        <v>44.88</v>
      </c>
      <c r="L26" s="100">
        <v>8.83</v>
      </c>
      <c r="M26" s="100">
        <v>4.26</v>
      </c>
      <c r="N26" s="100">
        <v>1</v>
      </c>
      <c r="O26" s="100">
        <v>0</v>
      </c>
      <c r="P26" s="100">
        <v>0.7</v>
      </c>
      <c r="Q26" s="100">
        <v>9.32</v>
      </c>
      <c r="R26" s="6"/>
      <c r="S26" s="6"/>
      <c r="T26" s="156"/>
      <c r="U26" s="6"/>
    </row>
    <row r="27" spans="1:21" customFormat="1">
      <c r="A27" s="201" t="s">
        <v>1894</v>
      </c>
      <c r="B27" s="100">
        <v>15.4</v>
      </c>
      <c r="C27" s="100">
        <v>18.96</v>
      </c>
      <c r="D27" s="100">
        <v>22.25</v>
      </c>
      <c r="E27" s="100">
        <v>5.13</v>
      </c>
      <c r="F27" s="151" t="s">
        <v>8</v>
      </c>
      <c r="G27" s="100">
        <v>49.17</v>
      </c>
      <c r="H27" s="100">
        <v>16.899999999999999</v>
      </c>
      <c r="I27" s="100">
        <v>11.99</v>
      </c>
      <c r="J27" s="100">
        <v>0.19</v>
      </c>
      <c r="K27" s="100">
        <v>54.21</v>
      </c>
      <c r="L27" s="100">
        <v>8.33</v>
      </c>
      <c r="M27" s="100">
        <v>3.03</v>
      </c>
      <c r="N27" s="100">
        <v>1.1000000000000001</v>
      </c>
      <c r="O27" s="100">
        <v>0</v>
      </c>
      <c r="P27" s="100">
        <v>0.7</v>
      </c>
      <c r="Q27" s="100">
        <v>9.32</v>
      </c>
      <c r="R27" s="6"/>
      <c r="S27" s="6"/>
      <c r="T27" s="156"/>
      <c r="U27" s="6"/>
    </row>
    <row r="28" spans="1:21" customFormat="1">
      <c r="A28" s="201" t="s">
        <v>1895</v>
      </c>
      <c r="B28" s="100">
        <v>15.05</v>
      </c>
      <c r="C28" s="100">
        <v>18.77</v>
      </c>
      <c r="D28" s="100">
        <v>21.88</v>
      </c>
      <c r="E28" s="100">
        <v>5.37</v>
      </c>
      <c r="F28" s="151" t="s">
        <v>8</v>
      </c>
      <c r="G28" s="100">
        <v>48.29</v>
      </c>
      <c r="H28" s="100">
        <v>16.52</v>
      </c>
      <c r="I28" s="100">
        <v>11.88</v>
      </c>
      <c r="J28" s="100">
        <v>0.13</v>
      </c>
      <c r="K28" s="100">
        <v>124.47</v>
      </c>
      <c r="L28" s="100">
        <v>12.44</v>
      </c>
      <c r="M28" s="100">
        <v>13.56</v>
      </c>
      <c r="N28" s="100">
        <v>1.3</v>
      </c>
      <c r="O28" s="100">
        <v>0</v>
      </c>
      <c r="P28" s="100">
        <v>0.69</v>
      </c>
      <c r="Q28" s="100">
        <v>9.32</v>
      </c>
      <c r="R28" s="6"/>
      <c r="S28" s="6"/>
      <c r="T28" s="156"/>
      <c r="U28" s="6"/>
    </row>
    <row r="29" spans="1:21" customFormat="1">
      <c r="A29" s="201" t="s">
        <v>1896</v>
      </c>
      <c r="B29" s="100">
        <v>14.8</v>
      </c>
      <c r="C29" s="100">
        <v>18.78</v>
      </c>
      <c r="D29" s="100">
        <v>21.68</v>
      </c>
      <c r="E29" s="100">
        <v>5.22</v>
      </c>
      <c r="F29" s="151" t="s">
        <v>8</v>
      </c>
      <c r="G29" s="100">
        <v>48.29</v>
      </c>
      <c r="H29" s="100">
        <v>16.52</v>
      </c>
      <c r="I29" s="100">
        <v>11.85</v>
      </c>
      <c r="J29" s="100">
        <v>0.16</v>
      </c>
      <c r="K29" s="100">
        <v>192.34</v>
      </c>
      <c r="L29" s="100">
        <v>17.48</v>
      </c>
      <c r="M29" s="100">
        <v>26.29</v>
      </c>
      <c r="N29" s="100">
        <v>1.2</v>
      </c>
      <c r="O29" s="100">
        <v>0</v>
      </c>
      <c r="P29" s="100">
        <v>0.69</v>
      </c>
      <c r="Q29" s="100">
        <v>9.32</v>
      </c>
      <c r="R29" s="6"/>
      <c r="S29" s="6"/>
      <c r="T29" s="156"/>
      <c r="U29" s="6"/>
    </row>
    <row r="30" spans="1:21" customFormat="1">
      <c r="A30" s="201" t="s">
        <v>1897</v>
      </c>
      <c r="B30" s="100">
        <v>14.53</v>
      </c>
      <c r="C30" s="100">
        <v>18.68</v>
      </c>
      <c r="D30" s="100">
        <v>21.41</v>
      </c>
      <c r="E30" s="100">
        <v>5.32</v>
      </c>
      <c r="F30" s="151" t="s">
        <v>8</v>
      </c>
      <c r="G30" s="100">
        <v>48.29</v>
      </c>
      <c r="H30" s="100">
        <v>16.52</v>
      </c>
      <c r="I30" s="100">
        <v>12.01</v>
      </c>
      <c r="J30" s="100">
        <v>0.16</v>
      </c>
      <c r="K30" s="100">
        <v>204.42</v>
      </c>
      <c r="L30" s="100">
        <v>17.91</v>
      </c>
      <c r="M30" s="100">
        <v>27.34</v>
      </c>
      <c r="N30" s="100">
        <v>1.3</v>
      </c>
      <c r="O30" s="100">
        <v>0</v>
      </c>
      <c r="P30" s="100">
        <v>0.69</v>
      </c>
      <c r="Q30" s="100">
        <v>9.32</v>
      </c>
      <c r="R30" s="6"/>
      <c r="S30" s="6"/>
      <c r="T30" s="156"/>
      <c r="U30" s="6"/>
    </row>
    <row r="31" spans="1:21" customFormat="1">
      <c r="A31" s="201" t="s">
        <v>1898</v>
      </c>
      <c r="B31" s="100">
        <v>14.21</v>
      </c>
      <c r="C31" s="100">
        <v>18.47</v>
      </c>
      <c r="D31" s="100">
        <v>21.05</v>
      </c>
      <c r="E31" s="100">
        <v>5.0599999999999996</v>
      </c>
      <c r="F31" s="151" t="s">
        <v>8</v>
      </c>
      <c r="G31" s="100">
        <v>48.15</v>
      </c>
      <c r="H31" s="100">
        <v>16.54</v>
      </c>
      <c r="I31" s="100">
        <v>12.23</v>
      </c>
      <c r="J31" s="100">
        <v>0.16</v>
      </c>
      <c r="K31" s="100">
        <v>202.23</v>
      </c>
      <c r="L31" s="100">
        <v>18.14</v>
      </c>
      <c r="M31" s="100">
        <v>27.89</v>
      </c>
      <c r="N31" s="100">
        <v>1.3</v>
      </c>
      <c r="O31" s="100">
        <v>0</v>
      </c>
      <c r="P31" s="100">
        <v>0.69</v>
      </c>
      <c r="Q31" s="100">
        <v>9.32</v>
      </c>
      <c r="R31" s="6"/>
      <c r="S31" s="6"/>
      <c r="T31" s="156"/>
      <c r="U31" s="6"/>
    </row>
    <row r="32" spans="1:21" customFormat="1">
      <c r="A32" s="201" t="s">
        <v>1899</v>
      </c>
      <c r="B32" s="100">
        <v>14.1</v>
      </c>
      <c r="C32" s="100">
        <v>18.27</v>
      </c>
      <c r="D32" s="100">
        <v>20.85</v>
      </c>
      <c r="E32" s="100">
        <v>4.91</v>
      </c>
      <c r="F32" s="151" t="s">
        <v>8</v>
      </c>
      <c r="G32" s="100">
        <v>46.91</v>
      </c>
      <c r="H32" s="100">
        <v>16.68</v>
      </c>
      <c r="I32" s="100">
        <v>12.32</v>
      </c>
      <c r="J32" s="100">
        <v>0.13</v>
      </c>
      <c r="K32" s="100">
        <v>197.7</v>
      </c>
      <c r="L32" s="100">
        <v>18.100000000000001</v>
      </c>
      <c r="M32" s="100">
        <v>27.76</v>
      </c>
      <c r="N32" s="100">
        <v>1.4</v>
      </c>
      <c r="O32" s="100">
        <v>0</v>
      </c>
      <c r="P32" s="100">
        <v>0.68</v>
      </c>
      <c r="Q32" s="100">
        <v>9.32</v>
      </c>
      <c r="R32" s="6"/>
      <c r="S32" s="6"/>
      <c r="T32" s="156"/>
      <c r="U32" s="6"/>
    </row>
    <row r="33" spans="1:21" customFormat="1">
      <c r="A33" s="201" t="s">
        <v>1900</v>
      </c>
      <c r="B33" s="100">
        <v>14.51</v>
      </c>
      <c r="C33" s="100">
        <v>18.21</v>
      </c>
      <c r="D33" s="100">
        <v>21.15</v>
      </c>
      <c r="E33" s="100">
        <v>5.01</v>
      </c>
      <c r="F33" s="151" t="s">
        <v>8</v>
      </c>
      <c r="G33" s="100">
        <v>46.91</v>
      </c>
      <c r="H33" s="100">
        <v>16.68</v>
      </c>
      <c r="I33" s="100">
        <v>12.35</v>
      </c>
      <c r="J33" s="100">
        <v>0.19</v>
      </c>
      <c r="K33" s="100">
        <v>224.57</v>
      </c>
      <c r="L33" s="100">
        <v>19.63</v>
      </c>
      <c r="M33" s="100">
        <v>31.59</v>
      </c>
      <c r="N33" s="100">
        <v>2.6</v>
      </c>
      <c r="O33" s="100">
        <v>0</v>
      </c>
      <c r="P33" s="100">
        <v>0.68</v>
      </c>
      <c r="Q33" s="100">
        <v>9.32</v>
      </c>
      <c r="R33" s="6"/>
      <c r="S33" s="6"/>
      <c r="T33" s="156"/>
      <c r="U33" s="6"/>
    </row>
    <row r="34" spans="1:21" customFormat="1">
      <c r="A34" s="201" t="s">
        <v>1901</v>
      </c>
      <c r="B34" s="100">
        <v>14.7</v>
      </c>
      <c r="C34" s="100">
        <v>18.010000000000002</v>
      </c>
      <c r="D34" s="100">
        <v>21.2</v>
      </c>
      <c r="E34" s="100">
        <v>5.33</v>
      </c>
      <c r="F34" s="151" t="s">
        <v>8</v>
      </c>
      <c r="G34" s="100">
        <v>46.91</v>
      </c>
      <c r="H34" s="100">
        <v>16.68</v>
      </c>
      <c r="I34" s="100">
        <v>12.35</v>
      </c>
      <c r="J34" s="100">
        <v>0.14000000000000001</v>
      </c>
      <c r="K34" s="100">
        <v>225.45</v>
      </c>
      <c r="L34" s="100">
        <v>19.16</v>
      </c>
      <c r="M34" s="100">
        <v>30.28</v>
      </c>
      <c r="N34" s="100">
        <v>7.4</v>
      </c>
      <c r="O34" s="100">
        <v>0</v>
      </c>
      <c r="P34" s="100">
        <v>0.67</v>
      </c>
      <c r="Q34" s="100">
        <v>9.32</v>
      </c>
      <c r="R34" s="6"/>
      <c r="S34" s="6"/>
      <c r="T34" s="156"/>
      <c r="U34" s="6"/>
    </row>
    <row r="35" spans="1:21" customFormat="1">
      <c r="A35" s="201" t="s">
        <v>1902</v>
      </c>
      <c r="B35" s="100">
        <v>14.54</v>
      </c>
      <c r="C35" s="100">
        <v>17.63</v>
      </c>
      <c r="D35" s="100">
        <v>20.87</v>
      </c>
      <c r="E35" s="100">
        <v>5.36</v>
      </c>
      <c r="F35" s="151" t="s">
        <v>8</v>
      </c>
      <c r="G35" s="100">
        <v>46.76</v>
      </c>
      <c r="H35" s="100">
        <v>16.690000000000001</v>
      </c>
      <c r="I35" s="100">
        <v>12.36</v>
      </c>
      <c r="J35" s="100">
        <v>0.16</v>
      </c>
      <c r="K35" s="100">
        <v>217.18</v>
      </c>
      <c r="L35" s="100">
        <v>18.93</v>
      </c>
      <c r="M35" s="100">
        <v>29.53</v>
      </c>
      <c r="N35" s="100">
        <v>16.399999999999999</v>
      </c>
      <c r="O35" s="100">
        <v>0</v>
      </c>
      <c r="P35" s="100">
        <v>0.67</v>
      </c>
      <c r="Q35" s="100">
        <v>9.32</v>
      </c>
      <c r="R35" s="6"/>
      <c r="S35" s="6"/>
      <c r="T35" s="156"/>
      <c r="U35" s="6"/>
    </row>
    <row r="36" spans="1:21" customFormat="1">
      <c r="A36" s="201" t="s">
        <v>1903</v>
      </c>
      <c r="B36" s="100">
        <v>14.82</v>
      </c>
      <c r="C36" s="100">
        <v>17.23</v>
      </c>
      <c r="D36" s="100">
        <v>20.88</v>
      </c>
      <c r="E36" s="100">
        <v>5.24</v>
      </c>
      <c r="F36" s="151" t="s">
        <v>8</v>
      </c>
      <c r="G36" s="100">
        <v>45.43</v>
      </c>
      <c r="H36" s="100">
        <v>16.75</v>
      </c>
      <c r="I36" s="100">
        <v>12.35</v>
      </c>
      <c r="J36" s="100">
        <v>0.15</v>
      </c>
      <c r="K36" s="100">
        <v>210.09</v>
      </c>
      <c r="L36" s="100">
        <v>18.86</v>
      </c>
      <c r="M36" s="100">
        <v>29.09</v>
      </c>
      <c r="N36" s="100">
        <v>27.8</v>
      </c>
      <c r="O36" s="100">
        <v>0</v>
      </c>
      <c r="P36" s="100">
        <v>0.68</v>
      </c>
      <c r="Q36" s="100">
        <v>9.32</v>
      </c>
      <c r="R36" s="6"/>
      <c r="S36" s="6"/>
      <c r="T36" s="156"/>
      <c r="U36" s="6"/>
    </row>
    <row r="37" spans="1:21" customFormat="1">
      <c r="A37" s="201" t="s">
        <v>1904</v>
      </c>
      <c r="B37" s="100">
        <v>15.99</v>
      </c>
      <c r="C37" s="100">
        <v>17.38</v>
      </c>
      <c r="D37" s="100">
        <v>21.9</v>
      </c>
      <c r="E37" s="100">
        <v>5.3</v>
      </c>
      <c r="F37" s="151" t="s">
        <v>8</v>
      </c>
      <c r="G37" s="100">
        <v>45.43</v>
      </c>
      <c r="H37" s="100">
        <v>16.75</v>
      </c>
      <c r="I37" s="100">
        <v>12.33</v>
      </c>
      <c r="J37" s="100">
        <v>0.17</v>
      </c>
      <c r="K37" s="100">
        <v>192.64</v>
      </c>
      <c r="L37" s="100">
        <v>17.850000000000001</v>
      </c>
      <c r="M37" s="100">
        <v>26.28</v>
      </c>
      <c r="N37" s="100">
        <v>39.9</v>
      </c>
      <c r="O37" s="100">
        <v>0</v>
      </c>
      <c r="P37" s="100">
        <v>0.67</v>
      </c>
      <c r="Q37" s="100">
        <v>9.32</v>
      </c>
      <c r="R37" s="6"/>
      <c r="S37" s="6"/>
      <c r="T37" s="156"/>
      <c r="U37" s="6"/>
    </row>
    <row r="38" spans="1:21" customFormat="1">
      <c r="A38" s="201" t="s">
        <v>1905</v>
      </c>
      <c r="B38" s="100">
        <v>16.93</v>
      </c>
      <c r="C38" s="100">
        <v>17.420000000000002</v>
      </c>
      <c r="D38" s="100">
        <v>22.68</v>
      </c>
      <c r="E38" s="100">
        <v>5.51</v>
      </c>
      <c r="F38" s="151" t="s">
        <v>8</v>
      </c>
      <c r="G38" s="100">
        <v>45.43</v>
      </c>
      <c r="H38" s="100">
        <v>16.75</v>
      </c>
      <c r="I38" s="100">
        <v>12.14</v>
      </c>
      <c r="J38" s="100">
        <v>0.11</v>
      </c>
      <c r="K38" s="100">
        <v>217.25</v>
      </c>
      <c r="L38" s="100">
        <v>18.03</v>
      </c>
      <c r="M38" s="100">
        <v>26.38</v>
      </c>
      <c r="N38" s="100">
        <v>52.6</v>
      </c>
      <c r="O38" s="100">
        <v>0</v>
      </c>
      <c r="P38" s="100">
        <v>0.68</v>
      </c>
      <c r="Q38" s="100">
        <v>9.32</v>
      </c>
      <c r="R38" s="6"/>
      <c r="S38" s="6"/>
      <c r="T38" s="156"/>
      <c r="U38" s="6"/>
    </row>
    <row r="39" spans="1:21" customFormat="1">
      <c r="A39" s="201" t="s">
        <v>1906</v>
      </c>
      <c r="B39" s="100">
        <v>17.25</v>
      </c>
      <c r="C39" s="100">
        <v>17.54</v>
      </c>
      <c r="D39" s="100">
        <v>23</v>
      </c>
      <c r="E39" s="100">
        <v>5.46</v>
      </c>
      <c r="F39" s="151" t="s">
        <v>8</v>
      </c>
      <c r="G39" s="100">
        <v>45.48</v>
      </c>
      <c r="H39" s="100">
        <v>16.850000000000001</v>
      </c>
      <c r="I39" s="100">
        <v>12.19</v>
      </c>
      <c r="J39" s="100">
        <v>0.4</v>
      </c>
      <c r="K39" s="100">
        <v>33.119999999999997</v>
      </c>
      <c r="L39" s="100">
        <v>11.28</v>
      </c>
      <c r="M39" s="100">
        <v>8.81</v>
      </c>
      <c r="N39" s="100">
        <v>65.400000000000006</v>
      </c>
      <c r="O39" s="100">
        <v>0</v>
      </c>
      <c r="P39" s="100">
        <v>0.69</v>
      </c>
      <c r="Q39" s="100">
        <v>9.32</v>
      </c>
      <c r="R39" s="6"/>
      <c r="S39" s="6"/>
      <c r="T39" s="156"/>
      <c r="U39" s="6"/>
    </row>
    <row r="40" spans="1:21" customFormat="1">
      <c r="A40" s="201" t="s">
        <v>1907</v>
      </c>
      <c r="B40" s="100">
        <v>17.43</v>
      </c>
      <c r="C40" s="100">
        <v>18.190000000000001</v>
      </c>
      <c r="D40" s="100">
        <v>23.48</v>
      </c>
      <c r="E40" s="100">
        <v>5.35</v>
      </c>
      <c r="F40" s="151" t="s">
        <v>8</v>
      </c>
      <c r="G40" s="100">
        <v>45.98</v>
      </c>
      <c r="H40" s="100">
        <v>17.649999999999999</v>
      </c>
      <c r="I40" s="100">
        <v>12.51</v>
      </c>
      <c r="J40" s="100">
        <v>0.38</v>
      </c>
      <c r="K40" s="100">
        <v>29.75</v>
      </c>
      <c r="L40" s="100">
        <v>14.45</v>
      </c>
      <c r="M40" s="100">
        <v>14.89</v>
      </c>
      <c r="N40" s="100">
        <v>148.1</v>
      </c>
      <c r="O40" s="100">
        <v>0</v>
      </c>
      <c r="P40" s="100">
        <v>0.7</v>
      </c>
      <c r="Q40" s="100">
        <v>9.32</v>
      </c>
      <c r="R40" s="6"/>
      <c r="S40" s="6"/>
      <c r="T40" s="156"/>
      <c r="U40" s="6"/>
    </row>
    <row r="41" spans="1:21" customFormat="1">
      <c r="A41" s="201" t="s">
        <v>1908</v>
      </c>
      <c r="B41" s="100">
        <v>17.190000000000001</v>
      </c>
      <c r="C41" s="100">
        <v>18.87</v>
      </c>
      <c r="D41" s="100">
        <v>23.64</v>
      </c>
      <c r="E41" s="100">
        <v>5.39</v>
      </c>
      <c r="F41" s="151" t="s">
        <v>8</v>
      </c>
      <c r="G41" s="100">
        <v>45.98</v>
      </c>
      <c r="H41" s="100">
        <v>17.649999999999999</v>
      </c>
      <c r="I41" s="100">
        <v>12.67</v>
      </c>
      <c r="J41" s="100">
        <v>0.56999999999999995</v>
      </c>
      <c r="K41" s="100">
        <v>38.07</v>
      </c>
      <c r="L41" s="100">
        <v>8.83</v>
      </c>
      <c r="M41" s="100">
        <v>-0.4</v>
      </c>
      <c r="N41" s="100">
        <v>194.2</v>
      </c>
      <c r="O41" s="100">
        <v>0</v>
      </c>
      <c r="P41" s="100">
        <v>0.72</v>
      </c>
      <c r="Q41" s="100">
        <v>9.32</v>
      </c>
      <c r="R41" s="6"/>
      <c r="S41" s="6"/>
      <c r="T41" s="156"/>
      <c r="U41" s="6"/>
    </row>
    <row r="42" spans="1:21" customFormat="1">
      <c r="A42" s="201" t="s">
        <v>1909</v>
      </c>
      <c r="B42" s="100">
        <v>16.82</v>
      </c>
      <c r="C42" s="100">
        <v>19.2</v>
      </c>
      <c r="D42" s="100">
        <v>23.52</v>
      </c>
      <c r="E42" s="100">
        <v>5.6</v>
      </c>
      <c r="F42" s="151" t="s">
        <v>8</v>
      </c>
      <c r="G42" s="100">
        <v>45.98</v>
      </c>
      <c r="H42" s="100">
        <v>17.649999999999999</v>
      </c>
      <c r="I42" s="100">
        <v>12.92</v>
      </c>
      <c r="J42" s="100">
        <v>0.6</v>
      </c>
      <c r="K42" s="100">
        <v>41.76</v>
      </c>
      <c r="L42" s="100">
        <v>11.41</v>
      </c>
      <c r="M42" s="100">
        <v>5.36</v>
      </c>
      <c r="N42" s="100">
        <v>228.1</v>
      </c>
      <c r="O42" s="100">
        <v>0</v>
      </c>
      <c r="P42" s="100">
        <v>0.75</v>
      </c>
      <c r="Q42" s="100">
        <v>9.32</v>
      </c>
      <c r="R42" s="6"/>
      <c r="S42" s="6"/>
      <c r="T42" s="156"/>
      <c r="U42" s="6"/>
    </row>
    <row r="43" spans="1:21" customFormat="1">
      <c r="A43" s="201" t="s">
        <v>1910</v>
      </c>
      <c r="B43" s="100">
        <v>16.39</v>
      </c>
      <c r="C43" s="100">
        <v>19.579999999999998</v>
      </c>
      <c r="D43" s="100">
        <v>23.37</v>
      </c>
      <c r="E43" s="100">
        <v>5.45</v>
      </c>
      <c r="F43" s="151" t="s">
        <v>8</v>
      </c>
      <c r="G43" s="100">
        <v>46.78</v>
      </c>
      <c r="H43" s="100">
        <v>17.89</v>
      </c>
      <c r="I43" s="100">
        <v>13.21</v>
      </c>
      <c r="J43" s="100">
        <v>0.6</v>
      </c>
      <c r="K43" s="100">
        <v>31.2</v>
      </c>
      <c r="L43" s="100">
        <v>11.71</v>
      </c>
      <c r="M43" s="100">
        <v>5.0199999999999996</v>
      </c>
      <c r="N43" s="100">
        <v>270.39999999999998</v>
      </c>
      <c r="O43" s="100">
        <v>0</v>
      </c>
      <c r="P43" s="100">
        <v>0.77</v>
      </c>
      <c r="Q43" s="100">
        <v>9.32</v>
      </c>
      <c r="R43" s="6"/>
      <c r="S43" s="6"/>
      <c r="T43" s="156"/>
      <c r="U43" s="6"/>
    </row>
    <row r="44" spans="1:21" customFormat="1">
      <c r="A44" s="201" t="s">
        <v>1911</v>
      </c>
      <c r="B44" s="100">
        <v>15.87</v>
      </c>
      <c r="C44" s="100">
        <v>19.84</v>
      </c>
      <c r="D44" s="100">
        <v>23.09</v>
      </c>
      <c r="E44" s="100">
        <v>5.28</v>
      </c>
      <c r="F44" s="151" t="s">
        <v>8</v>
      </c>
      <c r="G44" s="100">
        <v>53.92</v>
      </c>
      <c r="H44" s="100">
        <v>19.829999999999998</v>
      </c>
      <c r="I44" s="100">
        <v>13.46</v>
      </c>
      <c r="J44" s="100">
        <v>0.79</v>
      </c>
      <c r="K44" s="100">
        <v>38.869999999999997</v>
      </c>
      <c r="L44" s="100">
        <v>11.98</v>
      </c>
      <c r="M44" s="100">
        <v>4.82</v>
      </c>
      <c r="N44" s="100">
        <v>306.60000000000002</v>
      </c>
      <c r="O44" s="100">
        <v>0</v>
      </c>
      <c r="P44" s="100">
        <v>0.77</v>
      </c>
      <c r="Q44" s="100">
        <v>9.32</v>
      </c>
      <c r="R44" s="6"/>
      <c r="S44" s="6"/>
      <c r="T44" s="156"/>
      <c r="U44" s="6"/>
    </row>
    <row r="45" spans="1:21" customFormat="1">
      <c r="A45" s="201" t="s">
        <v>1912</v>
      </c>
      <c r="B45" s="100">
        <v>15.2</v>
      </c>
      <c r="C45" s="100">
        <v>19.899999999999999</v>
      </c>
      <c r="D45" s="100">
        <v>22.58</v>
      </c>
      <c r="E45" s="100">
        <v>5.68</v>
      </c>
      <c r="F45" s="151" t="s">
        <v>8</v>
      </c>
      <c r="G45" s="100">
        <v>53.92</v>
      </c>
      <c r="H45" s="100">
        <v>19.829999999999998</v>
      </c>
      <c r="I45" s="100">
        <v>13.38</v>
      </c>
      <c r="J45" s="100">
        <v>0.66</v>
      </c>
      <c r="K45" s="100">
        <v>36.01</v>
      </c>
      <c r="L45" s="100">
        <v>13.55</v>
      </c>
      <c r="M45" s="100">
        <v>8.59</v>
      </c>
      <c r="N45" s="100">
        <v>343.2</v>
      </c>
      <c r="O45" s="100">
        <v>0</v>
      </c>
      <c r="P45" s="100">
        <v>0.78</v>
      </c>
      <c r="Q45" s="100">
        <v>9.32</v>
      </c>
      <c r="R45" s="6"/>
      <c r="S45" s="6"/>
      <c r="T45" s="156"/>
      <c r="U45" s="6"/>
    </row>
    <row r="46" spans="1:21" customFormat="1">
      <c r="A46" s="201" t="s">
        <v>1913</v>
      </c>
      <c r="B46" s="100">
        <v>14.61</v>
      </c>
      <c r="C46" s="100">
        <v>20.04</v>
      </c>
      <c r="D46" s="100">
        <v>22.19</v>
      </c>
      <c r="E46" s="100">
        <v>5.87</v>
      </c>
      <c r="F46" s="151" t="s">
        <v>8</v>
      </c>
      <c r="G46" s="100">
        <v>53.92</v>
      </c>
      <c r="H46" s="100">
        <v>19.829999999999998</v>
      </c>
      <c r="I46" s="100">
        <v>13.43</v>
      </c>
      <c r="J46" s="100">
        <v>0.7</v>
      </c>
      <c r="K46" s="100">
        <v>34.24</v>
      </c>
      <c r="L46" s="100">
        <v>13.32</v>
      </c>
      <c r="M46" s="100">
        <v>6.56</v>
      </c>
      <c r="N46" s="100">
        <v>376.8</v>
      </c>
      <c r="O46" s="100">
        <v>0</v>
      </c>
      <c r="P46" s="100">
        <v>0.78</v>
      </c>
      <c r="Q46" s="100">
        <v>9.32</v>
      </c>
      <c r="R46" s="6"/>
      <c r="S46" s="6"/>
      <c r="T46" s="156"/>
      <c r="U46" s="6"/>
    </row>
    <row r="47" spans="1:21" customFormat="1">
      <c r="A47" s="201" t="s">
        <v>1914</v>
      </c>
      <c r="B47" s="100">
        <v>14.18</v>
      </c>
      <c r="C47" s="100">
        <v>20.22</v>
      </c>
      <c r="D47" s="100">
        <v>21.94</v>
      </c>
      <c r="E47" s="100">
        <v>5.59</v>
      </c>
      <c r="F47" s="151" t="s">
        <v>8</v>
      </c>
      <c r="G47" s="100">
        <v>54.37</v>
      </c>
      <c r="H47" s="100">
        <v>19.79</v>
      </c>
      <c r="I47" s="100">
        <v>13.69</v>
      </c>
      <c r="J47" s="100">
        <v>0.52</v>
      </c>
      <c r="K47" s="100">
        <v>47.7</v>
      </c>
      <c r="L47" s="100">
        <v>12.51</v>
      </c>
      <c r="M47" s="100">
        <v>7.09</v>
      </c>
      <c r="N47" s="100">
        <v>270.39999999999998</v>
      </c>
      <c r="O47" s="100">
        <v>0</v>
      </c>
      <c r="P47" s="100">
        <v>0.77</v>
      </c>
      <c r="Q47" s="100">
        <v>9.32</v>
      </c>
      <c r="R47" s="6"/>
      <c r="S47" s="6"/>
      <c r="T47" s="156"/>
      <c r="U47" s="6"/>
    </row>
    <row r="48" spans="1:21" customFormat="1">
      <c r="A48" s="201" t="s">
        <v>1915</v>
      </c>
      <c r="B48" s="100">
        <v>13.75</v>
      </c>
      <c r="C48" s="100">
        <v>20.29</v>
      </c>
      <c r="D48" s="100">
        <v>21.63</v>
      </c>
      <c r="E48" s="100">
        <v>5.61</v>
      </c>
      <c r="F48" s="151" t="s">
        <v>8</v>
      </c>
      <c r="G48" s="100">
        <v>58.42</v>
      </c>
      <c r="H48" s="100">
        <v>19.399999999999999</v>
      </c>
      <c r="I48" s="100">
        <v>13.46</v>
      </c>
      <c r="J48" s="100">
        <v>0.6</v>
      </c>
      <c r="K48" s="100">
        <v>32.58</v>
      </c>
      <c r="L48" s="100">
        <v>15.74</v>
      </c>
      <c r="M48" s="100">
        <v>12.87</v>
      </c>
      <c r="N48" s="100">
        <v>365.8</v>
      </c>
      <c r="O48" s="100">
        <v>0</v>
      </c>
      <c r="P48" s="100">
        <v>0.78</v>
      </c>
      <c r="Q48" s="100">
        <v>9.32</v>
      </c>
      <c r="R48" s="6"/>
      <c r="S48" s="6"/>
      <c r="T48" s="156"/>
      <c r="U48" s="6"/>
    </row>
    <row r="49" spans="1:21" customFormat="1">
      <c r="A49" s="201" t="s">
        <v>1916</v>
      </c>
      <c r="B49" s="100">
        <v>13.11</v>
      </c>
      <c r="C49" s="100">
        <v>20.37</v>
      </c>
      <c r="D49" s="100">
        <v>21.16</v>
      </c>
      <c r="E49" s="100">
        <v>4.95</v>
      </c>
      <c r="F49" s="151" t="s">
        <v>8</v>
      </c>
      <c r="G49" s="100">
        <v>58.42</v>
      </c>
      <c r="H49" s="100">
        <v>19.399999999999999</v>
      </c>
      <c r="I49" s="100">
        <v>13.16</v>
      </c>
      <c r="J49" s="100">
        <v>0.19</v>
      </c>
      <c r="K49" s="100">
        <v>100.57</v>
      </c>
      <c r="L49" s="100">
        <v>17.57</v>
      </c>
      <c r="M49" s="100">
        <v>15.63</v>
      </c>
      <c r="N49" s="100">
        <v>481.6</v>
      </c>
      <c r="O49" s="100">
        <v>0</v>
      </c>
      <c r="P49" s="100">
        <v>0.77</v>
      </c>
      <c r="Q49" s="100">
        <v>9.32</v>
      </c>
      <c r="R49" s="6"/>
      <c r="S49" s="6"/>
      <c r="T49" s="156"/>
      <c r="U49" s="6"/>
    </row>
    <row r="50" spans="1:21" customFormat="1">
      <c r="A50" s="201" t="s">
        <v>1917</v>
      </c>
      <c r="B50" s="100">
        <v>12.28</v>
      </c>
      <c r="C50" s="100">
        <v>20.329999999999998</v>
      </c>
      <c r="D50" s="100">
        <v>20.47</v>
      </c>
      <c r="E50" s="100">
        <v>6.08</v>
      </c>
      <c r="F50" s="151" t="s">
        <v>8</v>
      </c>
      <c r="G50" s="100">
        <v>58.42</v>
      </c>
      <c r="H50" s="100">
        <v>19.399999999999999</v>
      </c>
      <c r="I50" s="100">
        <v>13.07</v>
      </c>
      <c r="J50" s="100">
        <v>0.7</v>
      </c>
      <c r="K50" s="100">
        <v>52.89</v>
      </c>
      <c r="L50" s="100">
        <v>15.08</v>
      </c>
      <c r="M50" s="100">
        <v>7.89</v>
      </c>
      <c r="N50" s="100">
        <v>510.3</v>
      </c>
      <c r="O50" s="100">
        <v>0</v>
      </c>
      <c r="P50" s="100">
        <v>0.77</v>
      </c>
      <c r="Q50" s="100">
        <v>9.32</v>
      </c>
      <c r="R50" s="6"/>
      <c r="S50" s="6"/>
      <c r="T50" s="156"/>
      <c r="U50" s="6"/>
    </row>
    <row r="51" spans="1:21" customFormat="1">
      <c r="A51" s="201" t="s">
        <v>1918</v>
      </c>
      <c r="B51" s="100">
        <v>11.41</v>
      </c>
      <c r="C51" s="100">
        <v>20.329999999999998</v>
      </c>
      <c r="D51" s="100">
        <v>19.78</v>
      </c>
      <c r="E51" s="100">
        <v>5.7</v>
      </c>
      <c r="F51" s="151" t="s">
        <v>8</v>
      </c>
      <c r="G51" s="100">
        <v>57.54</v>
      </c>
      <c r="H51" s="100">
        <v>19.149999999999999</v>
      </c>
      <c r="I51" s="100">
        <v>12.97</v>
      </c>
      <c r="J51" s="100">
        <v>0.26</v>
      </c>
      <c r="K51" s="100">
        <v>94.01</v>
      </c>
      <c r="L51" s="100">
        <v>17.43</v>
      </c>
      <c r="M51" s="100">
        <v>13.5</v>
      </c>
      <c r="N51" s="100">
        <v>527.1</v>
      </c>
      <c r="O51" s="100">
        <v>0</v>
      </c>
      <c r="P51" s="100">
        <v>0.76</v>
      </c>
      <c r="Q51" s="100">
        <v>9.32</v>
      </c>
      <c r="R51" s="6"/>
      <c r="S51" s="6"/>
      <c r="T51" s="156"/>
      <c r="U51" s="6"/>
    </row>
    <row r="52" spans="1:21" customFormat="1">
      <c r="A52" s="201" t="s">
        <v>1919</v>
      </c>
      <c r="B52" s="100">
        <v>10.37</v>
      </c>
      <c r="C52" s="100">
        <v>20.18</v>
      </c>
      <c r="D52" s="100">
        <v>18.850000000000001</v>
      </c>
      <c r="E52" s="100">
        <v>5.84</v>
      </c>
      <c r="F52" s="151" t="s">
        <v>8</v>
      </c>
      <c r="G52" s="100">
        <v>49.61</v>
      </c>
      <c r="H52" s="100">
        <v>17.059999999999999</v>
      </c>
      <c r="I52" s="100">
        <v>12.81</v>
      </c>
      <c r="J52" s="100">
        <v>0.35</v>
      </c>
      <c r="K52" s="100">
        <v>118.39</v>
      </c>
      <c r="L52" s="100">
        <v>17.73</v>
      </c>
      <c r="M52" s="100">
        <v>15.37</v>
      </c>
      <c r="N52" s="100">
        <v>477.7</v>
      </c>
      <c r="O52" s="100">
        <v>0</v>
      </c>
      <c r="P52" s="100">
        <v>0.75</v>
      </c>
      <c r="Q52" s="100">
        <v>9.32</v>
      </c>
      <c r="R52" s="6"/>
      <c r="S52" s="6"/>
      <c r="T52" s="156"/>
      <c r="U52" s="6"/>
    </row>
    <row r="53" spans="1:21" customFormat="1">
      <c r="A53" s="201" t="s">
        <v>1920</v>
      </c>
      <c r="B53" s="100">
        <v>9.26</v>
      </c>
      <c r="C53" s="100">
        <v>20.07</v>
      </c>
      <c r="D53" s="100">
        <v>17.91</v>
      </c>
      <c r="E53" s="100">
        <v>6.52</v>
      </c>
      <c r="F53" s="151" t="s">
        <v>8</v>
      </c>
      <c r="G53" s="100">
        <v>49.61</v>
      </c>
      <c r="H53" s="100">
        <v>17.059999999999999</v>
      </c>
      <c r="I53" s="100">
        <v>12.68</v>
      </c>
      <c r="J53" s="100">
        <v>0.61</v>
      </c>
      <c r="K53" s="100">
        <v>41.79</v>
      </c>
      <c r="L53" s="100">
        <v>18.32</v>
      </c>
      <c r="M53" s="100">
        <v>15.18</v>
      </c>
      <c r="N53" s="100">
        <v>545.4</v>
      </c>
      <c r="O53" s="100">
        <v>0</v>
      </c>
      <c r="P53" s="100">
        <v>0.74</v>
      </c>
      <c r="Q53" s="100">
        <v>9.32</v>
      </c>
      <c r="R53" s="6"/>
      <c r="S53" s="6"/>
      <c r="T53" s="156"/>
      <c r="U53" s="6"/>
    </row>
    <row r="54" spans="1:21" customFormat="1">
      <c r="A54" s="201" t="s">
        <v>1921</v>
      </c>
      <c r="B54" s="100">
        <v>8.18</v>
      </c>
      <c r="C54" s="100">
        <v>20</v>
      </c>
      <c r="D54" s="100">
        <v>17.010000000000002</v>
      </c>
      <c r="E54" s="100">
        <v>6.48</v>
      </c>
      <c r="F54" s="151" t="s">
        <v>8</v>
      </c>
      <c r="G54" s="100">
        <v>49.61</v>
      </c>
      <c r="H54" s="100">
        <v>17.059999999999999</v>
      </c>
      <c r="I54" s="100">
        <v>12.53</v>
      </c>
      <c r="J54" s="100">
        <v>0.5</v>
      </c>
      <c r="K54" s="100">
        <v>42.95</v>
      </c>
      <c r="L54" s="100">
        <v>17.07</v>
      </c>
      <c r="M54" s="100">
        <v>11.36</v>
      </c>
      <c r="N54" s="100">
        <v>573.29999999999995</v>
      </c>
      <c r="O54" s="100">
        <v>0</v>
      </c>
      <c r="P54" s="100">
        <v>0.72</v>
      </c>
      <c r="Q54" s="100">
        <v>9.32</v>
      </c>
      <c r="R54" s="6"/>
      <c r="S54" s="6"/>
      <c r="T54" s="156"/>
      <c r="U54" s="6"/>
    </row>
    <row r="55" spans="1:21" customFormat="1">
      <c r="A55" s="201" t="s">
        <v>1922</v>
      </c>
      <c r="B55" s="100">
        <v>7.16</v>
      </c>
      <c r="C55" s="100">
        <v>19.86</v>
      </c>
      <c r="D55" s="100">
        <v>16.12</v>
      </c>
      <c r="E55" s="100">
        <v>6.52</v>
      </c>
      <c r="F55" s="151" t="s">
        <v>8</v>
      </c>
      <c r="G55" s="100">
        <v>49.02</v>
      </c>
      <c r="H55" s="100">
        <v>16.71</v>
      </c>
      <c r="I55" s="100">
        <v>12.32</v>
      </c>
      <c r="J55" s="100">
        <v>0.69</v>
      </c>
      <c r="K55" s="100">
        <v>41.42</v>
      </c>
      <c r="L55" s="100">
        <v>14.82</v>
      </c>
      <c r="M55" s="100">
        <v>6.03</v>
      </c>
      <c r="N55" s="100">
        <v>562.29999999999995</v>
      </c>
      <c r="O55" s="100">
        <v>0</v>
      </c>
      <c r="P55" s="100">
        <v>0.71</v>
      </c>
      <c r="Q55" s="100">
        <v>9.32</v>
      </c>
      <c r="R55" s="6"/>
      <c r="S55" s="6"/>
      <c r="T55" s="156"/>
      <c r="U55" s="6"/>
    </row>
    <row r="56" spans="1:21" customFormat="1">
      <c r="A56" s="201" t="s">
        <v>1923</v>
      </c>
      <c r="B56" s="100">
        <v>6.29</v>
      </c>
      <c r="C56" s="100">
        <v>19.77</v>
      </c>
      <c r="D56" s="100">
        <v>15.38</v>
      </c>
      <c r="E56" s="100">
        <v>6.29</v>
      </c>
      <c r="F56" s="151" t="s">
        <v>8</v>
      </c>
      <c r="G56" s="100">
        <v>43.69</v>
      </c>
      <c r="H56" s="100">
        <v>13.78</v>
      </c>
      <c r="I56" s="100">
        <v>12.11</v>
      </c>
      <c r="J56" s="100">
        <v>0.7</v>
      </c>
      <c r="K56" s="100">
        <v>26.64</v>
      </c>
      <c r="L56" s="100">
        <v>18.170000000000002</v>
      </c>
      <c r="M56" s="100">
        <v>14.75</v>
      </c>
      <c r="N56" s="100">
        <v>545.9</v>
      </c>
      <c r="O56" s="100">
        <v>0</v>
      </c>
      <c r="P56" s="100">
        <v>0.7</v>
      </c>
      <c r="Q56" s="100">
        <v>9.32</v>
      </c>
      <c r="R56" s="6"/>
      <c r="S56" s="6"/>
      <c r="T56" s="156"/>
      <c r="U56" s="6"/>
    </row>
    <row r="57" spans="1:21" customFormat="1">
      <c r="A57" s="201" t="s">
        <v>1924</v>
      </c>
      <c r="B57" s="100">
        <v>5.5</v>
      </c>
      <c r="C57" s="100">
        <v>19.71</v>
      </c>
      <c r="D57" s="100">
        <v>14.71</v>
      </c>
      <c r="E57" s="100">
        <v>6.34</v>
      </c>
      <c r="F57" s="151" t="s">
        <v>8</v>
      </c>
      <c r="G57" s="100">
        <v>43.69</v>
      </c>
      <c r="H57" s="100">
        <v>13.78</v>
      </c>
      <c r="I57" s="100">
        <v>11.91</v>
      </c>
      <c r="J57" s="100">
        <v>0.53</v>
      </c>
      <c r="K57" s="100">
        <v>23.96</v>
      </c>
      <c r="L57" s="100">
        <v>20.170000000000002</v>
      </c>
      <c r="M57" s="100">
        <v>19.71</v>
      </c>
      <c r="N57" s="100">
        <v>548.4</v>
      </c>
      <c r="O57" s="100">
        <v>0</v>
      </c>
      <c r="P57" s="100">
        <v>0.68</v>
      </c>
      <c r="Q57" s="100">
        <v>9.32</v>
      </c>
      <c r="R57" s="6"/>
      <c r="S57" s="6"/>
      <c r="T57" s="156"/>
      <c r="U57" s="6"/>
    </row>
    <row r="58" spans="1:21" customFormat="1">
      <c r="A58" s="201" t="s">
        <v>1925</v>
      </c>
      <c r="B58" s="100">
        <v>4.78</v>
      </c>
      <c r="C58" s="100">
        <v>19.57</v>
      </c>
      <c r="D58" s="100">
        <v>14.06</v>
      </c>
      <c r="E58" s="100">
        <v>5.99</v>
      </c>
      <c r="F58" s="151" t="s">
        <v>8</v>
      </c>
      <c r="G58" s="100">
        <v>43.69</v>
      </c>
      <c r="H58" s="100">
        <v>13.78</v>
      </c>
      <c r="I58" s="100">
        <v>11.74</v>
      </c>
      <c r="J58" s="100">
        <v>0.15</v>
      </c>
      <c r="K58" s="100">
        <v>76.959999999999994</v>
      </c>
      <c r="L58" s="100">
        <v>19.21</v>
      </c>
      <c r="M58" s="100">
        <v>17.34</v>
      </c>
      <c r="N58" s="100">
        <v>550.9</v>
      </c>
      <c r="O58" s="100">
        <v>0</v>
      </c>
      <c r="P58" s="100">
        <v>0.68</v>
      </c>
      <c r="Q58" s="100">
        <v>9.32</v>
      </c>
      <c r="R58" s="6"/>
      <c r="S58" s="6"/>
      <c r="T58" s="156"/>
      <c r="U58" s="6"/>
    </row>
    <row r="59" spans="1:21" customFormat="1">
      <c r="A59" s="201" t="s">
        <v>1926</v>
      </c>
      <c r="B59" s="100">
        <v>4.08</v>
      </c>
      <c r="C59" s="100">
        <v>19.16</v>
      </c>
      <c r="D59" s="100">
        <v>13.28</v>
      </c>
      <c r="E59" s="100">
        <v>6.27</v>
      </c>
      <c r="F59" s="151" t="s">
        <v>8</v>
      </c>
      <c r="G59" s="100">
        <v>42.79</v>
      </c>
      <c r="H59" s="100">
        <v>13.72</v>
      </c>
      <c r="I59" s="100">
        <v>11.57</v>
      </c>
      <c r="J59" s="100">
        <v>0.49</v>
      </c>
      <c r="K59" s="100">
        <v>147.65</v>
      </c>
      <c r="L59" s="100">
        <v>19.22</v>
      </c>
      <c r="M59" s="100">
        <v>17.71</v>
      </c>
      <c r="N59" s="100">
        <v>542.6</v>
      </c>
      <c r="O59" s="100">
        <v>0</v>
      </c>
      <c r="P59" s="100">
        <v>0.67</v>
      </c>
      <c r="Q59" s="100">
        <v>9.33</v>
      </c>
      <c r="R59" s="6"/>
      <c r="S59" s="6"/>
      <c r="T59" s="156"/>
      <c r="U59" s="6"/>
    </row>
    <row r="60" spans="1:21" customFormat="1">
      <c r="A60" s="201" t="s">
        <v>1927</v>
      </c>
      <c r="B60" s="100">
        <v>3.46</v>
      </c>
      <c r="C60" s="100">
        <v>18.66</v>
      </c>
      <c r="D60" s="100">
        <v>12.52</v>
      </c>
      <c r="E60" s="100">
        <v>6.07</v>
      </c>
      <c r="F60" s="151" t="s">
        <v>8</v>
      </c>
      <c r="G60" s="100">
        <v>34.69</v>
      </c>
      <c r="H60" s="100">
        <v>13.22</v>
      </c>
      <c r="I60" s="100">
        <v>11.43</v>
      </c>
      <c r="J60" s="100">
        <v>0.4</v>
      </c>
      <c r="K60" s="100">
        <v>45.05</v>
      </c>
      <c r="L60" s="100">
        <v>17.39</v>
      </c>
      <c r="M60" s="100">
        <v>13.68</v>
      </c>
      <c r="N60" s="100">
        <v>511.5</v>
      </c>
      <c r="O60" s="100">
        <v>0</v>
      </c>
      <c r="P60" s="100">
        <v>0.65</v>
      </c>
      <c r="Q60" s="100">
        <v>9.83</v>
      </c>
      <c r="R60" s="6"/>
      <c r="S60" s="6"/>
      <c r="T60" s="156"/>
      <c r="U60" s="6"/>
    </row>
    <row r="61" spans="1:21" customFormat="1">
      <c r="A61" s="201" t="s">
        <v>1928</v>
      </c>
      <c r="B61" s="100">
        <v>2.94</v>
      </c>
      <c r="C61" s="100">
        <v>18.239999999999998</v>
      </c>
      <c r="D61" s="100">
        <v>11.89</v>
      </c>
      <c r="E61" s="100">
        <v>5.89</v>
      </c>
      <c r="F61" s="151" t="s">
        <v>8</v>
      </c>
      <c r="G61" s="100">
        <v>34.69</v>
      </c>
      <c r="H61" s="100">
        <v>13.22</v>
      </c>
      <c r="I61" s="100">
        <v>11.31</v>
      </c>
      <c r="J61" s="100">
        <v>0.35</v>
      </c>
      <c r="K61" s="100">
        <v>155.1</v>
      </c>
      <c r="L61" s="100">
        <v>19.13</v>
      </c>
      <c r="M61" s="100">
        <v>19.489999999999998</v>
      </c>
      <c r="N61" s="100">
        <v>454.3</v>
      </c>
      <c r="O61" s="100">
        <v>0</v>
      </c>
      <c r="P61" s="100">
        <v>0.64</v>
      </c>
      <c r="Q61" s="100">
        <v>9.7100000000000009</v>
      </c>
      <c r="R61" s="6"/>
      <c r="S61" s="6"/>
      <c r="T61" s="156"/>
      <c r="U61" s="6"/>
    </row>
    <row r="62" spans="1:21" customFormat="1">
      <c r="A62" s="201" t="s">
        <v>1929</v>
      </c>
      <c r="B62" s="100">
        <v>2.46</v>
      </c>
      <c r="C62" s="100">
        <v>18.010000000000002</v>
      </c>
      <c r="D62" s="100">
        <v>11.38</v>
      </c>
      <c r="E62" s="100">
        <v>6.06</v>
      </c>
      <c r="F62" s="151" t="s">
        <v>8</v>
      </c>
      <c r="G62" s="100">
        <v>34.69</v>
      </c>
      <c r="H62" s="100">
        <v>13.22</v>
      </c>
      <c r="I62" s="100">
        <v>11.33</v>
      </c>
      <c r="J62" s="100">
        <v>0.47</v>
      </c>
      <c r="K62" s="100">
        <v>69.72</v>
      </c>
      <c r="L62" s="100">
        <v>13.08</v>
      </c>
      <c r="M62" s="100">
        <v>10.09</v>
      </c>
      <c r="N62" s="100">
        <v>209.9</v>
      </c>
      <c r="O62" s="100">
        <v>0</v>
      </c>
      <c r="P62" s="100">
        <v>0.6</v>
      </c>
      <c r="Q62" s="100">
        <v>9.33</v>
      </c>
      <c r="R62" s="6"/>
      <c r="S62" s="6"/>
      <c r="T62" s="156"/>
      <c r="U62" s="6"/>
    </row>
    <row r="63" spans="1:21" customFormat="1">
      <c r="A63" s="201" t="s">
        <v>1930</v>
      </c>
      <c r="B63" s="100">
        <v>2.0699999999999998</v>
      </c>
      <c r="C63" s="100">
        <v>17.75</v>
      </c>
      <c r="D63" s="100">
        <v>10.93</v>
      </c>
      <c r="E63" s="100">
        <v>5.84</v>
      </c>
      <c r="F63" s="151" t="s">
        <v>8</v>
      </c>
      <c r="G63" s="100">
        <v>34.549999999999997</v>
      </c>
      <c r="H63" s="100">
        <v>13.08</v>
      </c>
      <c r="I63" s="100">
        <v>11.19</v>
      </c>
      <c r="J63" s="100">
        <v>0.25</v>
      </c>
      <c r="K63" s="100">
        <v>108.83</v>
      </c>
      <c r="L63" s="100">
        <v>14.95</v>
      </c>
      <c r="M63" s="100">
        <v>14.52</v>
      </c>
      <c r="N63" s="100">
        <v>222.5</v>
      </c>
      <c r="O63" s="100">
        <v>0</v>
      </c>
      <c r="P63" s="100">
        <v>0.57999999999999996</v>
      </c>
      <c r="Q63" s="100">
        <v>9.32</v>
      </c>
      <c r="R63" s="6"/>
      <c r="S63" s="6"/>
      <c r="T63" s="156"/>
      <c r="U63" s="6"/>
    </row>
    <row r="64" spans="1:21" customFormat="1">
      <c r="A64" s="201" t="s">
        <v>1931</v>
      </c>
      <c r="B64" s="100">
        <v>1.82</v>
      </c>
      <c r="C64" s="100">
        <v>17.39</v>
      </c>
      <c r="D64" s="100">
        <v>10.55</v>
      </c>
      <c r="E64" s="100">
        <v>6.46</v>
      </c>
      <c r="F64" s="151" t="s">
        <v>8</v>
      </c>
      <c r="G64" s="100">
        <v>33.35</v>
      </c>
      <c r="H64" s="100">
        <v>11.89</v>
      </c>
      <c r="I64" s="100">
        <v>10.96</v>
      </c>
      <c r="J64" s="100">
        <v>0.08</v>
      </c>
      <c r="K64" s="100">
        <v>27.88</v>
      </c>
      <c r="L64" s="100">
        <v>16.82</v>
      </c>
      <c r="M64" s="100">
        <v>17.61</v>
      </c>
      <c r="N64" s="100">
        <v>285.3</v>
      </c>
      <c r="O64" s="100">
        <v>0</v>
      </c>
      <c r="P64" s="100">
        <v>0.57999999999999996</v>
      </c>
      <c r="Q64" s="100">
        <v>9.32</v>
      </c>
      <c r="R64" s="6"/>
      <c r="S64" s="6"/>
      <c r="T64" s="156"/>
      <c r="U64" s="6"/>
    </row>
    <row r="65" spans="1:21" customFormat="1">
      <c r="A65" s="201" t="s">
        <v>1932</v>
      </c>
      <c r="B65" s="100">
        <v>1.66</v>
      </c>
      <c r="C65" s="100">
        <v>16.760000000000002</v>
      </c>
      <c r="D65" s="100">
        <v>10.08</v>
      </c>
      <c r="E65" s="100">
        <v>6.1</v>
      </c>
      <c r="F65" s="151" t="s">
        <v>8</v>
      </c>
      <c r="G65" s="100">
        <v>33.35</v>
      </c>
      <c r="H65" s="100">
        <v>11.89</v>
      </c>
      <c r="I65" s="100">
        <v>10.86</v>
      </c>
      <c r="J65" s="100">
        <v>0.09</v>
      </c>
      <c r="K65" s="100">
        <v>263.82</v>
      </c>
      <c r="L65" s="100">
        <v>19.09</v>
      </c>
      <c r="M65" s="100">
        <v>27.35</v>
      </c>
      <c r="N65" s="100">
        <v>116.7</v>
      </c>
      <c r="O65" s="100">
        <v>0</v>
      </c>
      <c r="P65" s="100">
        <v>0.55000000000000004</v>
      </c>
      <c r="Q65" s="100">
        <v>9.32</v>
      </c>
      <c r="R65" s="6"/>
      <c r="S65" s="6"/>
      <c r="T65" s="156"/>
      <c r="U65" s="6"/>
    </row>
    <row r="66" spans="1:21" customFormat="1">
      <c r="A66" s="201" t="s">
        <v>1933</v>
      </c>
      <c r="B66" s="100">
        <v>1.57</v>
      </c>
      <c r="C66" s="100">
        <v>16.25</v>
      </c>
      <c r="D66" s="100">
        <v>9.75</v>
      </c>
      <c r="E66" s="100">
        <v>6.39</v>
      </c>
      <c r="F66" s="151" t="s">
        <v>8</v>
      </c>
      <c r="G66" s="100">
        <v>33.35</v>
      </c>
      <c r="H66" s="100">
        <v>11.89</v>
      </c>
      <c r="I66" s="100">
        <v>10.65</v>
      </c>
      <c r="J66" s="100">
        <v>0.37</v>
      </c>
      <c r="K66" s="100">
        <v>26.3</v>
      </c>
      <c r="L66" s="100">
        <v>14.86</v>
      </c>
      <c r="M66" s="100">
        <v>17.02</v>
      </c>
      <c r="N66" s="100">
        <v>99.4</v>
      </c>
      <c r="O66" s="100">
        <v>0</v>
      </c>
      <c r="P66" s="100">
        <v>0.56000000000000005</v>
      </c>
      <c r="Q66" s="100">
        <v>9.32</v>
      </c>
      <c r="R66" s="6"/>
      <c r="S66" s="6"/>
      <c r="T66" s="156"/>
      <c r="U66" s="6"/>
    </row>
    <row r="67" spans="1:21" customFormat="1">
      <c r="A67" s="201" t="s">
        <v>1934</v>
      </c>
      <c r="B67" s="100">
        <v>1.54</v>
      </c>
      <c r="C67" s="100">
        <v>15.98</v>
      </c>
      <c r="D67" s="100">
        <v>9.59</v>
      </c>
      <c r="E67" s="100">
        <v>6.04</v>
      </c>
      <c r="F67" s="151" t="s">
        <v>8</v>
      </c>
      <c r="G67" s="100">
        <v>33.31</v>
      </c>
      <c r="H67" s="100">
        <v>11.85</v>
      </c>
      <c r="I67" s="100">
        <v>10.46</v>
      </c>
      <c r="J67" s="100">
        <v>0.16</v>
      </c>
      <c r="K67" s="100">
        <v>84.54</v>
      </c>
      <c r="L67" s="100">
        <v>14.3</v>
      </c>
      <c r="M67" s="100">
        <v>15.79</v>
      </c>
      <c r="N67" s="100">
        <v>97.6</v>
      </c>
      <c r="O67" s="100">
        <v>0</v>
      </c>
      <c r="P67" s="100">
        <v>0.54</v>
      </c>
      <c r="Q67" s="100">
        <v>9.32</v>
      </c>
      <c r="R67" s="6"/>
      <c r="S67" s="6"/>
      <c r="T67" s="156"/>
      <c r="U67" s="6"/>
    </row>
    <row r="68" spans="1:21" customFormat="1">
      <c r="A68" s="201" t="s">
        <v>1935</v>
      </c>
      <c r="B68" s="100">
        <v>1.52</v>
      </c>
      <c r="C68" s="100">
        <v>15.64</v>
      </c>
      <c r="D68" s="100">
        <v>9.39</v>
      </c>
      <c r="E68" s="100">
        <v>6.03</v>
      </c>
      <c r="F68" s="151" t="s">
        <v>8</v>
      </c>
      <c r="G68" s="100">
        <v>32.93</v>
      </c>
      <c r="H68" s="100">
        <v>11.53</v>
      </c>
      <c r="I68" s="100">
        <v>10.26</v>
      </c>
      <c r="J68" s="100">
        <v>0.28999999999999998</v>
      </c>
      <c r="K68" s="100">
        <v>62.87</v>
      </c>
      <c r="L68" s="100">
        <v>13.36</v>
      </c>
      <c r="M68" s="100">
        <v>13.55</v>
      </c>
      <c r="N68" s="100">
        <v>89.8</v>
      </c>
      <c r="O68" s="100">
        <v>0</v>
      </c>
      <c r="P68" s="100">
        <v>0.53</v>
      </c>
      <c r="Q68" s="100">
        <v>9.32</v>
      </c>
      <c r="R68" s="6"/>
      <c r="S68" s="6"/>
      <c r="T68" s="156"/>
      <c r="U68" s="6"/>
    </row>
    <row r="69" spans="1:21" customFormat="1">
      <c r="A69" s="201" t="s">
        <v>1936</v>
      </c>
      <c r="B69" s="100">
        <v>1.53</v>
      </c>
      <c r="C69" s="100">
        <v>15.26</v>
      </c>
      <c r="D69" s="100">
        <v>9.1999999999999993</v>
      </c>
      <c r="E69" s="100">
        <v>8.27</v>
      </c>
      <c r="F69" s="151" t="s">
        <v>8</v>
      </c>
      <c r="G69" s="100">
        <v>32.93</v>
      </c>
      <c r="H69" s="100">
        <v>11.53</v>
      </c>
      <c r="I69" s="100">
        <v>10.08</v>
      </c>
      <c r="J69" s="100">
        <v>0.2</v>
      </c>
      <c r="K69" s="100">
        <v>63.67</v>
      </c>
      <c r="L69" s="100">
        <v>14.81</v>
      </c>
      <c r="M69" s="100">
        <v>17.64</v>
      </c>
      <c r="N69" s="100">
        <v>72.3</v>
      </c>
      <c r="O69" s="100">
        <v>0</v>
      </c>
      <c r="P69" s="100">
        <v>0.52</v>
      </c>
      <c r="Q69" s="100">
        <v>9.32</v>
      </c>
      <c r="R69" s="6"/>
      <c r="S69" s="6"/>
      <c r="T69" s="156"/>
      <c r="U69" s="6"/>
    </row>
    <row r="70" spans="1:21" customFormat="1">
      <c r="A70" s="201" t="s">
        <v>1937</v>
      </c>
      <c r="B70" s="100">
        <v>-0.03</v>
      </c>
      <c r="C70" s="100">
        <v>6.39</v>
      </c>
      <c r="D70" s="100">
        <v>5.27</v>
      </c>
      <c r="E70" s="100">
        <v>9.3000000000000007</v>
      </c>
      <c r="F70" s="100">
        <v>7.47</v>
      </c>
      <c r="G70" s="100">
        <v>32.93</v>
      </c>
      <c r="H70" s="100">
        <v>11.53</v>
      </c>
      <c r="I70" s="100">
        <v>9.9</v>
      </c>
      <c r="J70" s="100">
        <v>0.23</v>
      </c>
      <c r="K70" s="100">
        <v>152.76</v>
      </c>
      <c r="L70" s="100">
        <v>15.46</v>
      </c>
      <c r="M70" s="100">
        <v>19.579999999999998</v>
      </c>
      <c r="N70" s="100">
        <v>65.8</v>
      </c>
      <c r="O70" s="100">
        <v>0</v>
      </c>
      <c r="P70" s="100">
        <v>0.5</v>
      </c>
      <c r="Q70" s="100">
        <v>9.32</v>
      </c>
      <c r="R70" s="6"/>
      <c r="S70" s="6"/>
      <c r="T70" s="156"/>
      <c r="U70" s="6"/>
    </row>
    <row r="71" spans="1:21" customFormat="1">
      <c r="A71" s="201" t="s">
        <v>1938</v>
      </c>
      <c r="B71" s="100">
        <v>-0.09</v>
      </c>
      <c r="C71" s="100">
        <v>3.88</v>
      </c>
      <c r="D71" s="100">
        <v>3.79</v>
      </c>
      <c r="E71" s="100">
        <v>8.75</v>
      </c>
      <c r="F71" s="100">
        <v>6.97</v>
      </c>
      <c r="G71" s="100">
        <v>32.869999999999997</v>
      </c>
      <c r="H71" s="100">
        <v>11.57</v>
      </c>
      <c r="I71" s="100">
        <v>9.57</v>
      </c>
      <c r="J71" s="100">
        <v>0.12</v>
      </c>
      <c r="K71" s="100">
        <v>102.91</v>
      </c>
      <c r="L71" s="100">
        <v>15.2</v>
      </c>
      <c r="M71" s="100">
        <v>19.09</v>
      </c>
      <c r="N71" s="100">
        <v>57.3</v>
      </c>
      <c r="O71" s="100">
        <v>0</v>
      </c>
      <c r="P71" s="100">
        <v>0.49</v>
      </c>
      <c r="Q71" s="100">
        <v>9.32</v>
      </c>
      <c r="R71" s="6"/>
      <c r="S71" s="6"/>
      <c r="T71" s="156"/>
      <c r="U71" s="6"/>
    </row>
    <row r="72" spans="1:21" customFormat="1">
      <c r="A72" s="201" t="s">
        <v>1939</v>
      </c>
      <c r="B72" s="100">
        <v>2.88</v>
      </c>
      <c r="C72" s="100">
        <v>11.54</v>
      </c>
      <c r="D72" s="100">
        <v>14.42</v>
      </c>
      <c r="E72" s="100">
        <v>9.15</v>
      </c>
      <c r="F72" s="100">
        <v>17.3</v>
      </c>
      <c r="G72" s="100">
        <v>32.35</v>
      </c>
      <c r="H72" s="100">
        <v>11.83</v>
      </c>
      <c r="I72" s="100">
        <v>9.0299999999999994</v>
      </c>
      <c r="J72" s="100">
        <v>0.26</v>
      </c>
      <c r="K72" s="100">
        <v>43.82</v>
      </c>
      <c r="L72" s="100">
        <v>13.42</v>
      </c>
      <c r="M72" s="100">
        <v>14.63</v>
      </c>
      <c r="N72" s="100">
        <v>49.3</v>
      </c>
      <c r="O72" s="100">
        <v>0</v>
      </c>
      <c r="P72" s="100">
        <v>0.48</v>
      </c>
      <c r="Q72" s="100">
        <v>9.32</v>
      </c>
      <c r="R72" s="6"/>
      <c r="S72" s="6"/>
      <c r="T72" s="156"/>
      <c r="U72" s="6"/>
    </row>
    <row r="73" spans="1:21" customFormat="1">
      <c r="A73" s="201" t="s">
        <v>1940</v>
      </c>
      <c r="B73" s="100">
        <v>3.19</v>
      </c>
      <c r="C73" s="100">
        <v>14.43</v>
      </c>
      <c r="D73" s="100">
        <v>14.72</v>
      </c>
      <c r="E73" s="100">
        <v>9.24</v>
      </c>
      <c r="F73" s="100">
        <v>117.1</v>
      </c>
      <c r="G73" s="100">
        <v>32.35</v>
      </c>
      <c r="H73" s="100">
        <v>11.83</v>
      </c>
      <c r="I73" s="100">
        <v>8.59</v>
      </c>
      <c r="J73" s="100">
        <v>0.41</v>
      </c>
      <c r="K73" s="100">
        <v>47.63</v>
      </c>
      <c r="L73" s="100">
        <v>8.2799999999999994</v>
      </c>
      <c r="M73" s="100">
        <v>1.83</v>
      </c>
      <c r="N73" s="100">
        <v>43.8</v>
      </c>
      <c r="O73" s="100">
        <v>0</v>
      </c>
      <c r="P73" s="100">
        <v>0.48</v>
      </c>
      <c r="Q73" s="100">
        <v>9.32</v>
      </c>
      <c r="R73" s="6"/>
      <c r="S73" s="6"/>
      <c r="T73" s="156"/>
      <c r="U73" s="6"/>
    </row>
    <row r="74" spans="1:21" customFormat="1">
      <c r="A74" s="201" t="s">
        <v>1941</v>
      </c>
      <c r="B74" s="100">
        <v>3.32</v>
      </c>
      <c r="C74" s="100">
        <v>16.170000000000002</v>
      </c>
      <c r="D74" s="100">
        <v>11.11</v>
      </c>
      <c r="E74" s="100">
        <v>8.83</v>
      </c>
      <c r="F74" s="100">
        <v>60.02</v>
      </c>
      <c r="G74" s="100">
        <v>32.35</v>
      </c>
      <c r="H74" s="100">
        <v>11.83</v>
      </c>
      <c r="I74" s="100">
        <v>8.35</v>
      </c>
      <c r="J74" s="100">
        <v>0.28999999999999998</v>
      </c>
      <c r="K74" s="100">
        <v>161.26</v>
      </c>
      <c r="L74" s="100">
        <v>15.58</v>
      </c>
      <c r="M74" s="100">
        <v>20.7</v>
      </c>
      <c r="N74" s="100">
        <v>31.8</v>
      </c>
      <c r="O74" s="100">
        <v>0</v>
      </c>
      <c r="P74" s="100">
        <v>0.48</v>
      </c>
      <c r="Q74" s="100">
        <v>9.32</v>
      </c>
      <c r="R74" s="6"/>
      <c r="S74" s="6"/>
      <c r="T74" s="156"/>
      <c r="U74" s="6"/>
    </row>
    <row r="75" spans="1:21" customFormat="1">
      <c r="A75" s="201" t="s">
        <v>1942</v>
      </c>
      <c r="B75" s="100">
        <v>3.35</v>
      </c>
      <c r="C75" s="100">
        <v>16.489999999999998</v>
      </c>
      <c r="D75" s="100">
        <v>11.3</v>
      </c>
      <c r="E75" s="100">
        <v>8.58</v>
      </c>
      <c r="F75" s="100">
        <v>3.93</v>
      </c>
      <c r="G75" s="100">
        <v>32.46</v>
      </c>
      <c r="H75" s="100">
        <v>11.73</v>
      </c>
      <c r="I75" s="100">
        <v>8.18</v>
      </c>
      <c r="J75" s="100">
        <v>0.3</v>
      </c>
      <c r="K75" s="100">
        <v>164.06</v>
      </c>
      <c r="L75" s="100">
        <v>15.6</v>
      </c>
      <c r="M75" s="100">
        <v>20.98</v>
      </c>
      <c r="N75" s="100">
        <v>23.6</v>
      </c>
      <c r="O75" s="100">
        <v>0</v>
      </c>
      <c r="P75" s="100">
        <v>0.47</v>
      </c>
      <c r="Q75" s="100">
        <v>9.32</v>
      </c>
      <c r="R75" s="6"/>
      <c r="S75" s="6"/>
      <c r="T75" s="156"/>
      <c r="U75" s="6"/>
    </row>
    <row r="76" spans="1:21" customFormat="1">
      <c r="A76" s="201" t="s">
        <v>1943</v>
      </c>
      <c r="B76" s="100">
        <v>3.29</v>
      </c>
      <c r="C76" s="100">
        <v>16.66</v>
      </c>
      <c r="D76" s="100">
        <v>11.34</v>
      </c>
      <c r="E76" s="100">
        <v>8.59</v>
      </c>
      <c r="F76" s="100">
        <v>4.16</v>
      </c>
      <c r="G76" s="100">
        <v>33.450000000000003</v>
      </c>
      <c r="H76" s="100">
        <v>11.01</v>
      </c>
      <c r="I76" s="100">
        <v>8</v>
      </c>
      <c r="J76" s="100">
        <v>0.26</v>
      </c>
      <c r="K76" s="100">
        <v>163.84</v>
      </c>
      <c r="L76" s="100">
        <v>15.56</v>
      </c>
      <c r="M76" s="100">
        <v>21.1</v>
      </c>
      <c r="N76" s="100">
        <v>14.9</v>
      </c>
      <c r="O76" s="100">
        <v>0</v>
      </c>
      <c r="P76" s="100">
        <v>0.45</v>
      </c>
      <c r="Q76" s="100">
        <v>9.32</v>
      </c>
      <c r="R76" s="6"/>
      <c r="S76" s="6"/>
      <c r="T76" s="156"/>
      <c r="U76" s="6"/>
    </row>
    <row r="77" spans="1:21" customFormat="1">
      <c r="A77" s="201" t="s">
        <v>1944</v>
      </c>
      <c r="B77" s="100">
        <v>3.17</v>
      </c>
      <c r="C77" s="100">
        <v>20.39</v>
      </c>
      <c r="D77" s="100">
        <v>13.19</v>
      </c>
      <c r="E77" s="100">
        <v>10.36</v>
      </c>
      <c r="F77" s="100">
        <v>4.16</v>
      </c>
      <c r="G77" s="100">
        <v>33.450000000000003</v>
      </c>
      <c r="H77" s="100">
        <v>11.01</v>
      </c>
      <c r="I77" s="100">
        <v>7.85</v>
      </c>
      <c r="J77" s="100">
        <v>0.28000000000000003</v>
      </c>
      <c r="K77" s="100">
        <v>164.48</v>
      </c>
      <c r="L77" s="100">
        <v>15.5</v>
      </c>
      <c r="M77" s="100">
        <v>21.09</v>
      </c>
      <c r="N77" s="100">
        <v>7.4</v>
      </c>
      <c r="O77" s="100">
        <v>0</v>
      </c>
      <c r="P77" s="100">
        <v>0.47</v>
      </c>
      <c r="Q77" s="100">
        <v>9.32</v>
      </c>
      <c r="R77" s="6"/>
      <c r="S77" s="6"/>
      <c r="T77" s="156"/>
      <c r="U77" s="6"/>
    </row>
    <row r="78" spans="1:21" customFormat="1">
      <c r="A78" s="201" t="s">
        <v>1945</v>
      </c>
      <c r="B78" s="100">
        <v>3.12</v>
      </c>
      <c r="C78" s="100">
        <v>24.87</v>
      </c>
      <c r="D78" s="100">
        <v>15.5</v>
      </c>
      <c r="E78" s="100">
        <v>10.02</v>
      </c>
      <c r="F78" s="100">
        <v>4.16</v>
      </c>
      <c r="G78" s="100">
        <v>33.450000000000003</v>
      </c>
      <c r="H78" s="100">
        <v>11.01</v>
      </c>
      <c r="I78" s="100">
        <v>7.71</v>
      </c>
      <c r="J78" s="100">
        <v>0.28999999999999998</v>
      </c>
      <c r="K78" s="100">
        <v>161.97999999999999</v>
      </c>
      <c r="L78" s="100">
        <v>15.5</v>
      </c>
      <c r="M78" s="100">
        <v>20.72</v>
      </c>
      <c r="N78" s="100">
        <v>3.2</v>
      </c>
      <c r="O78" s="100">
        <v>0</v>
      </c>
      <c r="P78" s="100">
        <v>0.5</v>
      </c>
      <c r="Q78" s="100">
        <v>9.32</v>
      </c>
      <c r="R78" s="6"/>
      <c r="S78" s="6"/>
      <c r="T78" s="156"/>
      <c r="U78" s="6"/>
    </row>
    <row r="79" spans="1:21" customFormat="1">
      <c r="A79" s="201" t="s">
        <v>1946</v>
      </c>
      <c r="B79" s="100">
        <v>3.31</v>
      </c>
      <c r="C79" s="100">
        <v>30.28</v>
      </c>
      <c r="D79" s="100">
        <v>18.47</v>
      </c>
      <c r="E79" s="100">
        <v>0</v>
      </c>
      <c r="F79" s="100">
        <v>4.16</v>
      </c>
      <c r="G79" s="100">
        <v>34.11</v>
      </c>
      <c r="H79" s="100">
        <v>11.05</v>
      </c>
      <c r="I79" s="100">
        <v>7.77</v>
      </c>
      <c r="J79" s="100">
        <v>0.25</v>
      </c>
      <c r="K79" s="100">
        <v>167.89</v>
      </c>
      <c r="L79" s="100">
        <v>15.96</v>
      </c>
      <c r="M79" s="100">
        <v>21.74</v>
      </c>
      <c r="N79" s="100">
        <v>2</v>
      </c>
      <c r="O79" s="100">
        <v>0</v>
      </c>
      <c r="P79" s="100">
        <v>0.64</v>
      </c>
      <c r="Q79" s="100">
        <v>9.32</v>
      </c>
      <c r="R79" s="6"/>
      <c r="S79" s="6"/>
      <c r="T79" s="156"/>
      <c r="U79" s="6"/>
    </row>
    <row r="80" spans="1:21" customFormat="1">
      <c r="A80" s="201" t="s">
        <v>1947</v>
      </c>
      <c r="B80" s="100">
        <v>3.38</v>
      </c>
      <c r="C80" s="100">
        <v>38.840000000000003</v>
      </c>
      <c r="D80" s="100">
        <v>23</v>
      </c>
      <c r="E80" s="100">
        <v>1.33</v>
      </c>
      <c r="F80" s="100">
        <v>4.16</v>
      </c>
      <c r="G80" s="100">
        <v>40.090000000000003</v>
      </c>
      <c r="H80" s="100">
        <v>11.44</v>
      </c>
      <c r="I80" s="100">
        <v>8.25</v>
      </c>
      <c r="J80" s="100">
        <v>0.27</v>
      </c>
      <c r="K80" s="100">
        <v>162.97</v>
      </c>
      <c r="L80" s="100">
        <v>15.66</v>
      </c>
      <c r="M80" s="100">
        <v>20.99</v>
      </c>
      <c r="N80" s="100">
        <v>1.6</v>
      </c>
      <c r="O80" s="100">
        <v>0</v>
      </c>
      <c r="P80" s="100">
        <v>0.76</v>
      </c>
      <c r="Q80" s="100">
        <v>9.32</v>
      </c>
      <c r="R80" s="6"/>
      <c r="S80" s="6"/>
      <c r="T80" s="156"/>
      <c r="U80" s="6"/>
    </row>
    <row r="81" spans="1:21" customFormat="1">
      <c r="A81" s="201" t="s">
        <v>1948</v>
      </c>
      <c r="B81" s="100">
        <v>3.8</v>
      </c>
      <c r="C81" s="100">
        <v>37.39</v>
      </c>
      <c r="D81" s="100">
        <v>22.58</v>
      </c>
      <c r="E81" s="100">
        <v>2.21</v>
      </c>
      <c r="F81" s="100">
        <v>4.16</v>
      </c>
      <c r="G81" s="100">
        <v>40.090000000000003</v>
      </c>
      <c r="H81" s="100">
        <v>11.44</v>
      </c>
      <c r="I81" s="100">
        <v>9.3800000000000008</v>
      </c>
      <c r="J81" s="100">
        <v>0.27</v>
      </c>
      <c r="K81" s="100">
        <v>168.05</v>
      </c>
      <c r="L81" s="100">
        <v>15.99</v>
      </c>
      <c r="M81" s="100">
        <v>21.79</v>
      </c>
      <c r="N81" s="100">
        <v>1.7</v>
      </c>
      <c r="O81" s="100">
        <v>0</v>
      </c>
      <c r="P81" s="100">
        <v>0.78</v>
      </c>
      <c r="Q81" s="100">
        <v>9.32</v>
      </c>
      <c r="R81" s="6"/>
      <c r="S81" s="6"/>
      <c r="T81" s="156"/>
      <c r="U81" s="6"/>
    </row>
    <row r="82" spans="1:21" customFormat="1">
      <c r="A82" s="201" t="s">
        <v>1949</v>
      </c>
      <c r="B82" s="100">
        <v>4.38</v>
      </c>
      <c r="C82" s="100">
        <v>34.369999999999997</v>
      </c>
      <c r="D82" s="100">
        <v>21.47</v>
      </c>
      <c r="E82" s="100">
        <v>1.91</v>
      </c>
      <c r="F82" s="100">
        <v>4.16</v>
      </c>
      <c r="G82" s="100">
        <v>40.090000000000003</v>
      </c>
      <c r="H82" s="100">
        <v>11.44</v>
      </c>
      <c r="I82" s="100">
        <v>10.43</v>
      </c>
      <c r="J82" s="100">
        <v>0.18</v>
      </c>
      <c r="K82" s="100">
        <v>196.72</v>
      </c>
      <c r="L82" s="100">
        <v>18.05</v>
      </c>
      <c r="M82" s="100">
        <v>27.06</v>
      </c>
      <c r="N82" s="100">
        <v>1.7</v>
      </c>
      <c r="O82" s="100">
        <v>0</v>
      </c>
      <c r="P82" s="100">
        <v>0.79</v>
      </c>
      <c r="Q82" s="100">
        <v>9.32</v>
      </c>
      <c r="R82" s="6"/>
      <c r="S82" s="6"/>
      <c r="T82" s="156"/>
      <c r="U82" s="6"/>
    </row>
    <row r="83" spans="1:21" customFormat="1">
      <c r="A83" s="201" t="s">
        <v>1950</v>
      </c>
      <c r="B83" s="100">
        <v>4.9800000000000004</v>
      </c>
      <c r="C83" s="100">
        <v>31.06</v>
      </c>
      <c r="D83" s="100">
        <v>20.22</v>
      </c>
      <c r="E83" s="100">
        <v>1.72</v>
      </c>
      <c r="F83" s="100">
        <v>4.16</v>
      </c>
      <c r="G83" s="100">
        <v>41.33</v>
      </c>
      <c r="H83" s="100">
        <v>11.7</v>
      </c>
      <c r="I83" s="100">
        <v>10.73</v>
      </c>
      <c r="J83" s="100">
        <v>0.15</v>
      </c>
      <c r="K83" s="100">
        <v>197.58</v>
      </c>
      <c r="L83" s="100">
        <v>18.48</v>
      </c>
      <c r="M83" s="100">
        <v>28.22</v>
      </c>
      <c r="N83" s="100">
        <v>1.7</v>
      </c>
      <c r="O83" s="100">
        <v>0</v>
      </c>
      <c r="P83" s="100">
        <v>0.81</v>
      </c>
      <c r="Q83" s="100">
        <v>9.32</v>
      </c>
      <c r="R83" s="6"/>
      <c r="S83" s="6"/>
      <c r="T83" s="156"/>
      <c r="U83" s="6"/>
    </row>
    <row r="84" spans="1:21" customFormat="1">
      <c r="A84" s="201" t="s">
        <v>1951</v>
      </c>
      <c r="B84" s="100">
        <v>5.85</v>
      </c>
      <c r="C84" s="100">
        <v>28.23</v>
      </c>
      <c r="D84" s="100">
        <v>19.440000000000001</v>
      </c>
      <c r="E84" s="100">
        <v>1.37</v>
      </c>
      <c r="F84" s="100">
        <v>4.16</v>
      </c>
      <c r="G84" s="100">
        <v>52.47</v>
      </c>
      <c r="H84" s="100">
        <v>13.86</v>
      </c>
      <c r="I84" s="100">
        <v>9.83</v>
      </c>
      <c r="J84" s="100">
        <v>0.27</v>
      </c>
      <c r="K84" s="100">
        <v>163.84</v>
      </c>
      <c r="L84" s="100">
        <v>15.45</v>
      </c>
      <c r="M84" s="100">
        <v>20.51</v>
      </c>
      <c r="N84" s="100">
        <v>1.4</v>
      </c>
      <c r="O84" s="100">
        <v>0</v>
      </c>
      <c r="P84" s="100">
        <v>0.81</v>
      </c>
      <c r="Q84" s="100">
        <v>9.32</v>
      </c>
      <c r="R84" s="6"/>
      <c r="S84" s="6"/>
      <c r="T84" s="156"/>
      <c r="U84" s="6"/>
    </row>
    <row r="85" spans="1:21" customFormat="1">
      <c r="A85" s="201" t="s">
        <v>1952</v>
      </c>
      <c r="B85" s="100">
        <v>6.89</v>
      </c>
      <c r="C85" s="100">
        <v>26.09</v>
      </c>
      <c r="D85" s="100">
        <v>19.16</v>
      </c>
      <c r="E85" s="100">
        <v>1.3</v>
      </c>
      <c r="F85" s="100">
        <v>4.16</v>
      </c>
      <c r="G85" s="100">
        <v>52.47</v>
      </c>
      <c r="H85" s="100">
        <v>13.86</v>
      </c>
      <c r="I85" s="100">
        <v>8.75</v>
      </c>
      <c r="J85" s="100">
        <v>0.26</v>
      </c>
      <c r="K85" s="100">
        <v>161.87</v>
      </c>
      <c r="L85" s="100">
        <v>15.23</v>
      </c>
      <c r="M85" s="100">
        <v>20.079999999999998</v>
      </c>
      <c r="N85" s="100">
        <v>1.4</v>
      </c>
      <c r="O85" s="100">
        <v>0</v>
      </c>
      <c r="P85" s="100">
        <v>0.82</v>
      </c>
      <c r="Q85" s="100">
        <v>9.32</v>
      </c>
      <c r="R85" s="6"/>
      <c r="S85" s="6"/>
      <c r="T85" s="156"/>
      <c r="U85" s="6"/>
    </row>
    <row r="86" spans="1:21" customFormat="1">
      <c r="A86" s="201" t="s">
        <v>1953</v>
      </c>
      <c r="B86" s="100">
        <v>7.66</v>
      </c>
      <c r="C86" s="100">
        <v>24.77</v>
      </c>
      <c r="D86" s="100">
        <v>19.079999999999998</v>
      </c>
      <c r="E86" s="100">
        <v>1.46</v>
      </c>
      <c r="F86" s="100">
        <v>4.16</v>
      </c>
      <c r="G86" s="100">
        <v>52.47</v>
      </c>
      <c r="H86" s="100">
        <v>13.86</v>
      </c>
      <c r="I86" s="100">
        <v>8.8699999999999992</v>
      </c>
      <c r="J86" s="100">
        <v>0.24</v>
      </c>
      <c r="K86" s="100">
        <v>162.46</v>
      </c>
      <c r="L86" s="100">
        <v>15.44</v>
      </c>
      <c r="M86" s="100">
        <v>20.67</v>
      </c>
      <c r="N86" s="100">
        <v>1.6</v>
      </c>
      <c r="O86" s="100">
        <v>0</v>
      </c>
      <c r="P86" s="100">
        <v>0.84</v>
      </c>
      <c r="Q86" s="100">
        <v>9.32</v>
      </c>
      <c r="R86" s="6"/>
      <c r="S86" s="6"/>
      <c r="T86" s="156"/>
      <c r="U86" s="6"/>
    </row>
    <row r="87" spans="1:21" customFormat="1">
      <c r="A87" s="201" t="s">
        <v>1954</v>
      </c>
      <c r="B87" s="100">
        <v>8.08</v>
      </c>
      <c r="C87" s="100">
        <v>23.75</v>
      </c>
      <c r="D87" s="100">
        <v>18.89</v>
      </c>
      <c r="E87" s="100">
        <v>1.38</v>
      </c>
      <c r="F87" s="100">
        <v>4.16</v>
      </c>
      <c r="G87" s="100">
        <v>52.8</v>
      </c>
      <c r="H87" s="100">
        <v>13.94</v>
      </c>
      <c r="I87" s="100">
        <v>9.0299999999999994</v>
      </c>
      <c r="J87" s="100">
        <v>0.18</v>
      </c>
      <c r="K87" s="100">
        <v>157.81</v>
      </c>
      <c r="L87" s="100">
        <v>14.84</v>
      </c>
      <c r="M87" s="100">
        <v>19.25</v>
      </c>
      <c r="N87" s="100">
        <v>1.4</v>
      </c>
      <c r="O87" s="100">
        <v>0</v>
      </c>
      <c r="P87" s="100">
        <v>0.86</v>
      </c>
      <c r="Q87" s="100">
        <v>9.32</v>
      </c>
      <c r="R87" s="6"/>
      <c r="S87" s="6"/>
      <c r="T87" s="156"/>
      <c r="U87" s="6"/>
    </row>
    <row r="88" spans="1:21" customFormat="1">
      <c r="A88" s="201" t="s">
        <v>1955</v>
      </c>
      <c r="B88" s="100">
        <v>8.74</v>
      </c>
      <c r="C88" s="100">
        <v>22.78</v>
      </c>
      <c r="D88" s="100">
        <v>18.91</v>
      </c>
      <c r="E88" s="100">
        <v>1.51</v>
      </c>
      <c r="F88" s="100">
        <v>4.16</v>
      </c>
      <c r="G88" s="100">
        <v>55.7</v>
      </c>
      <c r="H88" s="100">
        <v>14.56</v>
      </c>
      <c r="I88" s="100">
        <v>9.2799999999999994</v>
      </c>
      <c r="J88" s="100">
        <v>0.12</v>
      </c>
      <c r="K88" s="100">
        <v>160.87</v>
      </c>
      <c r="L88" s="100">
        <v>15.25</v>
      </c>
      <c r="M88" s="100">
        <v>20.12</v>
      </c>
      <c r="N88" s="100">
        <v>1.4</v>
      </c>
      <c r="O88" s="100">
        <v>0</v>
      </c>
      <c r="P88" s="100">
        <v>0.87</v>
      </c>
      <c r="Q88" s="100">
        <v>9.32</v>
      </c>
      <c r="R88" s="6"/>
      <c r="S88" s="6"/>
      <c r="T88" s="156"/>
      <c r="U88" s="6"/>
    </row>
    <row r="89" spans="1:21" customFormat="1">
      <c r="A89" s="201" t="s">
        <v>1956</v>
      </c>
      <c r="B89" s="100">
        <v>9.5399999999999991</v>
      </c>
      <c r="C89" s="100">
        <v>21.87</v>
      </c>
      <c r="D89" s="100">
        <v>19.079999999999998</v>
      </c>
      <c r="E89" s="100">
        <v>1.53</v>
      </c>
      <c r="F89" s="100">
        <v>4.16</v>
      </c>
      <c r="G89" s="100">
        <v>55.7</v>
      </c>
      <c r="H89" s="100">
        <v>14.56</v>
      </c>
      <c r="I89" s="100">
        <v>10.73</v>
      </c>
      <c r="J89" s="100">
        <v>0.14000000000000001</v>
      </c>
      <c r="K89" s="100">
        <v>208.42</v>
      </c>
      <c r="L89" s="100">
        <v>18.64</v>
      </c>
      <c r="M89" s="100">
        <v>28.69</v>
      </c>
      <c r="N89" s="100">
        <v>1.5</v>
      </c>
      <c r="O89" s="100">
        <v>0</v>
      </c>
      <c r="P89" s="100">
        <v>0.89</v>
      </c>
      <c r="Q89" s="100">
        <v>9.32</v>
      </c>
      <c r="R89" s="6"/>
      <c r="S89" s="6"/>
      <c r="T89" s="156"/>
      <c r="U89" s="6"/>
    </row>
    <row r="90" spans="1:21" customFormat="1">
      <c r="A90" s="201" t="s">
        <v>1957</v>
      </c>
      <c r="B90" s="100">
        <v>10.6</v>
      </c>
      <c r="C90" s="100">
        <v>21.27</v>
      </c>
      <c r="D90" s="100">
        <v>19.61</v>
      </c>
      <c r="E90" s="100">
        <v>1.88</v>
      </c>
      <c r="F90" s="100">
        <v>4.16</v>
      </c>
      <c r="G90" s="100">
        <v>55.7</v>
      </c>
      <c r="H90" s="100">
        <v>14.56</v>
      </c>
      <c r="I90" s="100">
        <v>12.31</v>
      </c>
      <c r="J90" s="100">
        <v>0.15</v>
      </c>
      <c r="K90" s="100">
        <v>193.79</v>
      </c>
      <c r="L90" s="100">
        <v>17.73</v>
      </c>
      <c r="M90" s="100">
        <v>26.46</v>
      </c>
      <c r="N90" s="100">
        <v>1.4</v>
      </c>
      <c r="O90" s="100">
        <v>0</v>
      </c>
      <c r="P90" s="100">
        <v>0.92</v>
      </c>
      <c r="Q90" s="100">
        <v>9.32</v>
      </c>
      <c r="R90" s="6"/>
      <c r="S90" s="6"/>
      <c r="T90" s="156"/>
      <c r="U90" s="6"/>
    </row>
    <row r="91" spans="1:21" customFormat="1">
      <c r="A91" s="201" t="s">
        <v>1958</v>
      </c>
      <c r="B91" s="100">
        <v>11.83</v>
      </c>
      <c r="C91" s="100">
        <v>21.02</v>
      </c>
      <c r="D91" s="100">
        <v>20.47</v>
      </c>
      <c r="E91" s="100">
        <v>1.77</v>
      </c>
      <c r="F91" s="100">
        <v>4.16</v>
      </c>
      <c r="G91" s="100">
        <v>56.66</v>
      </c>
      <c r="H91" s="100">
        <v>14.94</v>
      </c>
      <c r="I91" s="100">
        <v>12.7</v>
      </c>
      <c r="J91" s="100">
        <v>0.24</v>
      </c>
      <c r="K91" s="100">
        <v>180.59</v>
      </c>
      <c r="L91" s="100">
        <v>16.809999999999999</v>
      </c>
      <c r="M91" s="100">
        <v>24.18</v>
      </c>
      <c r="N91" s="100">
        <v>1.5</v>
      </c>
      <c r="O91" s="100">
        <v>0</v>
      </c>
      <c r="P91" s="100">
        <v>0.94</v>
      </c>
      <c r="Q91" s="100">
        <v>9.32</v>
      </c>
      <c r="R91" s="6"/>
      <c r="S91" s="6"/>
      <c r="T91" s="156"/>
      <c r="U91" s="6"/>
    </row>
    <row r="92" spans="1:21" customFormat="1">
      <c r="A92" s="201" t="s">
        <v>1959</v>
      </c>
      <c r="B92" s="100">
        <v>12.53</v>
      </c>
      <c r="C92" s="100">
        <v>20.57</v>
      </c>
      <c r="D92" s="100">
        <v>20.79</v>
      </c>
      <c r="E92" s="100">
        <v>1.68</v>
      </c>
      <c r="F92" s="100">
        <v>4.16</v>
      </c>
      <c r="G92" s="100">
        <v>65.349999999999994</v>
      </c>
      <c r="H92" s="100">
        <v>18.079999999999998</v>
      </c>
      <c r="I92" s="100">
        <v>13.08</v>
      </c>
      <c r="J92" s="100">
        <v>0.16</v>
      </c>
      <c r="K92" s="100">
        <v>192.68</v>
      </c>
      <c r="L92" s="100">
        <v>17.600000000000001</v>
      </c>
      <c r="M92" s="100">
        <v>26.15</v>
      </c>
      <c r="N92" s="100">
        <v>1.7</v>
      </c>
      <c r="O92" s="100">
        <v>0</v>
      </c>
      <c r="P92" s="100">
        <v>0.94</v>
      </c>
      <c r="Q92" s="100">
        <v>9.32</v>
      </c>
      <c r="R92" s="6"/>
      <c r="S92" s="6"/>
      <c r="T92" s="156"/>
      <c r="U92" s="6"/>
    </row>
    <row r="93" spans="1:21" customFormat="1">
      <c r="A93" s="201" t="s">
        <v>1960</v>
      </c>
      <c r="B93" s="100">
        <v>12.53</v>
      </c>
      <c r="C93" s="100">
        <v>19.84</v>
      </c>
      <c r="D93" s="100">
        <v>20.41</v>
      </c>
      <c r="E93" s="100">
        <v>1.75</v>
      </c>
      <c r="F93" s="100">
        <v>4.16</v>
      </c>
      <c r="G93" s="100">
        <v>65.349999999999994</v>
      </c>
      <c r="H93" s="100">
        <v>18.079999999999998</v>
      </c>
      <c r="I93" s="100">
        <v>13.38</v>
      </c>
      <c r="J93" s="100">
        <v>0.16</v>
      </c>
      <c r="K93" s="100">
        <v>185.36</v>
      </c>
      <c r="L93" s="100">
        <v>17.18</v>
      </c>
      <c r="M93" s="100">
        <v>25.11</v>
      </c>
      <c r="N93" s="100">
        <v>1.4</v>
      </c>
      <c r="O93" s="100">
        <v>0</v>
      </c>
      <c r="P93" s="100">
        <v>0.94</v>
      </c>
      <c r="Q93" s="100">
        <v>9.32</v>
      </c>
      <c r="R93" s="6"/>
      <c r="S93" s="6"/>
      <c r="T93" s="156"/>
      <c r="U93" s="6"/>
    </row>
    <row r="94" spans="1:21" customFormat="1">
      <c r="A94" s="201" t="s">
        <v>1961</v>
      </c>
      <c r="B94" s="100">
        <v>12.44</v>
      </c>
      <c r="C94" s="100">
        <v>18.86</v>
      </c>
      <c r="D94" s="100">
        <v>19.829999999999998</v>
      </c>
      <c r="E94" s="100">
        <v>1.74</v>
      </c>
      <c r="F94" s="100">
        <v>4.16</v>
      </c>
      <c r="G94" s="100">
        <v>65.349999999999994</v>
      </c>
      <c r="H94" s="100">
        <v>18.079999999999998</v>
      </c>
      <c r="I94" s="100">
        <v>13.64</v>
      </c>
      <c r="J94" s="100">
        <v>0.24</v>
      </c>
      <c r="K94" s="100">
        <v>215.04</v>
      </c>
      <c r="L94" s="100">
        <v>19.239999999999998</v>
      </c>
      <c r="M94" s="100">
        <v>30.29</v>
      </c>
      <c r="N94" s="100">
        <v>1.6</v>
      </c>
      <c r="O94" s="100">
        <v>0</v>
      </c>
      <c r="P94" s="100">
        <v>0.94</v>
      </c>
      <c r="Q94" s="100">
        <v>9.32</v>
      </c>
      <c r="R94" s="6"/>
      <c r="S94" s="6"/>
      <c r="T94" s="156"/>
      <c r="U94" s="6"/>
    </row>
    <row r="95" spans="1:21" customFormat="1">
      <c r="A95" s="201" t="s">
        <v>1962</v>
      </c>
      <c r="B95" s="100">
        <v>12.28</v>
      </c>
      <c r="C95" s="100">
        <v>18.02</v>
      </c>
      <c r="D95" s="100">
        <v>19.260000000000002</v>
      </c>
      <c r="E95" s="100">
        <v>1.77</v>
      </c>
      <c r="F95" s="100">
        <v>4.16</v>
      </c>
      <c r="G95" s="100">
        <v>65.010000000000005</v>
      </c>
      <c r="H95" s="100">
        <v>18</v>
      </c>
      <c r="I95" s="100">
        <v>13.78</v>
      </c>
      <c r="J95" s="100">
        <v>0.14000000000000001</v>
      </c>
      <c r="K95" s="100">
        <v>222.52</v>
      </c>
      <c r="L95" s="100">
        <v>20.12</v>
      </c>
      <c r="M95" s="100">
        <v>32.44</v>
      </c>
      <c r="N95" s="100">
        <v>1.5</v>
      </c>
      <c r="O95" s="100">
        <v>0</v>
      </c>
      <c r="P95" s="100">
        <v>0.93</v>
      </c>
      <c r="Q95" s="100">
        <v>9.32</v>
      </c>
      <c r="R95" s="6"/>
      <c r="S95" s="6"/>
      <c r="T95" s="156"/>
      <c r="U95" s="6"/>
    </row>
    <row r="96" spans="1:21" customFormat="1">
      <c r="A96" s="201" t="s">
        <v>1963</v>
      </c>
      <c r="B96" s="100">
        <v>12.16</v>
      </c>
      <c r="C96" s="100">
        <v>17.38</v>
      </c>
      <c r="D96" s="100">
        <v>18.84</v>
      </c>
      <c r="E96" s="100">
        <v>1.93</v>
      </c>
      <c r="F96" s="100">
        <v>4.16</v>
      </c>
      <c r="G96" s="100">
        <v>62.01</v>
      </c>
      <c r="H96" s="100">
        <v>17.309999999999999</v>
      </c>
      <c r="I96" s="100">
        <v>13.87</v>
      </c>
      <c r="J96" s="100">
        <v>0.18</v>
      </c>
      <c r="K96" s="100">
        <v>203.55</v>
      </c>
      <c r="L96" s="100">
        <v>18.39</v>
      </c>
      <c r="M96" s="100">
        <v>28.02</v>
      </c>
      <c r="N96" s="100">
        <v>1.2</v>
      </c>
      <c r="O96" s="100">
        <v>0</v>
      </c>
      <c r="P96" s="100">
        <v>0.92</v>
      </c>
      <c r="Q96" s="100">
        <v>9.32</v>
      </c>
      <c r="R96" s="6"/>
      <c r="S96" s="6"/>
      <c r="T96" s="156"/>
      <c r="U96" s="6"/>
    </row>
    <row r="97" spans="1:28" customFormat="1">
      <c r="A97" s="201" t="s">
        <v>1964</v>
      </c>
      <c r="B97" s="100">
        <v>12.02</v>
      </c>
      <c r="C97" s="100">
        <v>16.88</v>
      </c>
      <c r="D97" s="100">
        <v>18.46</v>
      </c>
      <c r="E97" s="100">
        <v>2.12</v>
      </c>
      <c r="F97" s="100">
        <v>4.16</v>
      </c>
      <c r="G97" s="100">
        <v>62.01</v>
      </c>
      <c r="H97" s="100">
        <v>17.309999999999999</v>
      </c>
      <c r="I97" s="100">
        <v>13.96</v>
      </c>
      <c r="J97" s="100">
        <v>0.2</v>
      </c>
      <c r="K97" s="100">
        <v>236.87</v>
      </c>
      <c r="L97" s="100">
        <v>20.68</v>
      </c>
      <c r="M97" s="100">
        <v>33.79</v>
      </c>
      <c r="N97" s="100">
        <v>1.4</v>
      </c>
      <c r="O97" s="100">
        <v>0</v>
      </c>
      <c r="P97" s="100">
        <v>0.91</v>
      </c>
      <c r="Q97" s="100">
        <v>9.32</v>
      </c>
      <c r="R97" s="6"/>
      <c r="S97" s="6"/>
      <c r="T97" s="156"/>
      <c r="U97" s="6"/>
    </row>
    <row r="98" spans="1:28" customFormat="1">
      <c r="A98" s="201" t="s">
        <v>1965</v>
      </c>
      <c r="B98" s="100">
        <v>11.91</v>
      </c>
      <c r="C98" s="100">
        <v>16.53</v>
      </c>
      <c r="D98" s="100">
        <v>18.190000000000001</v>
      </c>
      <c r="E98" s="100">
        <v>2.37</v>
      </c>
      <c r="F98" s="100">
        <v>4.16</v>
      </c>
      <c r="G98" s="100">
        <v>62.01</v>
      </c>
      <c r="H98" s="100">
        <v>17.309999999999999</v>
      </c>
      <c r="I98" s="100">
        <v>13.99</v>
      </c>
      <c r="J98" s="100">
        <v>0.12</v>
      </c>
      <c r="K98" s="100">
        <v>192.24</v>
      </c>
      <c r="L98" s="100">
        <v>18.14</v>
      </c>
      <c r="M98" s="100">
        <v>27.48</v>
      </c>
      <c r="N98" s="100">
        <v>1.4</v>
      </c>
      <c r="O98" s="100">
        <v>0</v>
      </c>
      <c r="P98" s="100">
        <v>0.9</v>
      </c>
      <c r="Q98" s="100">
        <v>9.32</v>
      </c>
      <c r="R98" s="6"/>
      <c r="S98" s="6"/>
      <c r="T98" s="156"/>
      <c r="U98" s="6"/>
    </row>
    <row r="99" spans="1:28" customFormat="1">
      <c r="A99" s="201" t="s">
        <v>1966</v>
      </c>
      <c r="B99" s="100">
        <v>11.82</v>
      </c>
      <c r="C99" s="100">
        <v>16.149999999999999</v>
      </c>
      <c r="D99" s="100">
        <v>17.91</v>
      </c>
      <c r="E99" s="100">
        <v>2.27</v>
      </c>
      <c r="F99" s="100">
        <v>4.16</v>
      </c>
      <c r="G99" s="100">
        <v>61.92</v>
      </c>
      <c r="H99" s="100">
        <v>17.29</v>
      </c>
      <c r="I99" s="100">
        <v>13.99</v>
      </c>
      <c r="J99" s="100">
        <v>0.11</v>
      </c>
      <c r="K99" s="100">
        <v>177.26</v>
      </c>
      <c r="L99" s="100">
        <v>16.72</v>
      </c>
      <c r="M99" s="100">
        <v>23.95</v>
      </c>
      <c r="N99" s="100">
        <v>1.3</v>
      </c>
      <c r="O99" s="100">
        <v>0</v>
      </c>
      <c r="P99" s="100">
        <v>0.89</v>
      </c>
      <c r="Q99" s="100">
        <v>9.32</v>
      </c>
      <c r="R99" s="6"/>
      <c r="S99" s="6"/>
      <c r="T99" s="156"/>
      <c r="U99" s="6"/>
    </row>
    <row r="100" spans="1:28" customFormat="1">
      <c r="A100" s="201" t="s">
        <v>1967</v>
      </c>
      <c r="B100" s="100">
        <v>11.76</v>
      </c>
      <c r="C100" s="100">
        <v>15.83</v>
      </c>
      <c r="D100" s="100">
        <v>17.7</v>
      </c>
      <c r="E100" s="100">
        <v>1.97</v>
      </c>
      <c r="F100" s="100">
        <v>4.16</v>
      </c>
      <c r="G100" s="100">
        <v>61.19</v>
      </c>
      <c r="H100" s="100">
        <v>17.16</v>
      </c>
      <c r="I100" s="100">
        <v>13.99</v>
      </c>
      <c r="J100" s="100">
        <v>0.12</v>
      </c>
      <c r="K100" s="100">
        <v>205.98</v>
      </c>
      <c r="L100" s="100">
        <v>18.53</v>
      </c>
      <c r="M100" s="100">
        <v>28.38</v>
      </c>
      <c r="N100" s="100">
        <v>1.2</v>
      </c>
      <c r="O100" s="100">
        <v>0</v>
      </c>
      <c r="P100" s="100">
        <v>0.88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1968</v>
      </c>
      <c r="B101" s="100">
        <v>11.53</v>
      </c>
      <c r="C101" s="100">
        <v>15.65</v>
      </c>
      <c r="D101" s="100">
        <v>17.420000000000002</v>
      </c>
      <c r="E101" s="100">
        <v>1.8</v>
      </c>
      <c r="F101" s="100">
        <v>4.16</v>
      </c>
      <c r="G101" s="100">
        <v>61.19</v>
      </c>
      <c r="H101" s="100">
        <v>17.16</v>
      </c>
      <c r="I101" s="100">
        <v>13.95</v>
      </c>
      <c r="J101" s="100">
        <v>0.2</v>
      </c>
      <c r="K101" s="100">
        <v>218.06</v>
      </c>
      <c r="L101" s="100">
        <v>19.53</v>
      </c>
      <c r="M101" s="100">
        <v>30.88</v>
      </c>
      <c r="N101" s="100">
        <v>1.2</v>
      </c>
      <c r="O101" s="100">
        <v>0</v>
      </c>
      <c r="P101" s="100">
        <v>0.84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1969</v>
      </c>
      <c r="B102" s="100">
        <v>11.22</v>
      </c>
      <c r="C102" s="100">
        <v>15.55</v>
      </c>
      <c r="D102" s="100">
        <v>17.12</v>
      </c>
      <c r="E102" s="100">
        <v>2.0699999999999998</v>
      </c>
      <c r="F102" s="100">
        <v>4.16</v>
      </c>
      <c r="G102" s="100">
        <v>61.19</v>
      </c>
      <c r="H102" s="100">
        <v>17.16</v>
      </c>
      <c r="I102" s="100">
        <v>13.89</v>
      </c>
      <c r="J102" s="100">
        <v>0.19</v>
      </c>
      <c r="K102" s="100">
        <v>217.07</v>
      </c>
      <c r="L102" s="100">
        <v>19.399999999999999</v>
      </c>
      <c r="M102" s="100">
        <v>30.47</v>
      </c>
      <c r="N102" s="100">
        <v>1.4</v>
      </c>
      <c r="O102" s="100">
        <v>0</v>
      </c>
      <c r="P102" s="100">
        <v>0.83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1970</v>
      </c>
      <c r="B103" s="100">
        <v>10.98</v>
      </c>
      <c r="C103" s="100">
        <v>15.31</v>
      </c>
      <c r="D103" s="100">
        <v>16.8</v>
      </c>
      <c r="E103" s="100">
        <v>2.12</v>
      </c>
      <c r="F103" s="100">
        <v>4.16</v>
      </c>
      <c r="G103" s="100">
        <v>60.84</v>
      </c>
      <c r="H103" s="100">
        <v>17.510000000000002</v>
      </c>
      <c r="I103" s="100">
        <v>13.82</v>
      </c>
      <c r="J103" s="100">
        <v>0.19</v>
      </c>
      <c r="K103" s="100">
        <v>224.99</v>
      </c>
      <c r="L103" s="100">
        <v>20.02</v>
      </c>
      <c r="M103" s="100">
        <v>31.95</v>
      </c>
      <c r="N103" s="100">
        <v>1.4</v>
      </c>
      <c r="O103" s="100">
        <v>0</v>
      </c>
      <c r="P103" s="100">
        <v>0.81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1971</v>
      </c>
      <c r="B104" s="100">
        <v>10.77</v>
      </c>
      <c r="C104" s="100">
        <v>15.03</v>
      </c>
      <c r="D104" s="100">
        <v>16.489999999999998</v>
      </c>
      <c r="E104" s="100">
        <v>2.61</v>
      </c>
      <c r="F104" s="100">
        <v>4.16</v>
      </c>
      <c r="G104" s="100">
        <v>57.67</v>
      </c>
      <c r="H104" s="100">
        <v>17.62</v>
      </c>
      <c r="I104" s="100">
        <v>13.75</v>
      </c>
      <c r="J104" s="100">
        <v>0.16</v>
      </c>
      <c r="K104" s="100">
        <v>217.8</v>
      </c>
      <c r="L104" s="100">
        <v>19.649999999999999</v>
      </c>
      <c r="M104" s="100">
        <v>30.98</v>
      </c>
      <c r="N104" s="100">
        <v>1.4</v>
      </c>
      <c r="O104" s="100">
        <v>0</v>
      </c>
      <c r="P104" s="100">
        <v>0.81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-0.09</v>
      </c>
      <c r="C106" s="158">
        <f>MIN(C9:C104)</f>
        <v>3.88</v>
      </c>
      <c r="D106" s="158">
        <f t="shared" ref="D106:Q106" si="0">MIN(D9:D104)</f>
        <v>3.79</v>
      </c>
      <c r="E106" s="158">
        <f t="shared" si="0"/>
        <v>0</v>
      </c>
      <c r="F106" s="158">
        <f t="shared" si="0"/>
        <v>3.93</v>
      </c>
      <c r="G106" s="158">
        <f t="shared" si="0"/>
        <v>32.35</v>
      </c>
      <c r="H106" s="158">
        <f t="shared" si="0"/>
        <v>11.01</v>
      </c>
      <c r="I106" s="158">
        <f t="shared" si="0"/>
        <v>7.71</v>
      </c>
      <c r="J106" s="158">
        <f t="shared" si="0"/>
        <v>0.04</v>
      </c>
      <c r="K106" s="158">
        <f t="shared" si="0"/>
        <v>22.53</v>
      </c>
      <c r="L106" s="158">
        <f t="shared" si="0"/>
        <v>8.2799999999999994</v>
      </c>
      <c r="M106" s="158">
        <f t="shared" si="0"/>
        <v>-0.4</v>
      </c>
      <c r="N106" s="158">
        <f t="shared" si="0"/>
        <v>1</v>
      </c>
      <c r="O106" s="158">
        <f t="shared" si="0"/>
        <v>0</v>
      </c>
      <c r="P106" s="158">
        <f t="shared" si="0"/>
        <v>0.45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19.739999999999998</v>
      </c>
      <c r="C107" s="157">
        <f t="shared" ref="C107:Q107" si="1">MAX(C9:C104)</f>
        <v>38.840000000000003</v>
      </c>
      <c r="D107" s="157">
        <f t="shared" si="1"/>
        <v>26.39</v>
      </c>
      <c r="E107" s="157">
        <f t="shared" si="1"/>
        <v>10.36</v>
      </c>
      <c r="F107" s="157">
        <f t="shared" si="1"/>
        <v>117.1</v>
      </c>
      <c r="G107" s="157">
        <f t="shared" si="1"/>
        <v>65.349999999999994</v>
      </c>
      <c r="H107" s="157">
        <f t="shared" si="1"/>
        <v>19.829999999999998</v>
      </c>
      <c r="I107" s="157">
        <f t="shared" si="1"/>
        <v>13.99</v>
      </c>
      <c r="J107" s="157">
        <f t="shared" si="1"/>
        <v>0.79</v>
      </c>
      <c r="K107" s="157">
        <f t="shared" si="1"/>
        <v>348.5</v>
      </c>
      <c r="L107" s="157">
        <f t="shared" si="1"/>
        <v>20.68</v>
      </c>
      <c r="M107" s="157">
        <f t="shared" si="1"/>
        <v>33.79</v>
      </c>
      <c r="N107" s="157">
        <f t="shared" si="1"/>
        <v>573.29999999999995</v>
      </c>
      <c r="O107" s="157">
        <f t="shared" si="1"/>
        <v>0</v>
      </c>
      <c r="P107" s="157">
        <f t="shared" si="1"/>
        <v>0.94</v>
      </c>
      <c r="Q107" s="157">
        <f t="shared" si="1"/>
        <v>9.83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10.605104166666667</v>
      </c>
      <c r="C108" s="158">
        <f t="shared" ref="C108:Q108" si="2">AVERAGE(C9:C104)</f>
        <v>19.397604166666667</v>
      </c>
      <c r="D108" s="158">
        <f t="shared" si="2"/>
        <v>18.78947916666667</v>
      </c>
      <c r="E108" s="158">
        <f t="shared" si="2"/>
        <v>5.0103124999999986</v>
      </c>
      <c r="F108" s="158">
        <f t="shared" si="2"/>
        <v>9.526571428571442</v>
      </c>
      <c r="G108" s="158">
        <f t="shared" si="2"/>
        <v>48.22197916666665</v>
      </c>
      <c r="H108" s="158">
        <f t="shared" si="2"/>
        <v>15.793333333333322</v>
      </c>
      <c r="I108" s="158">
        <f t="shared" si="2"/>
        <v>11.76760416666667</v>
      </c>
      <c r="J108" s="158">
        <f t="shared" si="2"/>
        <v>0.26104166666666662</v>
      </c>
      <c r="K108" s="158">
        <f t="shared" si="2"/>
        <v>138.30697916666668</v>
      </c>
      <c r="L108" s="158">
        <f t="shared" si="2"/>
        <v>16.038541666666674</v>
      </c>
      <c r="M108" s="158">
        <f t="shared" si="2"/>
        <v>19.673437500000002</v>
      </c>
      <c r="N108" s="158">
        <f t="shared" si="2"/>
        <v>115.67916666666662</v>
      </c>
      <c r="O108" s="158">
        <f t="shared" si="2"/>
        <v>0</v>
      </c>
      <c r="P108" s="158">
        <f t="shared" si="2"/>
        <v>0.72677083333333325</v>
      </c>
      <c r="Q108" s="158">
        <f t="shared" si="2"/>
        <v>9.3295833333333515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5.7281640293317206</v>
      </c>
      <c r="C109" s="158">
        <f t="shared" ref="C109:Q109" si="3">STDEV(C9:C104)</f>
        <v>4.758494840485799</v>
      </c>
      <c r="D109" s="158">
        <f t="shared" si="3"/>
        <v>4.8941833079884631</v>
      </c>
      <c r="E109" s="158">
        <f t="shared" si="3"/>
        <v>2.3077541842666056</v>
      </c>
      <c r="F109" s="158">
        <f t="shared" si="3"/>
        <v>21.045709908345167</v>
      </c>
      <c r="G109" s="158">
        <f t="shared" si="3"/>
        <v>9.5972425447478944</v>
      </c>
      <c r="H109" s="158">
        <f t="shared" si="3"/>
        <v>2.7272444804492211</v>
      </c>
      <c r="I109" s="158">
        <f t="shared" si="3"/>
        <v>1.6923597631657377</v>
      </c>
      <c r="J109" s="158">
        <f t="shared" si="3"/>
        <v>0.17771934803691689</v>
      </c>
      <c r="K109" s="158">
        <f t="shared" si="3"/>
        <v>72.38528926035201</v>
      </c>
      <c r="L109" s="158">
        <f t="shared" si="3"/>
        <v>2.752900854377959</v>
      </c>
      <c r="M109" s="158">
        <f t="shared" si="3"/>
        <v>7.987481498619541</v>
      </c>
      <c r="N109" s="158">
        <f t="shared" si="3"/>
        <v>186.69255216823117</v>
      </c>
      <c r="O109" s="158">
        <f t="shared" si="3"/>
        <v>0</v>
      </c>
      <c r="P109" s="158">
        <f t="shared" si="3"/>
        <v>0.12445667004744426</v>
      </c>
      <c r="Q109" s="158">
        <f t="shared" si="3"/>
        <v>6.5178567137020582E-2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COUNT(F9:F104)+61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1972</v>
      </c>
      <c r="B9" s="100">
        <v>10.5</v>
      </c>
      <c r="C9" s="100">
        <v>14.26</v>
      </c>
      <c r="D9" s="100">
        <v>15.87</v>
      </c>
      <c r="E9" s="100">
        <v>2.79</v>
      </c>
      <c r="F9" s="151" t="s">
        <v>8</v>
      </c>
      <c r="G9" s="100">
        <v>57.67</v>
      </c>
      <c r="H9" s="100">
        <v>17.62</v>
      </c>
      <c r="I9" s="100">
        <v>13.71</v>
      </c>
      <c r="J9" s="100">
        <v>0.17</v>
      </c>
      <c r="K9" s="100">
        <v>211.8</v>
      </c>
      <c r="L9" s="100">
        <v>19.059999999999999</v>
      </c>
      <c r="M9" s="100">
        <v>29.58</v>
      </c>
      <c r="N9" s="100">
        <v>1.3</v>
      </c>
      <c r="O9" s="100">
        <v>0</v>
      </c>
      <c r="P9" s="100">
        <v>0.8</v>
      </c>
      <c r="Q9" s="100">
        <v>9.32</v>
      </c>
      <c r="R9" s="6"/>
      <c r="S9" s="6"/>
      <c r="T9" s="156"/>
      <c r="U9" s="6"/>
    </row>
    <row r="10" spans="1:21" customFormat="1">
      <c r="A10" s="201" t="s">
        <v>1973</v>
      </c>
      <c r="B10" s="100">
        <v>10.4</v>
      </c>
      <c r="C10" s="100">
        <v>14.27</v>
      </c>
      <c r="D10" s="100">
        <v>15.8</v>
      </c>
      <c r="E10" s="100">
        <v>2.7</v>
      </c>
      <c r="F10" s="151" t="s">
        <v>8</v>
      </c>
      <c r="G10" s="100">
        <v>57.67</v>
      </c>
      <c r="H10" s="100">
        <v>17.62</v>
      </c>
      <c r="I10" s="100">
        <v>13.7</v>
      </c>
      <c r="J10" s="100">
        <v>0.16</v>
      </c>
      <c r="K10" s="100">
        <v>195.97</v>
      </c>
      <c r="L10" s="100">
        <v>17.77</v>
      </c>
      <c r="M10" s="100">
        <v>26.38</v>
      </c>
      <c r="N10" s="100">
        <v>1.3</v>
      </c>
      <c r="O10" s="100">
        <v>0</v>
      </c>
      <c r="P10" s="100">
        <v>0.8</v>
      </c>
      <c r="Q10" s="100">
        <v>9.32</v>
      </c>
      <c r="R10" s="6"/>
      <c r="S10" s="6"/>
      <c r="T10" s="156"/>
      <c r="U10" s="6"/>
    </row>
    <row r="11" spans="1:21" customFormat="1">
      <c r="A11" s="201" t="s">
        <v>1974</v>
      </c>
      <c r="B11" s="100">
        <v>10.25</v>
      </c>
      <c r="C11" s="100">
        <v>14.15</v>
      </c>
      <c r="D11" s="100">
        <v>15.61</v>
      </c>
      <c r="E11" s="100">
        <v>2.39</v>
      </c>
      <c r="F11" s="151" t="s">
        <v>8</v>
      </c>
      <c r="G11" s="100">
        <v>57.4</v>
      </c>
      <c r="H11" s="100">
        <v>16.8</v>
      </c>
      <c r="I11" s="100">
        <v>13.69</v>
      </c>
      <c r="J11" s="100">
        <v>0.13</v>
      </c>
      <c r="K11" s="100">
        <v>184.27</v>
      </c>
      <c r="L11" s="100">
        <v>16.93</v>
      </c>
      <c r="M11" s="100">
        <v>24.27</v>
      </c>
      <c r="N11" s="100">
        <v>1.2</v>
      </c>
      <c r="O11" s="100">
        <v>0</v>
      </c>
      <c r="P11" s="100">
        <v>0.8</v>
      </c>
      <c r="Q11" s="100">
        <v>9.32</v>
      </c>
      <c r="R11" s="6"/>
      <c r="S11" s="6"/>
      <c r="T11" s="156"/>
      <c r="U11" s="6"/>
    </row>
    <row r="12" spans="1:21" customFormat="1">
      <c r="A12" s="201" t="s">
        <v>1975</v>
      </c>
      <c r="B12" s="100">
        <v>10.09</v>
      </c>
      <c r="C12" s="100">
        <v>14.05</v>
      </c>
      <c r="D12" s="100">
        <v>15.44</v>
      </c>
      <c r="E12" s="100">
        <v>2.69</v>
      </c>
      <c r="F12" s="151" t="s">
        <v>8</v>
      </c>
      <c r="G12" s="100">
        <v>54.91</v>
      </c>
      <c r="H12" s="100">
        <v>16.559999999999999</v>
      </c>
      <c r="I12" s="100">
        <v>13.68</v>
      </c>
      <c r="J12" s="100">
        <v>0.17</v>
      </c>
      <c r="K12" s="100">
        <v>159.80000000000001</v>
      </c>
      <c r="L12" s="100">
        <v>15.01</v>
      </c>
      <c r="M12" s="100">
        <v>19.54</v>
      </c>
      <c r="N12" s="100">
        <v>1.3</v>
      </c>
      <c r="O12" s="100">
        <v>0</v>
      </c>
      <c r="P12" s="100">
        <v>0.78</v>
      </c>
      <c r="Q12" s="100">
        <v>9.32</v>
      </c>
      <c r="R12" s="6"/>
      <c r="S12" s="6"/>
      <c r="T12" s="156"/>
      <c r="U12" s="6"/>
    </row>
    <row r="13" spans="1:21" customFormat="1">
      <c r="A13" s="201" t="s">
        <v>1976</v>
      </c>
      <c r="B13" s="100">
        <v>9.82</v>
      </c>
      <c r="C13" s="100">
        <v>13.89</v>
      </c>
      <c r="D13" s="100">
        <v>15.13</v>
      </c>
      <c r="E13" s="100">
        <v>2.6</v>
      </c>
      <c r="F13" s="151" t="s">
        <v>8</v>
      </c>
      <c r="G13" s="100">
        <v>54.91</v>
      </c>
      <c r="H13" s="100">
        <v>16.559999999999999</v>
      </c>
      <c r="I13" s="100">
        <v>13.66</v>
      </c>
      <c r="J13" s="100">
        <v>0.14000000000000001</v>
      </c>
      <c r="K13" s="100">
        <v>199.83</v>
      </c>
      <c r="L13" s="100">
        <v>18.05</v>
      </c>
      <c r="M13" s="100">
        <v>27.03</v>
      </c>
      <c r="N13" s="100">
        <v>1.1000000000000001</v>
      </c>
      <c r="O13" s="100">
        <v>0</v>
      </c>
      <c r="P13" s="100">
        <v>0.77</v>
      </c>
      <c r="Q13" s="100">
        <v>9.32</v>
      </c>
      <c r="R13" s="6"/>
      <c r="S13" s="6"/>
      <c r="T13" s="156"/>
      <c r="U13" s="6"/>
    </row>
    <row r="14" spans="1:21" customFormat="1">
      <c r="A14" s="201" t="s">
        <v>1977</v>
      </c>
      <c r="B14" s="100">
        <v>9.4600000000000009</v>
      </c>
      <c r="C14" s="100">
        <v>13.79</v>
      </c>
      <c r="D14" s="100">
        <v>14.79</v>
      </c>
      <c r="E14" s="100">
        <v>2.64</v>
      </c>
      <c r="F14" s="151" t="s">
        <v>8</v>
      </c>
      <c r="G14" s="100">
        <v>54.91</v>
      </c>
      <c r="H14" s="100">
        <v>16.559999999999999</v>
      </c>
      <c r="I14" s="100">
        <v>13.64</v>
      </c>
      <c r="J14" s="100">
        <v>0.11</v>
      </c>
      <c r="K14" s="100">
        <v>195.29</v>
      </c>
      <c r="L14" s="100">
        <v>17.91</v>
      </c>
      <c r="M14" s="100">
        <v>26.71</v>
      </c>
      <c r="N14" s="100">
        <v>1.3</v>
      </c>
      <c r="O14" s="100">
        <v>0</v>
      </c>
      <c r="P14" s="100">
        <v>0.76</v>
      </c>
      <c r="Q14" s="100">
        <v>9.32</v>
      </c>
      <c r="R14" s="6"/>
      <c r="S14" s="6"/>
      <c r="T14" s="156"/>
      <c r="U14" s="6"/>
    </row>
    <row r="15" spans="1:21" customFormat="1">
      <c r="A15" s="201" t="s">
        <v>1978</v>
      </c>
      <c r="B15" s="100">
        <v>9.09</v>
      </c>
      <c r="C15" s="100">
        <v>13.63</v>
      </c>
      <c r="D15" s="100">
        <v>14.41</v>
      </c>
      <c r="E15" s="100">
        <v>2.65</v>
      </c>
      <c r="F15" s="151" t="s">
        <v>8</v>
      </c>
      <c r="G15" s="100">
        <v>53.81</v>
      </c>
      <c r="H15" s="100">
        <v>16.36</v>
      </c>
      <c r="I15" s="100">
        <v>13.51</v>
      </c>
      <c r="J15" s="100">
        <v>0.12</v>
      </c>
      <c r="K15" s="100">
        <v>202.49</v>
      </c>
      <c r="L15" s="100">
        <v>18.12</v>
      </c>
      <c r="M15" s="100">
        <v>27.28</v>
      </c>
      <c r="N15" s="100">
        <v>1.2</v>
      </c>
      <c r="O15" s="100">
        <v>0</v>
      </c>
      <c r="P15" s="100">
        <v>0.74</v>
      </c>
      <c r="Q15" s="100">
        <v>9.32</v>
      </c>
      <c r="R15" s="6"/>
      <c r="S15" s="6"/>
      <c r="T15" s="156"/>
      <c r="U15" s="6"/>
    </row>
    <row r="16" spans="1:21" customFormat="1">
      <c r="A16" s="201" t="s">
        <v>1979</v>
      </c>
      <c r="B16" s="100">
        <v>8.76</v>
      </c>
      <c r="C16" s="100">
        <v>13.51</v>
      </c>
      <c r="D16" s="100">
        <v>14.08</v>
      </c>
      <c r="E16" s="100">
        <v>2.71</v>
      </c>
      <c r="F16" s="151" t="s">
        <v>8</v>
      </c>
      <c r="G16" s="100">
        <v>43.99</v>
      </c>
      <c r="H16" s="100">
        <v>14.7</v>
      </c>
      <c r="I16" s="100">
        <v>13.34</v>
      </c>
      <c r="J16" s="100">
        <v>0.11</v>
      </c>
      <c r="K16" s="100">
        <v>206.06</v>
      </c>
      <c r="L16" s="100">
        <v>18.77</v>
      </c>
      <c r="M16" s="100">
        <v>28.86</v>
      </c>
      <c r="N16" s="100">
        <v>1.4</v>
      </c>
      <c r="O16" s="100">
        <v>0</v>
      </c>
      <c r="P16" s="100">
        <v>0.74</v>
      </c>
      <c r="Q16" s="100">
        <v>9.32</v>
      </c>
      <c r="R16" s="6"/>
      <c r="S16" s="6"/>
      <c r="T16" s="156"/>
      <c r="U16" s="6"/>
    </row>
    <row r="17" spans="1:21" customFormat="1">
      <c r="A17" s="201" t="s">
        <v>1980</v>
      </c>
      <c r="B17" s="100">
        <v>8.42</v>
      </c>
      <c r="C17" s="100">
        <v>13.4</v>
      </c>
      <c r="D17" s="100">
        <v>13.76</v>
      </c>
      <c r="E17" s="100">
        <v>4.8899999999999997</v>
      </c>
      <c r="F17" s="151" t="s">
        <v>8</v>
      </c>
      <c r="G17" s="100">
        <v>43.99</v>
      </c>
      <c r="H17" s="100">
        <v>14.7</v>
      </c>
      <c r="I17" s="100">
        <v>13.22</v>
      </c>
      <c r="J17" s="100">
        <v>7.0000000000000007E-2</v>
      </c>
      <c r="K17" s="100">
        <v>235.64</v>
      </c>
      <c r="L17" s="100">
        <v>18.600000000000001</v>
      </c>
      <c r="M17" s="100">
        <v>28.37</v>
      </c>
      <c r="N17" s="100">
        <v>1.4</v>
      </c>
      <c r="O17" s="100">
        <v>0</v>
      </c>
      <c r="P17" s="100">
        <v>0.72</v>
      </c>
      <c r="Q17" s="100">
        <v>9.32</v>
      </c>
      <c r="R17" s="6"/>
      <c r="S17" s="6"/>
      <c r="T17" s="156"/>
      <c r="U17" s="6"/>
    </row>
    <row r="18" spans="1:21" customFormat="1">
      <c r="A18" s="201" t="s">
        <v>1981</v>
      </c>
      <c r="B18" s="100">
        <v>8.31</v>
      </c>
      <c r="C18" s="100">
        <v>13.35</v>
      </c>
      <c r="D18" s="100">
        <v>13.64</v>
      </c>
      <c r="E18" s="100">
        <v>6.01</v>
      </c>
      <c r="F18" s="151" t="s">
        <v>8</v>
      </c>
      <c r="G18" s="100">
        <v>43.99</v>
      </c>
      <c r="H18" s="100">
        <v>14.7</v>
      </c>
      <c r="I18" s="100">
        <v>13.08</v>
      </c>
      <c r="J18" s="100">
        <v>7.0000000000000007E-2</v>
      </c>
      <c r="K18" s="100">
        <v>39.270000000000003</v>
      </c>
      <c r="L18" s="100">
        <v>13.87</v>
      </c>
      <c r="M18" s="100">
        <v>16.57</v>
      </c>
      <c r="N18" s="100">
        <v>1.1000000000000001</v>
      </c>
      <c r="O18" s="100">
        <v>0</v>
      </c>
      <c r="P18" s="100">
        <v>0.7</v>
      </c>
      <c r="Q18" s="100">
        <v>9.32</v>
      </c>
      <c r="R18" s="6"/>
      <c r="S18" s="6"/>
      <c r="T18" s="156"/>
      <c r="U18" s="6"/>
    </row>
    <row r="19" spans="1:21" customFormat="1">
      <c r="A19" s="201" t="s">
        <v>1982</v>
      </c>
      <c r="B19" s="100">
        <v>8.51</v>
      </c>
      <c r="C19" s="100">
        <v>13.73</v>
      </c>
      <c r="D19" s="100">
        <v>14</v>
      </c>
      <c r="E19" s="100">
        <v>5.99</v>
      </c>
      <c r="F19" s="151" t="s">
        <v>8</v>
      </c>
      <c r="G19" s="100">
        <v>43.74</v>
      </c>
      <c r="H19" s="100">
        <v>14.65</v>
      </c>
      <c r="I19" s="100">
        <v>12.96</v>
      </c>
      <c r="J19" s="100">
        <v>0.13</v>
      </c>
      <c r="K19" s="100">
        <v>202.13</v>
      </c>
      <c r="L19" s="100">
        <v>18.28</v>
      </c>
      <c r="M19" s="100">
        <v>27.6</v>
      </c>
      <c r="N19" s="100">
        <v>1.1000000000000001</v>
      </c>
      <c r="O19" s="100">
        <v>0</v>
      </c>
      <c r="P19" s="100">
        <v>0.69</v>
      </c>
      <c r="Q19" s="100">
        <v>9.32</v>
      </c>
      <c r="R19" s="6"/>
      <c r="S19" s="6"/>
      <c r="T19" s="156"/>
      <c r="U19" s="6"/>
    </row>
    <row r="20" spans="1:21" customFormat="1">
      <c r="A20" s="201" t="s">
        <v>1983</v>
      </c>
      <c r="B20" s="100">
        <v>8.81</v>
      </c>
      <c r="C20" s="100">
        <v>14.01</v>
      </c>
      <c r="D20" s="100">
        <v>14.38</v>
      </c>
      <c r="E20" s="100">
        <v>6.08</v>
      </c>
      <c r="F20" s="151" t="s">
        <v>8</v>
      </c>
      <c r="G20" s="100">
        <v>41.5</v>
      </c>
      <c r="H20" s="100">
        <v>14.24</v>
      </c>
      <c r="I20" s="100">
        <v>12.82</v>
      </c>
      <c r="J20" s="100">
        <v>0.17</v>
      </c>
      <c r="K20" s="100">
        <v>206.43</v>
      </c>
      <c r="L20" s="100">
        <v>19.45</v>
      </c>
      <c r="M20" s="100">
        <v>30.51</v>
      </c>
      <c r="N20" s="100">
        <v>1.3</v>
      </c>
      <c r="O20" s="100">
        <v>0</v>
      </c>
      <c r="P20" s="100">
        <v>0.69</v>
      </c>
      <c r="Q20" s="100">
        <v>9.32</v>
      </c>
      <c r="R20" s="6"/>
      <c r="S20" s="6"/>
      <c r="T20" s="156"/>
      <c r="U20" s="6"/>
    </row>
    <row r="21" spans="1:21" customFormat="1">
      <c r="A21" s="201" t="s">
        <v>1984</v>
      </c>
      <c r="B21" s="100">
        <v>9.33</v>
      </c>
      <c r="C21" s="100">
        <v>14.25</v>
      </c>
      <c r="D21" s="100">
        <v>14.93</v>
      </c>
      <c r="E21" s="100">
        <v>5.75</v>
      </c>
      <c r="F21" s="151" t="s">
        <v>8</v>
      </c>
      <c r="G21" s="100">
        <v>41.5</v>
      </c>
      <c r="H21" s="100">
        <v>14.24</v>
      </c>
      <c r="I21" s="100">
        <v>12.73</v>
      </c>
      <c r="J21" s="100">
        <v>0.03</v>
      </c>
      <c r="K21" s="100">
        <v>209.71</v>
      </c>
      <c r="L21" s="100">
        <v>18.940000000000001</v>
      </c>
      <c r="M21" s="100">
        <v>29.2</v>
      </c>
      <c r="N21" s="100">
        <v>1.4</v>
      </c>
      <c r="O21" s="100">
        <v>0</v>
      </c>
      <c r="P21" s="100">
        <v>0.69</v>
      </c>
      <c r="Q21" s="100">
        <v>9.32</v>
      </c>
      <c r="R21" s="6"/>
      <c r="S21" s="6"/>
      <c r="T21" s="156"/>
      <c r="U21" s="6"/>
    </row>
    <row r="22" spans="1:21" customFormat="1">
      <c r="A22" s="201" t="s">
        <v>1985</v>
      </c>
      <c r="B22" s="100">
        <v>10.35</v>
      </c>
      <c r="C22" s="100">
        <v>14.65</v>
      </c>
      <c r="D22" s="100">
        <v>15.96</v>
      </c>
      <c r="E22" s="100">
        <v>5.89</v>
      </c>
      <c r="F22" s="151" t="s">
        <v>8</v>
      </c>
      <c r="G22" s="100">
        <v>41.5</v>
      </c>
      <c r="H22" s="100">
        <v>14.24</v>
      </c>
      <c r="I22" s="100">
        <v>12.69</v>
      </c>
      <c r="J22" s="100">
        <v>0.13</v>
      </c>
      <c r="K22" s="100">
        <v>185.4</v>
      </c>
      <c r="L22" s="100">
        <v>16.670000000000002</v>
      </c>
      <c r="M22" s="100">
        <v>23.66</v>
      </c>
      <c r="N22" s="100">
        <v>1.3</v>
      </c>
      <c r="O22" s="100">
        <v>0</v>
      </c>
      <c r="P22" s="100">
        <v>0.69</v>
      </c>
      <c r="Q22" s="100">
        <v>9.32</v>
      </c>
      <c r="R22" s="6"/>
      <c r="S22" s="6"/>
      <c r="T22" s="156"/>
      <c r="U22" s="6"/>
    </row>
    <row r="23" spans="1:21" customFormat="1">
      <c r="A23" s="201" t="s">
        <v>1986</v>
      </c>
      <c r="B23" s="100">
        <v>11.61</v>
      </c>
      <c r="C23" s="100">
        <v>15.03</v>
      </c>
      <c r="D23" s="100">
        <v>17.16</v>
      </c>
      <c r="E23" s="100">
        <v>5.9</v>
      </c>
      <c r="F23" s="151" t="s">
        <v>8</v>
      </c>
      <c r="G23" s="100">
        <v>41.49</v>
      </c>
      <c r="H23" s="100">
        <v>14.35</v>
      </c>
      <c r="I23" s="100">
        <v>12.67</v>
      </c>
      <c r="J23" s="100">
        <v>0.08</v>
      </c>
      <c r="K23" s="100">
        <v>107.05</v>
      </c>
      <c r="L23" s="100">
        <v>14.72</v>
      </c>
      <c r="M23" s="100">
        <v>18.72</v>
      </c>
      <c r="N23" s="100">
        <v>1.2</v>
      </c>
      <c r="O23" s="100">
        <v>0</v>
      </c>
      <c r="P23" s="100">
        <v>0.69</v>
      </c>
      <c r="Q23" s="100">
        <v>9.32</v>
      </c>
      <c r="R23" s="6"/>
      <c r="S23" s="6"/>
      <c r="T23" s="156"/>
      <c r="U23" s="6"/>
    </row>
    <row r="24" spans="1:21" customFormat="1">
      <c r="A24" s="201" t="s">
        <v>1987</v>
      </c>
      <c r="B24" s="100">
        <v>12.68</v>
      </c>
      <c r="C24" s="100">
        <v>15.31</v>
      </c>
      <c r="D24" s="100">
        <v>18.170000000000002</v>
      </c>
      <c r="E24" s="100">
        <v>6.4</v>
      </c>
      <c r="F24" s="151" t="s">
        <v>8</v>
      </c>
      <c r="G24" s="100">
        <v>41.42</v>
      </c>
      <c r="H24" s="100">
        <v>15.22</v>
      </c>
      <c r="I24" s="100">
        <v>12.66</v>
      </c>
      <c r="J24" s="100">
        <v>0.05</v>
      </c>
      <c r="K24" s="100">
        <v>114.04</v>
      </c>
      <c r="L24" s="100">
        <v>14.46</v>
      </c>
      <c r="M24" s="100">
        <v>18.079999999999998</v>
      </c>
      <c r="N24" s="100">
        <v>1.3</v>
      </c>
      <c r="O24" s="100">
        <v>0</v>
      </c>
      <c r="P24" s="100">
        <v>0.7</v>
      </c>
      <c r="Q24" s="100">
        <v>9.32</v>
      </c>
      <c r="R24" s="6"/>
      <c r="S24" s="6"/>
      <c r="T24" s="156"/>
      <c r="U24" s="6"/>
    </row>
    <row r="25" spans="1:21" customFormat="1">
      <c r="A25" s="201" t="s">
        <v>1988</v>
      </c>
      <c r="B25" s="100">
        <v>13.33</v>
      </c>
      <c r="C25" s="100">
        <v>15.37</v>
      </c>
      <c r="D25" s="100">
        <v>18.72</v>
      </c>
      <c r="E25" s="100">
        <v>6.3</v>
      </c>
      <c r="F25" s="151" t="s">
        <v>8</v>
      </c>
      <c r="G25" s="100">
        <v>41.42</v>
      </c>
      <c r="H25" s="100">
        <v>15.22</v>
      </c>
      <c r="I25" s="100">
        <v>12.73</v>
      </c>
      <c r="J25" s="100">
        <v>0.01</v>
      </c>
      <c r="K25" s="100">
        <v>-0.13</v>
      </c>
      <c r="L25" s="100">
        <v>16.88</v>
      </c>
      <c r="M25" s="100">
        <v>24.24</v>
      </c>
      <c r="N25" s="100">
        <v>1.4</v>
      </c>
      <c r="O25" s="100">
        <v>0</v>
      </c>
      <c r="P25" s="100">
        <v>0.73</v>
      </c>
      <c r="Q25" s="100">
        <v>9.32</v>
      </c>
      <c r="R25" s="6"/>
      <c r="S25" s="6"/>
      <c r="T25" s="156"/>
      <c r="U25" s="6"/>
    </row>
    <row r="26" spans="1:21" customFormat="1">
      <c r="A26" s="201" t="s">
        <v>1989</v>
      </c>
      <c r="B26" s="100">
        <v>13.8</v>
      </c>
      <c r="C26" s="100">
        <v>0</v>
      </c>
      <c r="D26" s="100">
        <v>19.03</v>
      </c>
      <c r="E26" s="100">
        <v>6.24</v>
      </c>
      <c r="F26" s="151" t="s">
        <v>8</v>
      </c>
      <c r="G26" s="100">
        <v>41.42</v>
      </c>
      <c r="H26" s="100">
        <v>0</v>
      </c>
      <c r="I26" s="100">
        <v>12.91</v>
      </c>
      <c r="J26" s="100">
        <v>0</v>
      </c>
      <c r="K26" s="100">
        <v>0</v>
      </c>
      <c r="L26" s="100">
        <v>0</v>
      </c>
      <c r="M26" s="100">
        <v>0</v>
      </c>
      <c r="N26" s="100">
        <v>0</v>
      </c>
      <c r="O26" s="100">
        <v>0</v>
      </c>
      <c r="P26" s="100">
        <v>0.75</v>
      </c>
      <c r="Q26" s="100">
        <v>9.32</v>
      </c>
      <c r="R26" s="6"/>
      <c r="S26" s="6"/>
      <c r="T26" s="156"/>
      <c r="U26" s="6"/>
    </row>
    <row r="27" spans="1:21" customFormat="1">
      <c r="A27" s="201" t="s">
        <v>1990</v>
      </c>
      <c r="B27" s="100">
        <v>14.11</v>
      </c>
      <c r="C27" s="100">
        <v>15.12</v>
      </c>
      <c r="D27" s="100">
        <v>19.21</v>
      </c>
      <c r="E27" s="100">
        <v>5.96</v>
      </c>
      <c r="F27" s="151" t="s">
        <v>8</v>
      </c>
      <c r="G27" s="100">
        <v>41.5</v>
      </c>
      <c r="H27" s="100">
        <v>15.17</v>
      </c>
      <c r="I27" s="100">
        <v>13.13</v>
      </c>
      <c r="J27" s="100">
        <v>0.2</v>
      </c>
      <c r="K27" s="100">
        <v>182.93</v>
      </c>
      <c r="L27" s="100">
        <v>17.14</v>
      </c>
      <c r="M27" s="100">
        <v>24.98</v>
      </c>
      <c r="N27" s="100">
        <v>1.6</v>
      </c>
      <c r="O27" s="100">
        <v>0</v>
      </c>
      <c r="P27" s="100">
        <v>0.75</v>
      </c>
      <c r="Q27" s="100">
        <v>9.32</v>
      </c>
      <c r="R27" s="6"/>
      <c r="S27" s="6"/>
      <c r="T27" s="156"/>
      <c r="U27" s="6"/>
    </row>
    <row r="28" spans="1:21" customFormat="1">
      <c r="A28" s="201" t="s">
        <v>1991</v>
      </c>
      <c r="B28" s="100">
        <v>14.05</v>
      </c>
      <c r="C28" s="100">
        <v>14.77</v>
      </c>
      <c r="D28" s="100">
        <v>18.98</v>
      </c>
      <c r="E28" s="100">
        <v>5.73</v>
      </c>
      <c r="F28" s="151" t="s">
        <v>8</v>
      </c>
      <c r="G28" s="100">
        <v>42.4</v>
      </c>
      <c r="H28" s="100">
        <v>14.87</v>
      </c>
      <c r="I28" s="100">
        <v>13.31</v>
      </c>
      <c r="J28" s="100">
        <v>0.03</v>
      </c>
      <c r="K28" s="100">
        <v>128.9</v>
      </c>
      <c r="L28" s="100">
        <v>14.46</v>
      </c>
      <c r="M28" s="100">
        <v>18.12</v>
      </c>
      <c r="N28" s="100">
        <v>1.6</v>
      </c>
      <c r="O28" s="100">
        <v>0</v>
      </c>
      <c r="P28" s="100">
        <v>0.74</v>
      </c>
      <c r="Q28" s="100">
        <v>9.32</v>
      </c>
      <c r="R28" s="6"/>
      <c r="S28" s="6"/>
      <c r="T28" s="156"/>
      <c r="U28" s="6"/>
    </row>
    <row r="29" spans="1:21" customFormat="1">
      <c r="A29" s="201" t="s">
        <v>1992</v>
      </c>
      <c r="B29" s="100">
        <v>14.65</v>
      </c>
      <c r="C29" s="100">
        <v>14.68</v>
      </c>
      <c r="D29" s="100">
        <v>19.420000000000002</v>
      </c>
      <c r="E29" s="100">
        <v>5.81</v>
      </c>
      <c r="F29" s="151" t="s">
        <v>8</v>
      </c>
      <c r="G29" s="100">
        <v>42.4</v>
      </c>
      <c r="H29" s="100">
        <v>14.87</v>
      </c>
      <c r="I29" s="100">
        <v>13.4</v>
      </c>
      <c r="J29" s="100">
        <v>0.15</v>
      </c>
      <c r="K29" s="100">
        <v>213.03</v>
      </c>
      <c r="L29" s="100">
        <v>17.82</v>
      </c>
      <c r="M29" s="100">
        <v>26.67</v>
      </c>
      <c r="N29" s="100">
        <v>1.4</v>
      </c>
      <c r="O29" s="100">
        <v>0</v>
      </c>
      <c r="P29" s="100">
        <v>0.74</v>
      </c>
      <c r="Q29" s="100">
        <v>9.32</v>
      </c>
      <c r="R29" s="6"/>
      <c r="S29" s="6"/>
      <c r="T29" s="156"/>
      <c r="U29" s="6"/>
    </row>
    <row r="30" spans="1:21" customFormat="1">
      <c r="A30" s="201" t="s">
        <v>1993</v>
      </c>
      <c r="B30" s="100">
        <v>15.82</v>
      </c>
      <c r="C30" s="100">
        <v>14.69</v>
      </c>
      <c r="D30" s="100">
        <v>20.36</v>
      </c>
      <c r="E30" s="100">
        <v>6.05</v>
      </c>
      <c r="F30" s="151" t="s">
        <v>8</v>
      </c>
      <c r="G30" s="100">
        <v>42.4</v>
      </c>
      <c r="H30" s="100">
        <v>14.87</v>
      </c>
      <c r="I30" s="100">
        <v>13.41</v>
      </c>
      <c r="J30" s="100">
        <v>0.18</v>
      </c>
      <c r="K30" s="100">
        <v>221.57</v>
      </c>
      <c r="L30" s="100">
        <v>18.579999999999998</v>
      </c>
      <c r="M30" s="100">
        <v>28.59</v>
      </c>
      <c r="N30" s="100">
        <v>1.5</v>
      </c>
      <c r="O30" s="100">
        <v>0</v>
      </c>
      <c r="P30" s="100">
        <v>0.75</v>
      </c>
      <c r="Q30" s="100">
        <v>9.32</v>
      </c>
      <c r="R30" s="6"/>
      <c r="S30" s="6"/>
      <c r="T30" s="156"/>
      <c r="U30" s="6"/>
    </row>
    <row r="31" spans="1:21" customFormat="1">
      <c r="A31" s="201" t="s">
        <v>1994</v>
      </c>
      <c r="B31" s="100">
        <v>16.57</v>
      </c>
      <c r="C31" s="100">
        <v>14.5</v>
      </c>
      <c r="D31" s="100">
        <v>20.86</v>
      </c>
      <c r="E31" s="100">
        <v>5.68</v>
      </c>
      <c r="F31" s="151" t="s">
        <v>8</v>
      </c>
      <c r="G31" s="100">
        <v>42.37</v>
      </c>
      <c r="H31" s="100">
        <v>14.92</v>
      </c>
      <c r="I31" s="100">
        <v>13.48</v>
      </c>
      <c r="J31" s="100">
        <v>0.09</v>
      </c>
      <c r="K31" s="100">
        <v>167.22</v>
      </c>
      <c r="L31" s="100">
        <v>17.57</v>
      </c>
      <c r="M31" s="100">
        <v>26.04</v>
      </c>
      <c r="N31" s="100">
        <v>1.4</v>
      </c>
      <c r="O31" s="100">
        <v>0</v>
      </c>
      <c r="P31" s="100">
        <v>0.75</v>
      </c>
      <c r="Q31" s="100">
        <v>9.32</v>
      </c>
      <c r="R31" s="6"/>
      <c r="S31" s="6"/>
      <c r="T31" s="156"/>
      <c r="U31" s="6"/>
    </row>
    <row r="32" spans="1:21" customFormat="1">
      <c r="A32" s="201" t="s">
        <v>1995</v>
      </c>
      <c r="B32" s="100">
        <v>17.28</v>
      </c>
      <c r="C32" s="100">
        <v>14.4</v>
      </c>
      <c r="D32" s="100">
        <v>21.38</v>
      </c>
      <c r="E32" s="100">
        <v>5.97</v>
      </c>
      <c r="F32" s="151" t="s">
        <v>8</v>
      </c>
      <c r="G32" s="100">
        <v>42.11</v>
      </c>
      <c r="H32" s="100">
        <v>15.3</v>
      </c>
      <c r="I32" s="100">
        <v>13.54</v>
      </c>
      <c r="J32" s="100">
        <v>0.1</v>
      </c>
      <c r="K32" s="100">
        <v>139.53</v>
      </c>
      <c r="L32" s="100">
        <v>13.88</v>
      </c>
      <c r="M32" s="100">
        <v>16.75</v>
      </c>
      <c r="N32" s="100">
        <v>1.6</v>
      </c>
      <c r="O32" s="100">
        <v>0</v>
      </c>
      <c r="P32" s="100">
        <v>0.75</v>
      </c>
      <c r="Q32" s="100">
        <v>9.32</v>
      </c>
      <c r="R32" s="6"/>
      <c r="S32" s="6"/>
      <c r="T32" s="156"/>
      <c r="U32" s="6"/>
    </row>
    <row r="33" spans="1:21" customFormat="1">
      <c r="A33" s="201" t="s">
        <v>1996</v>
      </c>
      <c r="B33" s="100">
        <v>19.350000000000001</v>
      </c>
      <c r="C33" s="100">
        <v>14.68</v>
      </c>
      <c r="D33" s="100">
        <v>23.18</v>
      </c>
      <c r="E33" s="100">
        <v>5.72</v>
      </c>
      <c r="F33" s="151" t="s">
        <v>8</v>
      </c>
      <c r="G33" s="100">
        <v>42.11</v>
      </c>
      <c r="H33" s="100">
        <v>15.3</v>
      </c>
      <c r="I33" s="100">
        <v>13.58</v>
      </c>
      <c r="J33" s="100">
        <v>0.16</v>
      </c>
      <c r="K33" s="100">
        <v>199.61</v>
      </c>
      <c r="L33" s="100">
        <v>18.149999999999999</v>
      </c>
      <c r="M33" s="100">
        <v>27.47</v>
      </c>
      <c r="N33" s="100">
        <v>2.6</v>
      </c>
      <c r="O33" s="100">
        <v>0</v>
      </c>
      <c r="P33" s="100">
        <v>0.75</v>
      </c>
      <c r="Q33" s="100">
        <v>9.32</v>
      </c>
      <c r="R33" s="6"/>
      <c r="S33" s="6"/>
      <c r="T33" s="156"/>
      <c r="U33" s="6"/>
    </row>
    <row r="34" spans="1:21" customFormat="1">
      <c r="A34" s="201" t="s">
        <v>1997</v>
      </c>
      <c r="B34" s="100">
        <v>20.98</v>
      </c>
      <c r="C34" s="100">
        <v>14.89</v>
      </c>
      <c r="D34" s="100">
        <v>24.6</v>
      </c>
      <c r="E34" s="100">
        <v>5.69</v>
      </c>
      <c r="F34" s="151" t="s">
        <v>8</v>
      </c>
      <c r="G34" s="100">
        <v>42.11</v>
      </c>
      <c r="H34" s="100">
        <v>15.3</v>
      </c>
      <c r="I34" s="100">
        <v>13.63</v>
      </c>
      <c r="J34" s="100">
        <v>0.28999999999999998</v>
      </c>
      <c r="K34" s="100">
        <v>248.66</v>
      </c>
      <c r="L34" s="100">
        <v>21.54</v>
      </c>
      <c r="M34" s="100">
        <v>35.799999999999997</v>
      </c>
      <c r="N34" s="100">
        <v>7.5</v>
      </c>
      <c r="O34" s="100">
        <v>0</v>
      </c>
      <c r="P34" s="100">
        <v>0.75</v>
      </c>
      <c r="Q34" s="100">
        <v>9.32</v>
      </c>
      <c r="R34" s="6"/>
      <c r="S34" s="6"/>
      <c r="T34" s="156"/>
      <c r="U34" s="6"/>
    </row>
    <row r="35" spans="1:21" customFormat="1">
      <c r="A35" s="201" t="s">
        <v>1998</v>
      </c>
      <c r="B35" s="100">
        <v>21.7</v>
      </c>
      <c r="C35" s="100">
        <v>14.98</v>
      </c>
      <c r="D35" s="100">
        <v>25.23</v>
      </c>
      <c r="E35" s="100">
        <v>5.88</v>
      </c>
      <c r="F35" s="151" t="s">
        <v>8</v>
      </c>
      <c r="G35" s="100">
        <v>42.08</v>
      </c>
      <c r="H35" s="100">
        <v>15.3</v>
      </c>
      <c r="I35" s="100">
        <v>13.69</v>
      </c>
      <c r="J35" s="100">
        <v>0.1</v>
      </c>
      <c r="K35" s="100">
        <v>169.15</v>
      </c>
      <c r="L35" s="100">
        <v>15.94</v>
      </c>
      <c r="M35" s="100">
        <v>21.64</v>
      </c>
      <c r="N35" s="100">
        <v>16.399999999999999</v>
      </c>
      <c r="O35" s="100">
        <v>0</v>
      </c>
      <c r="P35" s="100">
        <v>0.76</v>
      </c>
      <c r="Q35" s="100">
        <v>9.32</v>
      </c>
      <c r="R35" s="6"/>
      <c r="S35" s="6"/>
      <c r="T35" s="156"/>
      <c r="U35" s="6"/>
    </row>
    <row r="36" spans="1:21" customFormat="1">
      <c r="A36" s="201" t="s">
        <v>1999</v>
      </c>
      <c r="B36" s="100">
        <v>22.49</v>
      </c>
      <c r="C36" s="100">
        <v>14.94</v>
      </c>
      <c r="D36" s="100">
        <v>25.84</v>
      </c>
      <c r="E36" s="100">
        <v>6.04</v>
      </c>
      <c r="F36" s="151" t="s">
        <v>8</v>
      </c>
      <c r="G36" s="100">
        <v>41.81</v>
      </c>
      <c r="H36" s="100">
        <v>15.37</v>
      </c>
      <c r="I36" s="100">
        <v>13.79</v>
      </c>
      <c r="J36" s="100">
        <v>0.14000000000000001</v>
      </c>
      <c r="K36" s="100">
        <v>165.25</v>
      </c>
      <c r="L36" s="100">
        <v>15.39</v>
      </c>
      <c r="M36" s="100">
        <v>19.920000000000002</v>
      </c>
      <c r="N36" s="100">
        <v>27.8</v>
      </c>
      <c r="O36" s="100">
        <v>0</v>
      </c>
      <c r="P36" s="100">
        <v>0.76</v>
      </c>
      <c r="Q36" s="100">
        <v>9.32</v>
      </c>
      <c r="R36" s="6"/>
      <c r="S36" s="6"/>
      <c r="T36" s="156"/>
      <c r="U36" s="6"/>
    </row>
    <row r="37" spans="1:21" customFormat="1">
      <c r="A37" s="201" t="s">
        <v>2000</v>
      </c>
      <c r="B37" s="100">
        <v>23.53</v>
      </c>
      <c r="C37" s="100">
        <v>15.01</v>
      </c>
      <c r="D37" s="100">
        <v>26.71</v>
      </c>
      <c r="E37" s="100">
        <v>5.84</v>
      </c>
      <c r="F37" s="151" t="s">
        <v>8</v>
      </c>
      <c r="G37" s="100">
        <v>41.81</v>
      </c>
      <c r="H37" s="100">
        <v>15.37</v>
      </c>
      <c r="I37" s="100">
        <v>13.86</v>
      </c>
      <c r="J37" s="100">
        <v>0.22</v>
      </c>
      <c r="K37" s="100">
        <v>171.13</v>
      </c>
      <c r="L37" s="100">
        <v>16.079999999999998</v>
      </c>
      <c r="M37" s="100">
        <v>21.43</v>
      </c>
      <c r="N37" s="100">
        <v>40.1</v>
      </c>
      <c r="O37" s="100">
        <v>0</v>
      </c>
      <c r="P37" s="100">
        <v>0.77</v>
      </c>
      <c r="Q37" s="100">
        <v>9.32</v>
      </c>
      <c r="R37" s="6"/>
      <c r="S37" s="6"/>
      <c r="T37" s="156"/>
      <c r="U37" s="6"/>
    </row>
    <row r="38" spans="1:21" customFormat="1">
      <c r="A38" s="201" t="s">
        <v>2001</v>
      </c>
      <c r="B38" s="100">
        <v>23.87</v>
      </c>
      <c r="C38" s="100">
        <v>15.08</v>
      </c>
      <c r="D38" s="100">
        <v>27.02</v>
      </c>
      <c r="E38" s="100">
        <v>5.96</v>
      </c>
      <c r="F38" s="151" t="s">
        <v>8</v>
      </c>
      <c r="G38" s="100">
        <v>41.81</v>
      </c>
      <c r="H38" s="100">
        <v>15.37</v>
      </c>
      <c r="I38" s="100">
        <v>13.91</v>
      </c>
      <c r="J38" s="100">
        <v>0.12</v>
      </c>
      <c r="K38" s="100">
        <v>146.46</v>
      </c>
      <c r="L38" s="100">
        <v>14.28</v>
      </c>
      <c r="M38" s="100">
        <v>16.670000000000002</v>
      </c>
      <c r="N38" s="100">
        <v>53</v>
      </c>
      <c r="O38" s="100">
        <v>0</v>
      </c>
      <c r="P38" s="100">
        <v>0.78</v>
      </c>
      <c r="Q38" s="100">
        <v>9.32</v>
      </c>
      <c r="R38" s="6"/>
      <c r="S38" s="6"/>
      <c r="T38" s="156"/>
      <c r="U38" s="6"/>
    </row>
    <row r="39" spans="1:21" customFormat="1">
      <c r="A39" s="201" t="s">
        <v>2002</v>
      </c>
      <c r="B39" s="100">
        <v>24.12</v>
      </c>
      <c r="C39" s="100">
        <v>15.33</v>
      </c>
      <c r="D39" s="100">
        <v>27.35</v>
      </c>
      <c r="E39" s="100">
        <v>6.07</v>
      </c>
      <c r="F39" s="151" t="s">
        <v>8</v>
      </c>
      <c r="G39" s="100">
        <v>42.08</v>
      </c>
      <c r="H39" s="100">
        <v>15.61</v>
      </c>
      <c r="I39" s="100">
        <v>14.03</v>
      </c>
      <c r="J39" s="100">
        <v>0.21</v>
      </c>
      <c r="K39" s="100">
        <v>81.08</v>
      </c>
      <c r="L39" s="100">
        <v>10.82</v>
      </c>
      <c r="M39" s="100">
        <v>7.64</v>
      </c>
      <c r="N39" s="100">
        <v>65.099999999999994</v>
      </c>
      <c r="O39" s="100">
        <v>0</v>
      </c>
      <c r="P39" s="100">
        <v>0.79</v>
      </c>
      <c r="Q39" s="100">
        <v>9.32</v>
      </c>
      <c r="R39" s="6"/>
      <c r="S39" s="6"/>
      <c r="T39" s="156"/>
      <c r="U39" s="6"/>
    </row>
    <row r="40" spans="1:21" customFormat="1">
      <c r="A40" s="201" t="s">
        <v>2003</v>
      </c>
      <c r="B40" s="100">
        <v>24.26</v>
      </c>
      <c r="C40" s="100">
        <v>16.16</v>
      </c>
      <c r="D40" s="100">
        <v>27.9</v>
      </c>
      <c r="E40" s="100">
        <v>5.94</v>
      </c>
      <c r="F40" s="151" t="s">
        <v>8</v>
      </c>
      <c r="G40" s="100">
        <v>44.56</v>
      </c>
      <c r="H40" s="100">
        <v>17.37</v>
      </c>
      <c r="I40" s="100">
        <v>14.24</v>
      </c>
      <c r="J40" s="100">
        <v>0.34</v>
      </c>
      <c r="K40" s="100">
        <v>73.44</v>
      </c>
      <c r="L40" s="100">
        <v>10.72</v>
      </c>
      <c r="M40" s="100">
        <v>5.43</v>
      </c>
      <c r="N40" s="100">
        <v>146.19999999999999</v>
      </c>
      <c r="O40" s="100">
        <v>0</v>
      </c>
      <c r="P40" s="100">
        <v>0.79</v>
      </c>
      <c r="Q40" s="100">
        <v>9.33</v>
      </c>
      <c r="R40" s="6"/>
      <c r="S40" s="6"/>
      <c r="T40" s="156"/>
      <c r="U40" s="6"/>
    </row>
    <row r="41" spans="1:21" customFormat="1">
      <c r="A41" s="201" t="s">
        <v>2004</v>
      </c>
      <c r="B41" s="100">
        <v>23.57</v>
      </c>
      <c r="C41" s="100">
        <v>16.82</v>
      </c>
      <c r="D41" s="100">
        <v>27.69</v>
      </c>
      <c r="E41" s="100">
        <v>6.26</v>
      </c>
      <c r="F41" s="151" t="s">
        <v>8</v>
      </c>
      <c r="G41" s="100">
        <v>44.56</v>
      </c>
      <c r="H41" s="100">
        <v>17.37</v>
      </c>
      <c r="I41" s="100">
        <v>14.49</v>
      </c>
      <c r="J41" s="100">
        <v>0.37</v>
      </c>
      <c r="K41" s="100">
        <v>68.92</v>
      </c>
      <c r="L41" s="100">
        <v>10.51</v>
      </c>
      <c r="M41" s="100">
        <v>3.81</v>
      </c>
      <c r="N41" s="100">
        <v>194.3</v>
      </c>
      <c r="O41" s="100">
        <v>0</v>
      </c>
      <c r="P41" s="100">
        <v>0.79</v>
      </c>
      <c r="Q41" s="100">
        <v>9.32</v>
      </c>
      <c r="R41" s="6"/>
      <c r="S41" s="6"/>
      <c r="T41" s="156"/>
      <c r="U41" s="6"/>
    </row>
    <row r="42" spans="1:21" customFormat="1">
      <c r="A42" s="201" t="s">
        <v>2005</v>
      </c>
      <c r="B42" s="100">
        <v>22.58</v>
      </c>
      <c r="C42" s="100">
        <v>16.82</v>
      </c>
      <c r="D42" s="100">
        <v>26.9</v>
      </c>
      <c r="E42" s="100">
        <v>5.94</v>
      </c>
      <c r="F42" s="151" t="s">
        <v>8</v>
      </c>
      <c r="G42" s="100">
        <v>44.56</v>
      </c>
      <c r="H42" s="100">
        <v>17.37</v>
      </c>
      <c r="I42" s="100">
        <v>14.56</v>
      </c>
      <c r="J42" s="100">
        <v>0.31</v>
      </c>
      <c r="K42" s="100">
        <v>49.17</v>
      </c>
      <c r="L42" s="100">
        <v>12.29</v>
      </c>
      <c r="M42" s="100">
        <v>7.34</v>
      </c>
      <c r="N42" s="100">
        <v>231.7</v>
      </c>
      <c r="O42" s="100">
        <v>0</v>
      </c>
      <c r="P42" s="100">
        <v>0.78</v>
      </c>
      <c r="Q42" s="100">
        <v>9.32</v>
      </c>
      <c r="R42" s="6"/>
      <c r="S42" s="6"/>
      <c r="T42" s="156"/>
      <c r="U42" s="6"/>
    </row>
    <row r="43" spans="1:21" customFormat="1">
      <c r="A43" s="201" t="s">
        <v>2006</v>
      </c>
      <c r="B43" s="100">
        <v>21.56</v>
      </c>
      <c r="C43" s="100">
        <v>16.86</v>
      </c>
      <c r="D43" s="100">
        <v>26.1</v>
      </c>
      <c r="E43" s="100">
        <v>6.35</v>
      </c>
      <c r="F43" s="151" t="s">
        <v>8</v>
      </c>
      <c r="G43" s="100">
        <v>44.42</v>
      </c>
      <c r="H43" s="100">
        <v>17.329999999999998</v>
      </c>
      <c r="I43" s="100">
        <v>14.46</v>
      </c>
      <c r="J43" s="100">
        <v>0.28999999999999998</v>
      </c>
      <c r="K43" s="100">
        <v>61.61</v>
      </c>
      <c r="L43" s="100">
        <v>14.13</v>
      </c>
      <c r="M43" s="100">
        <v>11.12</v>
      </c>
      <c r="N43" s="100">
        <v>267.7</v>
      </c>
      <c r="O43" s="100">
        <v>0</v>
      </c>
      <c r="P43" s="100">
        <v>0.78</v>
      </c>
      <c r="Q43" s="100">
        <v>9.32</v>
      </c>
      <c r="R43" s="6"/>
      <c r="S43" s="6"/>
      <c r="T43" s="156"/>
      <c r="U43" s="6"/>
    </row>
    <row r="44" spans="1:21" customFormat="1">
      <c r="A44" s="201" t="s">
        <v>2007</v>
      </c>
      <c r="B44" s="100">
        <v>20.64</v>
      </c>
      <c r="C44" s="100">
        <v>16.79</v>
      </c>
      <c r="D44" s="100">
        <v>25.33</v>
      </c>
      <c r="E44" s="100">
        <v>6.05</v>
      </c>
      <c r="F44" s="151" t="s">
        <v>8</v>
      </c>
      <c r="G44" s="100">
        <v>43.13</v>
      </c>
      <c r="H44" s="100">
        <v>17.04</v>
      </c>
      <c r="I44" s="100">
        <v>14.34</v>
      </c>
      <c r="J44" s="100">
        <v>0.18</v>
      </c>
      <c r="K44" s="100">
        <v>348.41</v>
      </c>
      <c r="L44" s="100">
        <v>21.01</v>
      </c>
      <c r="M44" s="100">
        <v>27.25</v>
      </c>
      <c r="N44" s="100">
        <v>308.7</v>
      </c>
      <c r="O44" s="100">
        <v>0</v>
      </c>
      <c r="P44" s="100">
        <v>0.75</v>
      </c>
      <c r="Q44" s="100">
        <v>9.32</v>
      </c>
      <c r="R44" s="6"/>
      <c r="S44" s="6"/>
      <c r="T44" s="156"/>
      <c r="U44" s="6"/>
    </row>
    <row r="45" spans="1:21" customFormat="1">
      <c r="A45" s="201" t="s">
        <v>2008</v>
      </c>
      <c r="B45" s="100">
        <v>19.28</v>
      </c>
      <c r="C45" s="100">
        <v>16.899999999999999</v>
      </c>
      <c r="D45" s="100">
        <v>24.29</v>
      </c>
      <c r="E45" s="100">
        <v>6.47</v>
      </c>
      <c r="F45" s="151" t="s">
        <v>8</v>
      </c>
      <c r="G45" s="100">
        <v>43.13</v>
      </c>
      <c r="H45" s="100">
        <v>17.04</v>
      </c>
      <c r="I45" s="100">
        <v>14.23</v>
      </c>
      <c r="J45" s="100">
        <v>0.25</v>
      </c>
      <c r="K45" s="100">
        <v>33.93</v>
      </c>
      <c r="L45" s="100">
        <v>17.3</v>
      </c>
      <c r="M45" s="100">
        <v>17.2</v>
      </c>
      <c r="N45" s="100">
        <v>339.3</v>
      </c>
      <c r="O45" s="100">
        <v>0</v>
      </c>
      <c r="P45" s="100">
        <v>0.73</v>
      </c>
      <c r="Q45" s="100">
        <v>9.32</v>
      </c>
      <c r="R45" s="6"/>
      <c r="S45" s="6"/>
      <c r="T45" s="156"/>
      <c r="U45" s="6"/>
    </row>
    <row r="46" spans="1:21" customFormat="1">
      <c r="A46" s="201" t="s">
        <v>2009</v>
      </c>
      <c r="B46" s="100">
        <v>17.54</v>
      </c>
      <c r="C46" s="100">
        <v>17.07</v>
      </c>
      <c r="D46" s="100">
        <v>22.99</v>
      </c>
      <c r="E46" s="100">
        <v>6.31</v>
      </c>
      <c r="F46" s="151" t="s">
        <v>8</v>
      </c>
      <c r="G46" s="100">
        <v>43.13</v>
      </c>
      <c r="H46" s="100">
        <v>17.04</v>
      </c>
      <c r="I46" s="100">
        <v>14.08</v>
      </c>
      <c r="J46" s="100">
        <v>0.32</v>
      </c>
      <c r="K46" s="100">
        <v>32.229999999999997</v>
      </c>
      <c r="L46" s="100">
        <v>18.239999999999998</v>
      </c>
      <c r="M46" s="100">
        <v>18.8</v>
      </c>
      <c r="N46" s="100">
        <v>369.5</v>
      </c>
      <c r="O46" s="100">
        <v>0</v>
      </c>
      <c r="P46" s="100">
        <v>0.72</v>
      </c>
      <c r="Q46" s="100">
        <v>9.32</v>
      </c>
      <c r="R46" s="6"/>
      <c r="S46" s="6"/>
      <c r="T46" s="156"/>
      <c r="U46" s="6"/>
    </row>
    <row r="47" spans="1:21" customFormat="1">
      <c r="A47" s="201" t="s">
        <v>2010</v>
      </c>
      <c r="B47" s="100">
        <v>15.93</v>
      </c>
      <c r="C47" s="100">
        <v>17.5</v>
      </c>
      <c r="D47" s="100">
        <v>21.92</v>
      </c>
      <c r="E47" s="100">
        <v>6.11</v>
      </c>
      <c r="F47" s="151" t="s">
        <v>8</v>
      </c>
      <c r="G47" s="100">
        <v>42.77</v>
      </c>
      <c r="H47" s="100">
        <v>16.899999999999999</v>
      </c>
      <c r="I47" s="100">
        <v>13.88</v>
      </c>
      <c r="J47" s="100">
        <v>0.53</v>
      </c>
      <c r="K47" s="100">
        <v>51.13</v>
      </c>
      <c r="L47" s="100">
        <v>12.8</v>
      </c>
      <c r="M47" s="100">
        <v>7.67</v>
      </c>
      <c r="N47" s="100">
        <v>267.2</v>
      </c>
      <c r="O47" s="100">
        <v>0</v>
      </c>
      <c r="P47" s="100">
        <v>0.71</v>
      </c>
      <c r="Q47" s="100">
        <v>9.32</v>
      </c>
      <c r="R47" s="6"/>
      <c r="S47" s="6"/>
      <c r="T47" s="156"/>
      <c r="U47" s="6"/>
    </row>
    <row r="48" spans="1:21" customFormat="1">
      <c r="A48" s="201" t="s">
        <v>2011</v>
      </c>
      <c r="B48" s="100">
        <v>14.44</v>
      </c>
      <c r="C48" s="100">
        <v>17.84</v>
      </c>
      <c r="D48" s="100">
        <v>20.9</v>
      </c>
      <c r="E48" s="100">
        <v>6.23</v>
      </c>
      <c r="F48" s="151" t="s">
        <v>8</v>
      </c>
      <c r="G48" s="100">
        <v>39.49</v>
      </c>
      <c r="H48" s="100">
        <v>15.87</v>
      </c>
      <c r="I48" s="100">
        <v>13.66</v>
      </c>
      <c r="J48" s="100">
        <v>0.38</v>
      </c>
      <c r="K48" s="100">
        <v>43.47</v>
      </c>
      <c r="L48" s="100">
        <v>14.43</v>
      </c>
      <c r="M48" s="100">
        <v>9.57</v>
      </c>
      <c r="N48" s="100">
        <v>359.2</v>
      </c>
      <c r="O48" s="100">
        <v>0</v>
      </c>
      <c r="P48" s="100">
        <v>0.7</v>
      </c>
      <c r="Q48" s="100">
        <v>9.32</v>
      </c>
      <c r="R48" s="6"/>
      <c r="S48" s="6"/>
      <c r="T48" s="156"/>
      <c r="U48" s="6"/>
    </row>
    <row r="49" spans="1:21" customFormat="1">
      <c r="A49" s="201" t="s">
        <v>2012</v>
      </c>
      <c r="B49" s="100">
        <v>12.93</v>
      </c>
      <c r="C49" s="100">
        <v>18.07</v>
      </c>
      <c r="D49" s="100">
        <v>19.809999999999999</v>
      </c>
      <c r="E49" s="100">
        <v>4.3600000000000003</v>
      </c>
      <c r="F49" s="151" t="s">
        <v>8</v>
      </c>
      <c r="G49" s="100">
        <v>39.49</v>
      </c>
      <c r="H49" s="100">
        <v>15.87</v>
      </c>
      <c r="I49" s="100">
        <v>13.4</v>
      </c>
      <c r="J49" s="100">
        <v>0.43</v>
      </c>
      <c r="K49" s="100">
        <v>44.61</v>
      </c>
      <c r="L49" s="100">
        <v>17.68</v>
      </c>
      <c r="M49" s="100">
        <v>15.25</v>
      </c>
      <c r="N49" s="100">
        <v>462.3</v>
      </c>
      <c r="O49" s="100">
        <v>0</v>
      </c>
      <c r="P49" s="100">
        <v>0.68</v>
      </c>
      <c r="Q49" s="100">
        <v>9.32</v>
      </c>
      <c r="R49" s="6"/>
      <c r="S49" s="6"/>
      <c r="T49" s="156"/>
      <c r="U49" s="6"/>
    </row>
    <row r="50" spans="1:21" customFormat="1">
      <c r="A50" s="201" t="s">
        <v>2013</v>
      </c>
      <c r="B50" s="100">
        <v>11.37</v>
      </c>
      <c r="C50" s="100">
        <v>18.34</v>
      </c>
      <c r="D50" s="100">
        <v>18.7</v>
      </c>
      <c r="E50" s="100">
        <v>5.52</v>
      </c>
      <c r="F50" s="151" t="s">
        <v>8</v>
      </c>
      <c r="G50" s="100">
        <v>39.49</v>
      </c>
      <c r="H50" s="100">
        <v>15.87</v>
      </c>
      <c r="I50" s="100">
        <v>13.17</v>
      </c>
      <c r="J50" s="100">
        <v>0.28000000000000003</v>
      </c>
      <c r="K50" s="100">
        <v>6.39</v>
      </c>
      <c r="L50" s="100">
        <v>21.11</v>
      </c>
      <c r="M50" s="100">
        <v>23.26</v>
      </c>
      <c r="N50" s="100">
        <v>484.9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201" t="s">
        <v>2014</v>
      </c>
      <c r="B51" s="100">
        <v>9.9700000000000006</v>
      </c>
      <c r="C51" s="100">
        <v>18.559999999999999</v>
      </c>
      <c r="D51" s="100">
        <v>17.690000000000001</v>
      </c>
      <c r="E51" s="100">
        <v>5.29</v>
      </c>
      <c r="F51" s="151" t="s">
        <v>8</v>
      </c>
      <c r="G51" s="100">
        <v>39.130000000000003</v>
      </c>
      <c r="H51" s="100">
        <v>15.6</v>
      </c>
      <c r="I51" s="100">
        <v>12.94</v>
      </c>
      <c r="J51" s="100">
        <v>0.41</v>
      </c>
      <c r="K51" s="100">
        <v>16.66</v>
      </c>
      <c r="L51" s="100">
        <v>22.3</v>
      </c>
      <c r="M51" s="100">
        <v>25.62</v>
      </c>
      <c r="N51" s="100">
        <v>512.20000000000005</v>
      </c>
      <c r="O51" s="100">
        <v>0</v>
      </c>
      <c r="P51" s="100">
        <v>0.66</v>
      </c>
      <c r="Q51" s="100">
        <v>9.32</v>
      </c>
      <c r="R51" s="6"/>
      <c r="S51" s="6"/>
      <c r="T51" s="156"/>
      <c r="U51" s="6"/>
    </row>
    <row r="52" spans="1:21" customFormat="1">
      <c r="A52" s="201" t="s">
        <v>2015</v>
      </c>
      <c r="B52" s="100">
        <v>8.48</v>
      </c>
      <c r="C52" s="100">
        <v>18.399999999999999</v>
      </c>
      <c r="D52" s="100">
        <v>16.41</v>
      </c>
      <c r="E52" s="100">
        <v>5.31</v>
      </c>
      <c r="F52" s="151" t="s">
        <v>8</v>
      </c>
      <c r="G52" s="100">
        <v>35.94</v>
      </c>
      <c r="H52" s="100">
        <v>13.66</v>
      </c>
      <c r="I52" s="100">
        <v>12.72</v>
      </c>
      <c r="J52" s="100">
        <v>0.24</v>
      </c>
      <c r="K52" s="100">
        <v>83.38</v>
      </c>
      <c r="L52" s="100">
        <v>17.93</v>
      </c>
      <c r="M52" s="100">
        <v>16.29</v>
      </c>
      <c r="N52" s="100">
        <v>472.2</v>
      </c>
      <c r="O52" s="100">
        <v>0</v>
      </c>
      <c r="P52" s="100">
        <v>0.65</v>
      </c>
      <c r="Q52" s="100">
        <v>9.32</v>
      </c>
      <c r="R52" s="6"/>
      <c r="S52" s="6"/>
      <c r="T52" s="156"/>
      <c r="U52" s="6"/>
    </row>
    <row r="53" spans="1:21" customFormat="1">
      <c r="A53" s="201" t="s">
        <v>2016</v>
      </c>
      <c r="B53" s="100">
        <v>7.09</v>
      </c>
      <c r="C53" s="100">
        <v>18.260000000000002</v>
      </c>
      <c r="D53" s="100">
        <v>15.22</v>
      </c>
      <c r="E53" s="100">
        <v>5.77</v>
      </c>
      <c r="F53" s="151" t="s">
        <v>8</v>
      </c>
      <c r="G53" s="100">
        <v>35.94</v>
      </c>
      <c r="H53" s="100">
        <v>13.66</v>
      </c>
      <c r="I53" s="100">
        <v>12.52</v>
      </c>
      <c r="J53" s="100">
        <v>0.32</v>
      </c>
      <c r="K53" s="100">
        <v>46.49</v>
      </c>
      <c r="L53" s="100">
        <v>19.12</v>
      </c>
      <c r="M53" s="100">
        <v>17.87</v>
      </c>
      <c r="N53" s="100">
        <v>504.7</v>
      </c>
      <c r="O53" s="100">
        <v>0</v>
      </c>
      <c r="P53" s="100">
        <v>0.64</v>
      </c>
      <c r="Q53" s="100">
        <v>9.32</v>
      </c>
      <c r="R53" s="6"/>
      <c r="S53" s="6"/>
      <c r="T53" s="156"/>
      <c r="U53" s="6"/>
    </row>
    <row r="54" spans="1:21" customFormat="1">
      <c r="A54" s="201" t="s">
        <v>2017</v>
      </c>
      <c r="B54" s="100">
        <v>5.96</v>
      </c>
      <c r="C54" s="100">
        <v>18.059999999999999</v>
      </c>
      <c r="D54" s="100">
        <v>14.21</v>
      </c>
      <c r="E54" s="100">
        <v>5.6</v>
      </c>
      <c r="F54" s="151" t="s">
        <v>8</v>
      </c>
      <c r="G54" s="100">
        <v>35.94</v>
      </c>
      <c r="H54" s="100">
        <v>13.66</v>
      </c>
      <c r="I54" s="100">
        <v>12.27</v>
      </c>
      <c r="J54" s="100">
        <v>0.42</v>
      </c>
      <c r="K54" s="100">
        <v>65.14</v>
      </c>
      <c r="L54" s="100">
        <v>16.559999999999999</v>
      </c>
      <c r="M54" s="100">
        <v>10.71</v>
      </c>
      <c r="N54" s="100">
        <v>540.1</v>
      </c>
      <c r="O54" s="100">
        <v>0</v>
      </c>
      <c r="P54" s="100">
        <v>0.63</v>
      </c>
      <c r="Q54" s="100">
        <v>9.32</v>
      </c>
      <c r="R54" s="6"/>
      <c r="S54" s="6"/>
      <c r="T54" s="156"/>
      <c r="U54" s="6"/>
    </row>
    <row r="55" spans="1:21" customFormat="1">
      <c r="A55" s="201" t="s">
        <v>2018</v>
      </c>
      <c r="B55" s="100">
        <v>5.0199999999999996</v>
      </c>
      <c r="C55" s="100">
        <v>17.64</v>
      </c>
      <c r="D55" s="100">
        <v>13.25</v>
      </c>
      <c r="E55" s="100">
        <v>5.49</v>
      </c>
      <c r="F55" s="151" t="s">
        <v>8</v>
      </c>
      <c r="G55" s="100">
        <v>35.75</v>
      </c>
      <c r="H55" s="100">
        <v>13.5</v>
      </c>
      <c r="I55" s="100">
        <v>11.99</v>
      </c>
      <c r="J55" s="100">
        <v>0.28000000000000003</v>
      </c>
      <c r="K55" s="100">
        <v>86.67</v>
      </c>
      <c r="L55" s="100">
        <v>18.38</v>
      </c>
      <c r="M55" s="100">
        <v>14.6</v>
      </c>
      <c r="N55" s="100">
        <v>538.1</v>
      </c>
      <c r="O55" s="100">
        <v>0</v>
      </c>
      <c r="P55" s="100">
        <v>0.61</v>
      </c>
      <c r="Q55" s="100">
        <v>9.32</v>
      </c>
      <c r="R55" s="6"/>
      <c r="S55" s="6"/>
      <c r="T55" s="156"/>
      <c r="U55" s="6"/>
    </row>
    <row r="56" spans="1:21" customFormat="1">
      <c r="A56" s="201" t="s">
        <v>2019</v>
      </c>
      <c r="B56" s="100">
        <v>4.34</v>
      </c>
      <c r="C56" s="100">
        <v>16.989999999999998</v>
      </c>
      <c r="D56" s="100">
        <v>12.35</v>
      </c>
      <c r="E56" s="100">
        <v>5.7</v>
      </c>
      <c r="F56" s="151" t="s">
        <v>8</v>
      </c>
      <c r="G56" s="100">
        <v>34.049999999999997</v>
      </c>
      <c r="H56" s="100">
        <v>12.33</v>
      </c>
      <c r="I56" s="100">
        <v>11.56</v>
      </c>
      <c r="J56" s="100">
        <v>0.38</v>
      </c>
      <c r="K56" s="100">
        <v>59.27</v>
      </c>
      <c r="L56" s="100">
        <v>17</v>
      </c>
      <c r="M56" s="100">
        <v>11.49</v>
      </c>
      <c r="N56" s="100">
        <v>553.6</v>
      </c>
      <c r="O56" s="100">
        <v>0</v>
      </c>
      <c r="P56" s="100">
        <v>0.61</v>
      </c>
      <c r="Q56" s="100">
        <v>9.32</v>
      </c>
      <c r="R56" s="6"/>
      <c r="S56" s="6"/>
      <c r="T56" s="156"/>
      <c r="U56" s="6"/>
    </row>
    <row r="57" spans="1:21" customFormat="1">
      <c r="A57" s="201" t="s">
        <v>2020</v>
      </c>
      <c r="B57" s="100">
        <v>3.92</v>
      </c>
      <c r="C57" s="100">
        <v>16.440000000000001</v>
      </c>
      <c r="D57" s="100">
        <v>11.74</v>
      </c>
      <c r="E57" s="100">
        <v>5.6</v>
      </c>
      <c r="F57" s="151" t="s">
        <v>8</v>
      </c>
      <c r="G57" s="100">
        <v>34.049999999999997</v>
      </c>
      <c r="H57" s="100">
        <v>12.33</v>
      </c>
      <c r="I57" s="100">
        <v>11.12</v>
      </c>
      <c r="J57" s="100">
        <v>0.48</v>
      </c>
      <c r="K57" s="100">
        <v>17.54</v>
      </c>
      <c r="L57" s="100">
        <v>18.82</v>
      </c>
      <c r="M57" s="100">
        <v>15.93</v>
      </c>
      <c r="N57" s="100">
        <v>555.9</v>
      </c>
      <c r="O57" s="100">
        <v>0</v>
      </c>
      <c r="P57" s="100">
        <v>0.59</v>
      </c>
      <c r="Q57" s="100">
        <v>9.32</v>
      </c>
      <c r="R57" s="6"/>
      <c r="S57" s="6"/>
      <c r="T57" s="156"/>
      <c r="U57" s="6"/>
    </row>
    <row r="58" spans="1:21" customFormat="1">
      <c r="A58" s="201" t="s">
        <v>2021</v>
      </c>
      <c r="B58" s="100">
        <v>3.65</v>
      </c>
      <c r="C58" s="100">
        <v>15.9</v>
      </c>
      <c r="D58" s="100">
        <v>11.24</v>
      </c>
      <c r="E58" s="100">
        <v>5.78</v>
      </c>
      <c r="F58" s="151" t="s">
        <v>8</v>
      </c>
      <c r="G58" s="100">
        <v>34.049999999999997</v>
      </c>
      <c r="H58" s="100">
        <v>12.33</v>
      </c>
      <c r="I58" s="100">
        <v>10.92</v>
      </c>
      <c r="J58" s="100">
        <v>0.38</v>
      </c>
      <c r="K58" s="100">
        <v>37.81</v>
      </c>
      <c r="L58" s="100">
        <v>19.809999999999999</v>
      </c>
      <c r="M58" s="100">
        <v>18.84</v>
      </c>
      <c r="N58" s="100">
        <v>539.29999999999995</v>
      </c>
      <c r="O58" s="100">
        <v>0</v>
      </c>
      <c r="P58" s="100">
        <v>0.56999999999999995</v>
      </c>
      <c r="Q58" s="100">
        <v>9.32</v>
      </c>
      <c r="R58" s="6"/>
      <c r="S58" s="6"/>
      <c r="T58" s="156"/>
      <c r="U58" s="6"/>
    </row>
    <row r="59" spans="1:21" customFormat="1">
      <c r="A59" s="201" t="s">
        <v>2022</v>
      </c>
      <c r="B59" s="100">
        <v>3.47</v>
      </c>
      <c r="C59" s="100">
        <v>15.25</v>
      </c>
      <c r="D59" s="100">
        <v>10.75</v>
      </c>
      <c r="E59" s="100">
        <v>4.3</v>
      </c>
      <c r="F59" s="151" t="s">
        <v>8</v>
      </c>
      <c r="G59" s="100">
        <v>34</v>
      </c>
      <c r="H59" s="100">
        <v>12.2</v>
      </c>
      <c r="I59" s="100">
        <v>10.71</v>
      </c>
      <c r="J59" s="100">
        <v>0.2</v>
      </c>
      <c r="K59" s="100">
        <v>83.71</v>
      </c>
      <c r="L59" s="100">
        <v>17.850000000000001</v>
      </c>
      <c r="M59" s="100">
        <v>14.99</v>
      </c>
      <c r="N59" s="100">
        <v>515.1</v>
      </c>
      <c r="O59" s="100">
        <v>0</v>
      </c>
      <c r="P59" s="100">
        <v>0.56000000000000005</v>
      </c>
      <c r="Q59" s="100">
        <v>9.32</v>
      </c>
      <c r="R59" s="6"/>
      <c r="S59" s="6"/>
      <c r="T59" s="156"/>
      <c r="U59" s="6"/>
    </row>
    <row r="60" spans="1:21" customFormat="1">
      <c r="A60" s="201" t="s">
        <v>2023</v>
      </c>
      <c r="B60" s="100">
        <v>3.33</v>
      </c>
      <c r="C60" s="100">
        <v>14.57</v>
      </c>
      <c r="D60" s="100">
        <v>10.28</v>
      </c>
      <c r="E60" s="100">
        <v>5.35</v>
      </c>
      <c r="F60" s="151" t="s">
        <v>8</v>
      </c>
      <c r="G60" s="100">
        <v>33.61</v>
      </c>
      <c r="H60" s="100">
        <v>11.26</v>
      </c>
      <c r="I60" s="100">
        <v>10.5</v>
      </c>
      <c r="J60" s="100">
        <v>0.3</v>
      </c>
      <c r="K60" s="100">
        <v>159.09</v>
      </c>
      <c r="L60" s="100">
        <v>20.149999999999999</v>
      </c>
      <c r="M60" s="100">
        <v>21.14</v>
      </c>
      <c r="N60" s="100">
        <v>481.9</v>
      </c>
      <c r="O60" s="100">
        <v>0</v>
      </c>
      <c r="P60" s="100">
        <v>0.55000000000000004</v>
      </c>
      <c r="Q60" s="100">
        <v>9.32</v>
      </c>
      <c r="R60" s="6"/>
      <c r="S60" s="6"/>
      <c r="T60" s="156"/>
      <c r="U60" s="6"/>
    </row>
    <row r="61" spans="1:21" customFormat="1">
      <c r="A61" s="201" t="s">
        <v>2024</v>
      </c>
      <c r="B61" s="100">
        <v>3.22</v>
      </c>
      <c r="C61" s="100">
        <v>13.94</v>
      </c>
      <c r="D61" s="100">
        <v>9.86</v>
      </c>
      <c r="E61" s="100">
        <v>5.75</v>
      </c>
      <c r="F61" s="151" t="s">
        <v>8</v>
      </c>
      <c r="G61" s="100">
        <v>33.61</v>
      </c>
      <c r="H61" s="100">
        <v>11.26</v>
      </c>
      <c r="I61" s="100">
        <v>10.33</v>
      </c>
      <c r="J61" s="100">
        <v>0.13</v>
      </c>
      <c r="K61" s="100">
        <v>57.57</v>
      </c>
      <c r="L61" s="100">
        <v>19.399999999999999</v>
      </c>
      <c r="M61" s="100">
        <v>20.260000000000002</v>
      </c>
      <c r="N61" s="100">
        <v>435.5</v>
      </c>
      <c r="O61" s="100">
        <v>0</v>
      </c>
      <c r="P61" s="100">
        <v>0.54</v>
      </c>
      <c r="Q61" s="100">
        <v>9.32</v>
      </c>
      <c r="R61" s="6"/>
      <c r="S61" s="6"/>
      <c r="T61" s="156"/>
      <c r="U61" s="6"/>
    </row>
    <row r="62" spans="1:21" customFormat="1">
      <c r="A62" s="201" t="s">
        <v>2025</v>
      </c>
      <c r="B62" s="100">
        <v>3.15</v>
      </c>
      <c r="C62" s="100">
        <v>13.49</v>
      </c>
      <c r="D62" s="100">
        <v>9.57</v>
      </c>
      <c r="E62" s="100">
        <v>5.92</v>
      </c>
      <c r="F62" s="151" t="s">
        <v>8</v>
      </c>
      <c r="G62" s="100">
        <v>33.61</v>
      </c>
      <c r="H62" s="100">
        <v>11.26</v>
      </c>
      <c r="I62" s="100">
        <v>10.16</v>
      </c>
      <c r="J62" s="100">
        <v>0.47</v>
      </c>
      <c r="K62" s="100">
        <v>46.52</v>
      </c>
      <c r="L62" s="100">
        <v>13.24</v>
      </c>
      <c r="M62" s="100">
        <v>9.9600000000000009</v>
      </c>
      <c r="N62" s="100">
        <v>210.4</v>
      </c>
      <c r="O62" s="100">
        <v>0</v>
      </c>
      <c r="P62" s="100">
        <v>0.54</v>
      </c>
      <c r="Q62" s="100">
        <v>9.32</v>
      </c>
      <c r="R62" s="6"/>
      <c r="S62" s="6"/>
      <c r="T62" s="156"/>
      <c r="U62" s="6"/>
    </row>
    <row r="63" spans="1:21" customFormat="1">
      <c r="A63" s="201" t="s">
        <v>2026</v>
      </c>
      <c r="B63" s="100">
        <v>3.13</v>
      </c>
      <c r="C63" s="100">
        <v>13.28</v>
      </c>
      <c r="D63" s="100">
        <v>9.4499999999999993</v>
      </c>
      <c r="E63" s="100">
        <v>6.05</v>
      </c>
      <c r="F63" s="151" t="s">
        <v>8</v>
      </c>
      <c r="G63" s="100">
        <v>33.409999999999997</v>
      </c>
      <c r="H63" s="100">
        <v>11.17</v>
      </c>
      <c r="I63" s="100">
        <v>9.99</v>
      </c>
      <c r="J63" s="100">
        <v>0.4</v>
      </c>
      <c r="K63" s="100">
        <v>27.74</v>
      </c>
      <c r="L63" s="100">
        <v>16.09</v>
      </c>
      <c r="M63" s="100">
        <v>16.63</v>
      </c>
      <c r="N63" s="100">
        <v>227.4</v>
      </c>
      <c r="O63" s="100">
        <v>0</v>
      </c>
      <c r="P63" s="100">
        <v>0.53</v>
      </c>
      <c r="Q63" s="100">
        <v>9.32</v>
      </c>
      <c r="R63" s="6"/>
      <c r="S63" s="6"/>
      <c r="T63" s="156"/>
      <c r="U63" s="6"/>
    </row>
    <row r="64" spans="1:21" customFormat="1">
      <c r="A64" s="201" t="s">
        <v>2027</v>
      </c>
      <c r="B64" s="100">
        <v>3.15</v>
      </c>
      <c r="C64" s="100">
        <v>13.14</v>
      </c>
      <c r="D64" s="100">
        <v>9.39</v>
      </c>
      <c r="E64" s="100">
        <v>6.37</v>
      </c>
      <c r="F64" s="151" t="s">
        <v>8</v>
      </c>
      <c r="G64" s="100">
        <v>31.64</v>
      </c>
      <c r="H64" s="100">
        <v>10.52</v>
      </c>
      <c r="I64" s="100">
        <v>9.8000000000000007</v>
      </c>
      <c r="J64" s="100">
        <v>0.1</v>
      </c>
      <c r="K64" s="100">
        <v>33.06</v>
      </c>
      <c r="L64" s="100">
        <v>17.71</v>
      </c>
      <c r="M64" s="100">
        <v>20.96</v>
      </c>
      <c r="N64" s="100">
        <v>219.3</v>
      </c>
      <c r="O64" s="100">
        <v>0</v>
      </c>
      <c r="P64" s="100">
        <v>0.53</v>
      </c>
      <c r="Q64" s="100">
        <v>9.32</v>
      </c>
      <c r="R64" s="6"/>
      <c r="S64" s="6"/>
      <c r="T64" s="156"/>
      <c r="U64" s="6"/>
    </row>
    <row r="65" spans="1:21" customFormat="1">
      <c r="A65" s="201" t="s">
        <v>2028</v>
      </c>
      <c r="B65" s="100">
        <v>3.25</v>
      </c>
      <c r="C65" s="100">
        <v>13.03</v>
      </c>
      <c r="D65" s="100">
        <v>9.41</v>
      </c>
      <c r="E65" s="100">
        <v>5.89</v>
      </c>
      <c r="F65" s="151" t="s">
        <v>8</v>
      </c>
      <c r="G65" s="100">
        <v>31.64</v>
      </c>
      <c r="H65" s="100">
        <v>10.52</v>
      </c>
      <c r="I65" s="100">
        <v>9.68</v>
      </c>
      <c r="J65" s="100">
        <v>0.28000000000000003</v>
      </c>
      <c r="K65" s="100">
        <v>91.82</v>
      </c>
      <c r="L65" s="100">
        <v>13.74</v>
      </c>
      <c r="M65" s="100">
        <v>13.43</v>
      </c>
      <c r="N65" s="100">
        <v>121</v>
      </c>
      <c r="O65" s="100">
        <v>0</v>
      </c>
      <c r="P65" s="100">
        <v>0.45</v>
      </c>
      <c r="Q65" s="100">
        <v>9.32</v>
      </c>
      <c r="R65" s="6"/>
      <c r="S65" s="6"/>
      <c r="T65" s="156"/>
      <c r="U65" s="6"/>
    </row>
    <row r="66" spans="1:21" customFormat="1">
      <c r="A66" s="201" t="s">
        <v>2029</v>
      </c>
      <c r="B66" s="100">
        <v>3.33</v>
      </c>
      <c r="C66" s="100">
        <v>12.81</v>
      </c>
      <c r="D66" s="100">
        <v>9.36</v>
      </c>
      <c r="E66" s="100">
        <v>6.37</v>
      </c>
      <c r="F66" s="151" t="s">
        <v>8</v>
      </c>
      <c r="G66" s="100">
        <v>31.64</v>
      </c>
      <c r="H66" s="100">
        <v>10.52</v>
      </c>
      <c r="I66" s="100">
        <v>9.68</v>
      </c>
      <c r="J66" s="100">
        <v>0.56000000000000005</v>
      </c>
      <c r="K66" s="100">
        <v>32.159999999999997</v>
      </c>
      <c r="L66" s="100">
        <v>13.84</v>
      </c>
      <c r="M66" s="100">
        <v>13.89</v>
      </c>
      <c r="N66" s="100">
        <v>105.8</v>
      </c>
      <c r="O66" s="100">
        <v>0</v>
      </c>
      <c r="P66" s="100">
        <v>0.49</v>
      </c>
      <c r="Q66" s="100">
        <v>9.32</v>
      </c>
      <c r="R66" s="6"/>
      <c r="S66" s="6"/>
      <c r="T66" s="156"/>
      <c r="U66" s="6"/>
    </row>
    <row r="67" spans="1:21" customFormat="1">
      <c r="A67" s="201" t="s">
        <v>2030</v>
      </c>
      <c r="B67" s="100">
        <v>3.34</v>
      </c>
      <c r="C67" s="100">
        <v>12.62</v>
      </c>
      <c r="D67" s="100">
        <v>9.27</v>
      </c>
      <c r="E67" s="100">
        <v>6.63</v>
      </c>
      <c r="F67" s="151" t="s">
        <v>8</v>
      </c>
      <c r="G67" s="100">
        <v>31.6</v>
      </c>
      <c r="H67" s="100">
        <v>10.54</v>
      </c>
      <c r="I67" s="100">
        <v>9.69</v>
      </c>
      <c r="J67" s="100">
        <v>0.33</v>
      </c>
      <c r="K67" s="100">
        <v>164.19</v>
      </c>
      <c r="L67" s="100">
        <v>18.079999999999998</v>
      </c>
      <c r="M67" s="100">
        <v>24.77</v>
      </c>
      <c r="N67" s="100">
        <v>106.5</v>
      </c>
      <c r="O67" s="100">
        <v>0</v>
      </c>
      <c r="P67" s="100">
        <v>0.48</v>
      </c>
      <c r="Q67" s="100">
        <v>9.32</v>
      </c>
      <c r="R67" s="6"/>
      <c r="S67" s="6"/>
      <c r="T67" s="156"/>
      <c r="U67" s="6"/>
    </row>
    <row r="68" spans="1:21" customFormat="1">
      <c r="A68" s="201" t="s">
        <v>2031</v>
      </c>
      <c r="B68" s="100">
        <v>3.38</v>
      </c>
      <c r="C68" s="100">
        <v>12.53</v>
      </c>
      <c r="D68" s="100">
        <v>9.26</v>
      </c>
      <c r="E68" s="100">
        <v>6.96</v>
      </c>
      <c r="F68" s="151" t="s">
        <v>8</v>
      </c>
      <c r="G68" s="100">
        <v>31.3</v>
      </c>
      <c r="H68" s="100">
        <v>10.7</v>
      </c>
      <c r="I68" s="100">
        <v>9.49</v>
      </c>
      <c r="J68" s="100">
        <v>0.43</v>
      </c>
      <c r="K68" s="100">
        <v>65.11</v>
      </c>
      <c r="L68" s="100">
        <v>11.49</v>
      </c>
      <c r="M68" s="100">
        <v>8.48</v>
      </c>
      <c r="N68" s="100">
        <v>89</v>
      </c>
      <c r="O68" s="100">
        <v>0</v>
      </c>
      <c r="P68" s="100">
        <v>0.48</v>
      </c>
      <c r="Q68" s="100">
        <v>9.8000000000000007</v>
      </c>
      <c r="R68" s="6"/>
      <c r="S68" s="6"/>
      <c r="T68" s="156"/>
      <c r="U68" s="6"/>
    </row>
    <row r="69" spans="1:21" customFormat="1">
      <c r="A69" s="201" t="s">
        <v>2032</v>
      </c>
      <c r="B69" s="100">
        <v>3.36</v>
      </c>
      <c r="C69" s="100">
        <v>12.29</v>
      </c>
      <c r="D69" s="100">
        <v>9.1199999999999992</v>
      </c>
      <c r="E69" s="100">
        <v>6.62</v>
      </c>
      <c r="F69" s="151" t="s">
        <v>8</v>
      </c>
      <c r="G69" s="100">
        <v>31.3</v>
      </c>
      <c r="H69" s="100">
        <v>10.7</v>
      </c>
      <c r="I69" s="100">
        <v>9.34</v>
      </c>
      <c r="J69" s="100">
        <v>0.41</v>
      </c>
      <c r="K69" s="100">
        <v>56.53</v>
      </c>
      <c r="L69" s="100">
        <v>11.64</v>
      </c>
      <c r="M69" s="100">
        <v>9.2100000000000009</v>
      </c>
      <c r="N69" s="100">
        <v>76</v>
      </c>
      <c r="O69" s="100">
        <v>0</v>
      </c>
      <c r="P69" s="100">
        <v>0.47</v>
      </c>
      <c r="Q69" s="100">
        <v>10.75</v>
      </c>
      <c r="R69" s="6"/>
      <c r="S69" s="6"/>
      <c r="T69" s="156"/>
      <c r="U69" s="6"/>
    </row>
    <row r="70" spans="1:21" customFormat="1">
      <c r="A70" s="201" t="s">
        <v>2033</v>
      </c>
      <c r="B70" s="100">
        <v>3.41</v>
      </c>
      <c r="C70" s="100">
        <v>12.28</v>
      </c>
      <c r="D70" s="100">
        <v>9.16</v>
      </c>
      <c r="E70" s="100">
        <v>6.84</v>
      </c>
      <c r="F70" s="151" t="s">
        <v>8</v>
      </c>
      <c r="G70" s="100">
        <v>31.3</v>
      </c>
      <c r="H70" s="100">
        <v>10.7</v>
      </c>
      <c r="I70" s="100">
        <v>9.3800000000000008</v>
      </c>
      <c r="J70" s="100">
        <v>0.65</v>
      </c>
      <c r="K70" s="100">
        <v>49.09</v>
      </c>
      <c r="L70" s="100">
        <v>9.76</v>
      </c>
      <c r="M70" s="100">
        <v>4.6900000000000004</v>
      </c>
      <c r="N70" s="100">
        <v>68.099999999999994</v>
      </c>
      <c r="O70" s="100">
        <v>0</v>
      </c>
      <c r="P70" s="100">
        <v>0.47</v>
      </c>
      <c r="Q70" s="100">
        <v>10.25</v>
      </c>
      <c r="R70" s="6"/>
      <c r="S70" s="6"/>
      <c r="T70" s="156"/>
      <c r="U70" s="6"/>
    </row>
    <row r="71" spans="1:21" customFormat="1">
      <c r="A71" s="201" t="s">
        <v>2034</v>
      </c>
      <c r="B71" s="100">
        <v>3.54</v>
      </c>
      <c r="C71" s="100">
        <v>13.18</v>
      </c>
      <c r="D71" s="100">
        <v>9.73</v>
      </c>
      <c r="E71" s="100">
        <v>6.54</v>
      </c>
      <c r="F71" s="151" t="s">
        <v>8</v>
      </c>
      <c r="G71" s="100">
        <v>31.32</v>
      </c>
      <c r="H71" s="100">
        <v>10.7</v>
      </c>
      <c r="I71" s="100">
        <v>9.3699999999999992</v>
      </c>
      <c r="J71" s="100">
        <v>0.22</v>
      </c>
      <c r="K71" s="100">
        <v>79.239999999999995</v>
      </c>
      <c r="L71" s="100">
        <v>13.1</v>
      </c>
      <c r="M71" s="100">
        <v>13.3</v>
      </c>
      <c r="N71" s="100">
        <v>60.5</v>
      </c>
      <c r="O71" s="100">
        <v>0</v>
      </c>
      <c r="P71" s="100">
        <v>0.47</v>
      </c>
      <c r="Q71" s="100">
        <v>9.9700000000000006</v>
      </c>
      <c r="R71" s="6"/>
      <c r="S71" s="6"/>
      <c r="T71" s="156"/>
      <c r="U71" s="6"/>
    </row>
    <row r="72" spans="1:21" customFormat="1">
      <c r="A72" s="201" t="s">
        <v>2035</v>
      </c>
      <c r="B72" s="100">
        <v>3.5</v>
      </c>
      <c r="C72" s="100">
        <v>12.92</v>
      </c>
      <c r="D72" s="100">
        <v>9.56</v>
      </c>
      <c r="E72" s="100">
        <v>7.32</v>
      </c>
      <c r="F72" s="151" t="s">
        <v>8</v>
      </c>
      <c r="G72" s="100">
        <v>31.49</v>
      </c>
      <c r="H72" s="100">
        <v>10.78</v>
      </c>
      <c r="I72" s="100">
        <v>9.3000000000000007</v>
      </c>
      <c r="J72" s="100">
        <v>0.43</v>
      </c>
      <c r="K72" s="100">
        <v>59.45</v>
      </c>
      <c r="L72" s="100">
        <v>9.07</v>
      </c>
      <c r="M72" s="100">
        <v>3.3</v>
      </c>
      <c r="N72" s="100">
        <v>56.2</v>
      </c>
      <c r="O72" s="100">
        <v>0</v>
      </c>
      <c r="P72" s="100">
        <v>0.46</v>
      </c>
      <c r="Q72" s="100">
        <v>10.38</v>
      </c>
      <c r="R72" s="6"/>
      <c r="S72" s="6"/>
      <c r="T72" s="156"/>
      <c r="U72" s="6"/>
    </row>
    <row r="73" spans="1:21" customFormat="1">
      <c r="A73" s="201" t="s">
        <v>2036</v>
      </c>
      <c r="B73" s="100">
        <v>3.52</v>
      </c>
      <c r="C73" s="100">
        <v>12.8</v>
      </c>
      <c r="D73" s="100">
        <v>9.51</v>
      </c>
      <c r="E73" s="100">
        <v>6.97</v>
      </c>
      <c r="F73" s="151" t="s">
        <v>8</v>
      </c>
      <c r="G73" s="100">
        <v>31.49</v>
      </c>
      <c r="H73" s="100">
        <v>10.78</v>
      </c>
      <c r="I73" s="100">
        <v>9.24</v>
      </c>
      <c r="J73" s="100">
        <v>0.37</v>
      </c>
      <c r="K73" s="100">
        <v>53.74</v>
      </c>
      <c r="L73" s="100">
        <v>9.7799999999999994</v>
      </c>
      <c r="M73" s="100">
        <v>5.37</v>
      </c>
      <c r="N73" s="100">
        <v>46.4</v>
      </c>
      <c r="O73" s="100">
        <v>0</v>
      </c>
      <c r="P73" s="100">
        <v>0.47</v>
      </c>
      <c r="Q73" s="100">
        <v>10.93</v>
      </c>
      <c r="R73" s="6"/>
      <c r="S73" s="6"/>
      <c r="T73" s="156"/>
      <c r="U73" s="6"/>
    </row>
    <row r="74" spans="1:21" customFormat="1">
      <c r="A74" s="201" t="s">
        <v>2037</v>
      </c>
      <c r="B74" s="100">
        <v>3.55</v>
      </c>
      <c r="C74" s="100">
        <v>12.8</v>
      </c>
      <c r="D74" s="100">
        <v>9.5299999999999994</v>
      </c>
      <c r="E74" s="100">
        <v>6.99</v>
      </c>
      <c r="F74" s="151" t="s">
        <v>8</v>
      </c>
      <c r="G74" s="100">
        <v>31.49</v>
      </c>
      <c r="H74" s="100">
        <v>10.78</v>
      </c>
      <c r="I74" s="100">
        <v>9.1999999999999993</v>
      </c>
      <c r="J74" s="100">
        <v>0.16</v>
      </c>
      <c r="K74" s="100">
        <v>77.64</v>
      </c>
      <c r="L74" s="100">
        <v>11.75</v>
      </c>
      <c r="M74" s="100">
        <v>11.41</v>
      </c>
      <c r="N74" s="100">
        <v>32.799999999999997</v>
      </c>
      <c r="O74" s="100">
        <v>0</v>
      </c>
      <c r="P74" s="100">
        <v>0.48</v>
      </c>
      <c r="Q74" s="100">
        <v>10.66</v>
      </c>
      <c r="R74" s="6"/>
      <c r="S74" s="6"/>
      <c r="T74" s="156"/>
      <c r="U74" s="6"/>
    </row>
    <row r="75" spans="1:21" customFormat="1">
      <c r="A75" s="201" t="s">
        <v>2038</v>
      </c>
      <c r="B75" s="100">
        <v>3.57</v>
      </c>
      <c r="C75" s="100">
        <v>12.89</v>
      </c>
      <c r="D75" s="100">
        <v>9.6</v>
      </c>
      <c r="E75" s="100">
        <v>7.21</v>
      </c>
      <c r="F75" s="151" t="s">
        <v>8</v>
      </c>
      <c r="G75" s="100">
        <v>31.78</v>
      </c>
      <c r="H75" s="100">
        <v>10.93</v>
      </c>
      <c r="I75" s="100">
        <v>9.1999999999999993</v>
      </c>
      <c r="J75" s="100">
        <v>0.13</v>
      </c>
      <c r="K75" s="100">
        <v>134.80000000000001</v>
      </c>
      <c r="L75" s="100">
        <v>13.88</v>
      </c>
      <c r="M75" s="100">
        <v>16.28</v>
      </c>
      <c r="N75" s="100">
        <v>23.2</v>
      </c>
      <c r="O75" s="100">
        <v>0</v>
      </c>
      <c r="P75" s="100">
        <v>0.48</v>
      </c>
      <c r="Q75" s="100">
        <v>10.119999999999999</v>
      </c>
      <c r="R75" s="6"/>
      <c r="S75" s="6"/>
      <c r="T75" s="156"/>
      <c r="U75" s="6"/>
    </row>
    <row r="76" spans="1:21" customFormat="1">
      <c r="A76" s="201" t="s">
        <v>2039</v>
      </c>
      <c r="B76" s="100">
        <v>3.66</v>
      </c>
      <c r="C76" s="100">
        <v>13.05</v>
      </c>
      <c r="D76" s="100">
        <v>9.75</v>
      </c>
      <c r="E76" s="100">
        <v>6.92</v>
      </c>
      <c r="F76" s="151" t="s">
        <v>8</v>
      </c>
      <c r="G76" s="100">
        <v>34.369999999999997</v>
      </c>
      <c r="H76" s="100">
        <v>12.25</v>
      </c>
      <c r="I76" s="100">
        <v>9.16</v>
      </c>
      <c r="J76" s="100">
        <v>0.19</v>
      </c>
      <c r="K76" s="100">
        <v>147.86000000000001</v>
      </c>
      <c r="L76" s="100">
        <v>14.42</v>
      </c>
      <c r="M76" s="100">
        <v>17.84</v>
      </c>
      <c r="N76" s="100">
        <v>14.6</v>
      </c>
      <c r="O76" s="100">
        <v>0</v>
      </c>
      <c r="P76" s="100">
        <v>0.48</v>
      </c>
      <c r="Q76" s="100">
        <v>9.8000000000000007</v>
      </c>
      <c r="R76" s="6"/>
      <c r="S76" s="6"/>
      <c r="T76" s="156"/>
      <c r="U76" s="6"/>
    </row>
    <row r="77" spans="1:21" customFormat="1">
      <c r="A77" s="201" t="s">
        <v>2040</v>
      </c>
      <c r="B77" s="100">
        <v>3.74</v>
      </c>
      <c r="C77" s="100">
        <v>12.96</v>
      </c>
      <c r="D77" s="100">
        <v>9.77</v>
      </c>
      <c r="E77" s="100">
        <v>6.8</v>
      </c>
      <c r="F77" s="151" t="s">
        <v>8</v>
      </c>
      <c r="G77" s="100">
        <v>34.369999999999997</v>
      </c>
      <c r="H77" s="100">
        <v>12.25</v>
      </c>
      <c r="I77" s="100">
        <v>9.11</v>
      </c>
      <c r="J77" s="100">
        <v>0.22</v>
      </c>
      <c r="K77" s="100">
        <v>154.84</v>
      </c>
      <c r="L77" s="100">
        <v>14.43</v>
      </c>
      <c r="M77" s="100">
        <v>18.03</v>
      </c>
      <c r="N77" s="100">
        <v>7.3</v>
      </c>
      <c r="O77" s="100">
        <v>0</v>
      </c>
      <c r="P77" s="100">
        <v>0.48</v>
      </c>
      <c r="Q77" s="100">
        <v>10.15</v>
      </c>
      <c r="R77" s="6"/>
      <c r="S77" s="6"/>
      <c r="T77" s="156"/>
      <c r="U77" s="6"/>
    </row>
    <row r="78" spans="1:21" customFormat="1">
      <c r="A78" s="201" t="s">
        <v>2041</v>
      </c>
      <c r="B78" s="100">
        <v>3.88</v>
      </c>
      <c r="C78" s="100">
        <v>13.11</v>
      </c>
      <c r="D78" s="100">
        <v>9.9600000000000009</v>
      </c>
      <c r="E78" s="100">
        <v>6.2</v>
      </c>
      <c r="F78" s="151" t="s">
        <v>8</v>
      </c>
      <c r="G78" s="100">
        <v>34.369999999999997</v>
      </c>
      <c r="H78" s="100">
        <v>12.25</v>
      </c>
      <c r="I78" s="100">
        <v>9.09</v>
      </c>
      <c r="J78" s="100">
        <v>0.24</v>
      </c>
      <c r="K78" s="100">
        <v>150.07</v>
      </c>
      <c r="L78" s="100">
        <v>14.42</v>
      </c>
      <c r="M78" s="100">
        <v>18.14</v>
      </c>
      <c r="N78" s="100">
        <v>3.3</v>
      </c>
      <c r="O78" s="100">
        <v>0</v>
      </c>
      <c r="P78" s="100">
        <v>0.48</v>
      </c>
      <c r="Q78" s="100">
        <v>10.5</v>
      </c>
      <c r="R78" s="6"/>
      <c r="S78" s="6"/>
      <c r="T78" s="156"/>
      <c r="U78" s="6"/>
    </row>
    <row r="79" spans="1:21" customFormat="1">
      <c r="A79" s="201" t="s">
        <v>2042</v>
      </c>
      <c r="B79" s="100">
        <v>4.07</v>
      </c>
      <c r="C79" s="100">
        <v>13.28</v>
      </c>
      <c r="D79" s="100">
        <v>10.199999999999999</v>
      </c>
      <c r="E79" s="100">
        <v>6.25</v>
      </c>
      <c r="F79" s="151" t="s">
        <v>8</v>
      </c>
      <c r="G79" s="100">
        <v>34.619999999999997</v>
      </c>
      <c r="H79" s="100">
        <v>12.31</v>
      </c>
      <c r="I79" s="100">
        <v>9.08</v>
      </c>
      <c r="J79" s="100">
        <v>0.21</v>
      </c>
      <c r="K79" s="100">
        <v>152.43</v>
      </c>
      <c r="L79" s="100">
        <v>14.3</v>
      </c>
      <c r="M79" s="100">
        <v>17.86</v>
      </c>
      <c r="N79" s="100">
        <v>2.1</v>
      </c>
      <c r="O79" s="100">
        <v>0</v>
      </c>
      <c r="P79" s="100">
        <v>0.49</v>
      </c>
      <c r="Q79" s="100">
        <v>10.32</v>
      </c>
      <c r="R79" s="6"/>
      <c r="S79" s="6"/>
      <c r="T79" s="156"/>
      <c r="U79" s="6"/>
    </row>
    <row r="80" spans="1:21" customFormat="1">
      <c r="A80" s="201" t="s">
        <v>2043</v>
      </c>
      <c r="B80" s="100">
        <v>4.4800000000000004</v>
      </c>
      <c r="C80" s="100">
        <v>14.32</v>
      </c>
      <c r="D80" s="100">
        <v>11.07</v>
      </c>
      <c r="E80" s="100">
        <v>6.73</v>
      </c>
      <c r="F80" s="151" t="s">
        <v>8</v>
      </c>
      <c r="G80" s="100">
        <v>36.79</v>
      </c>
      <c r="H80" s="100">
        <v>12.71</v>
      </c>
      <c r="I80" s="100">
        <v>9.15</v>
      </c>
      <c r="J80" s="100">
        <v>0.16</v>
      </c>
      <c r="K80" s="100">
        <v>85.77</v>
      </c>
      <c r="L80" s="100">
        <v>9.9600000000000009</v>
      </c>
      <c r="M80" s="100">
        <v>6.85</v>
      </c>
      <c r="N80" s="100">
        <v>1.5</v>
      </c>
      <c r="O80" s="100">
        <v>0</v>
      </c>
      <c r="P80" s="100">
        <v>0.5</v>
      </c>
      <c r="Q80" s="100">
        <v>9.42</v>
      </c>
      <c r="R80" s="6"/>
      <c r="S80" s="6"/>
      <c r="T80" s="156"/>
      <c r="U80" s="6"/>
    </row>
    <row r="81" spans="1:21" customFormat="1">
      <c r="A81" s="201" t="s">
        <v>2044</v>
      </c>
      <c r="B81" s="100">
        <v>5.0199999999999996</v>
      </c>
      <c r="C81" s="100">
        <v>15.38</v>
      </c>
      <c r="D81" s="100">
        <v>12.06</v>
      </c>
      <c r="E81" s="100">
        <v>5.21</v>
      </c>
      <c r="F81" s="151" t="s">
        <v>8</v>
      </c>
      <c r="G81" s="100">
        <v>36.79</v>
      </c>
      <c r="H81" s="100">
        <v>12.71</v>
      </c>
      <c r="I81" s="100">
        <v>9.1999999999999993</v>
      </c>
      <c r="J81" s="100">
        <v>0.13</v>
      </c>
      <c r="K81" s="100">
        <v>113.07</v>
      </c>
      <c r="L81" s="100">
        <v>11.96</v>
      </c>
      <c r="M81" s="100">
        <v>11.91</v>
      </c>
      <c r="N81" s="100">
        <v>1.7</v>
      </c>
      <c r="O81" s="100">
        <v>0</v>
      </c>
      <c r="P81" s="100">
        <v>0.51</v>
      </c>
      <c r="Q81" s="100">
        <v>9.32</v>
      </c>
      <c r="R81" s="6"/>
      <c r="S81" s="6"/>
      <c r="T81" s="156"/>
      <c r="U81" s="6"/>
    </row>
    <row r="82" spans="1:21" customFormat="1">
      <c r="A82" s="201" t="s">
        <v>2045</v>
      </c>
      <c r="B82" s="100">
        <v>5.23</v>
      </c>
      <c r="C82" s="100">
        <v>15.41</v>
      </c>
      <c r="D82" s="100">
        <v>12.25</v>
      </c>
      <c r="E82" s="100">
        <v>6.03</v>
      </c>
      <c r="F82" s="151" t="s">
        <v>8</v>
      </c>
      <c r="G82" s="100">
        <v>36.79</v>
      </c>
      <c r="H82" s="100">
        <v>12.71</v>
      </c>
      <c r="I82" s="100">
        <v>9.33</v>
      </c>
      <c r="J82" s="100">
        <v>0.19</v>
      </c>
      <c r="K82" s="100">
        <v>124.42</v>
      </c>
      <c r="L82" s="100">
        <v>12.64</v>
      </c>
      <c r="M82" s="100">
        <v>13.63</v>
      </c>
      <c r="N82" s="100">
        <v>1.6</v>
      </c>
      <c r="O82" s="100">
        <v>0</v>
      </c>
      <c r="P82" s="100">
        <v>0.53</v>
      </c>
      <c r="Q82" s="100">
        <v>9.32</v>
      </c>
      <c r="R82" s="6"/>
      <c r="S82" s="6"/>
      <c r="T82" s="156"/>
      <c r="U82" s="6"/>
    </row>
    <row r="83" spans="1:21" customFormat="1">
      <c r="A83" s="201" t="s">
        <v>2046</v>
      </c>
      <c r="B83" s="100">
        <v>5.44</v>
      </c>
      <c r="C83" s="100">
        <v>14.94</v>
      </c>
      <c r="D83" s="100">
        <v>12.17</v>
      </c>
      <c r="E83" s="100">
        <v>6.07</v>
      </c>
      <c r="F83" s="151" t="s">
        <v>8</v>
      </c>
      <c r="G83" s="100">
        <v>37.76</v>
      </c>
      <c r="H83" s="100">
        <v>12.97</v>
      </c>
      <c r="I83" s="100">
        <v>9.48</v>
      </c>
      <c r="J83" s="100">
        <v>0.23</v>
      </c>
      <c r="K83" s="100">
        <v>152.36000000000001</v>
      </c>
      <c r="L83" s="100">
        <v>14.46</v>
      </c>
      <c r="M83" s="100">
        <v>18.23</v>
      </c>
      <c r="N83" s="100">
        <v>2</v>
      </c>
      <c r="O83" s="100">
        <v>0</v>
      </c>
      <c r="P83" s="100">
        <v>0.54</v>
      </c>
      <c r="Q83" s="100">
        <v>9.32</v>
      </c>
      <c r="R83" s="6"/>
      <c r="S83" s="6"/>
      <c r="T83" s="156"/>
      <c r="U83" s="6"/>
    </row>
    <row r="84" spans="1:21" customFormat="1">
      <c r="A84" s="201" t="s">
        <v>2047</v>
      </c>
      <c r="B84" s="100">
        <v>5.54</v>
      </c>
      <c r="C84" s="100">
        <v>14.95</v>
      </c>
      <c r="D84" s="100">
        <v>12.26</v>
      </c>
      <c r="E84" s="100">
        <v>6.1</v>
      </c>
      <c r="F84" s="151" t="s">
        <v>8</v>
      </c>
      <c r="G84" s="100">
        <v>46.45</v>
      </c>
      <c r="H84" s="100">
        <v>14.8</v>
      </c>
      <c r="I84" s="100">
        <v>9.61</v>
      </c>
      <c r="J84" s="100">
        <v>0.12</v>
      </c>
      <c r="K84" s="100">
        <v>120.26</v>
      </c>
      <c r="L84" s="100">
        <v>12.38</v>
      </c>
      <c r="M84" s="100">
        <v>13.03</v>
      </c>
      <c r="N84" s="100">
        <v>1.5</v>
      </c>
      <c r="O84" s="100">
        <v>0</v>
      </c>
      <c r="P84" s="100">
        <v>0.53</v>
      </c>
      <c r="Q84" s="100">
        <v>9.32</v>
      </c>
      <c r="R84" s="6"/>
      <c r="S84" s="6"/>
      <c r="T84" s="156"/>
      <c r="U84" s="6"/>
    </row>
    <row r="85" spans="1:21" customFormat="1">
      <c r="A85" s="201" t="s">
        <v>2048</v>
      </c>
      <c r="B85" s="100">
        <v>5.69</v>
      </c>
      <c r="C85" s="100">
        <v>15.07</v>
      </c>
      <c r="D85" s="100">
        <v>12.44</v>
      </c>
      <c r="E85" s="100">
        <v>6.17</v>
      </c>
      <c r="F85" s="151" t="s">
        <v>8</v>
      </c>
      <c r="G85" s="100">
        <v>46.45</v>
      </c>
      <c r="H85" s="100">
        <v>14.8</v>
      </c>
      <c r="I85" s="100">
        <v>9.83</v>
      </c>
      <c r="J85" s="100">
        <v>0.15</v>
      </c>
      <c r="K85" s="100">
        <v>134.6</v>
      </c>
      <c r="L85" s="100">
        <v>12.9</v>
      </c>
      <c r="M85" s="100">
        <v>14.18</v>
      </c>
      <c r="N85" s="100">
        <v>1.4</v>
      </c>
      <c r="O85" s="100">
        <v>0</v>
      </c>
      <c r="P85" s="100">
        <v>0.55000000000000004</v>
      </c>
      <c r="Q85" s="100">
        <v>9.32</v>
      </c>
      <c r="R85" s="6"/>
      <c r="S85" s="6"/>
      <c r="T85" s="156"/>
      <c r="U85" s="6"/>
    </row>
    <row r="86" spans="1:21" customFormat="1">
      <c r="A86" s="201" t="s">
        <v>2049</v>
      </c>
      <c r="B86" s="100">
        <v>5.85</v>
      </c>
      <c r="C86" s="100">
        <v>15.55</v>
      </c>
      <c r="D86" s="100">
        <v>12.81</v>
      </c>
      <c r="E86" s="100">
        <v>6.17</v>
      </c>
      <c r="F86" s="151" t="s">
        <v>8</v>
      </c>
      <c r="G86" s="100">
        <v>46.45</v>
      </c>
      <c r="H86" s="100">
        <v>14.8</v>
      </c>
      <c r="I86" s="100">
        <v>10.09</v>
      </c>
      <c r="J86" s="100">
        <v>0.18</v>
      </c>
      <c r="K86" s="100">
        <v>154.47</v>
      </c>
      <c r="L86" s="100">
        <v>14.79</v>
      </c>
      <c r="M86" s="100">
        <v>19.010000000000002</v>
      </c>
      <c r="N86" s="100">
        <v>1.7</v>
      </c>
      <c r="O86" s="100">
        <v>0</v>
      </c>
      <c r="P86" s="100">
        <v>0.56000000000000005</v>
      </c>
      <c r="Q86" s="100">
        <v>9.32</v>
      </c>
      <c r="R86" s="6"/>
      <c r="S86" s="6"/>
      <c r="T86" s="156"/>
      <c r="U86" s="6"/>
    </row>
    <row r="87" spans="1:21" customFormat="1">
      <c r="A87" s="201" t="s">
        <v>2050</v>
      </c>
      <c r="B87" s="100">
        <v>5.96</v>
      </c>
      <c r="C87" s="100">
        <v>15.86</v>
      </c>
      <c r="D87" s="100">
        <v>13.07</v>
      </c>
      <c r="E87" s="100">
        <v>6.19</v>
      </c>
      <c r="F87" s="151" t="s">
        <v>8</v>
      </c>
      <c r="G87" s="100">
        <v>47.33</v>
      </c>
      <c r="H87" s="100">
        <v>15</v>
      </c>
      <c r="I87" s="100">
        <v>10.199999999999999</v>
      </c>
      <c r="J87" s="100">
        <v>0.23</v>
      </c>
      <c r="K87" s="100">
        <v>165.55</v>
      </c>
      <c r="L87" s="100">
        <v>15.68</v>
      </c>
      <c r="M87" s="100">
        <v>21.16</v>
      </c>
      <c r="N87" s="100">
        <v>1.7</v>
      </c>
      <c r="O87" s="100">
        <v>0</v>
      </c>
      <c r="P87" s="100">
        <v>0.57999999999999996</v>
      </c>
      <c r="Q87" s="100">
        <v>9.32</v>
      </c>
      <c r="R87" s="6"/>
      <c r="S87" s="6"/>
      <c r="T87" s="156"/>
      <c r="U87" s="6"/>
    </row>
    <row r="88" spans="1:21" customFormat="1">
      <c r="A88" s="201" t="s">
        <v>2051</v>
      </c>
      <c r="B88" s="100">
        <v>5.97</v>
      </c>
      <c r="C88" s="100">
        <v>15.97</v>
      </c>
      <c r="D88" s="100">
        <v>13.13</v>
      </c>
      <c r="E88" s="100">
        <v>5.78</v>
      </c>
      <c r="F88" s="151" t="s">
        <v>8</v>
      </c>
      <c r="G88" s="100">
        <v>55.3</v>
      </c>
      <c r="H88" s="100">
        <v>16.43</v>
      </c>
      <c r="I88" s="100">
        <v>10.28</v>
      </c>
      <c r="J88" s="100">
        <v>0.22</v>
      </c>
      <c r="K88" s="100">
        <v>171.02</v>
      </c>
      <c r="L88" s="100">
        <v>16.18</v>
      </c>
      <c r="M88" s="100">
        <v>22.42</v>
      </c>
      <c r="N88" s="100">
        <v>1.6</v>
      </c>
      <c r="O88" s="100">
        <v>0</v>
      </c>
      <c r="P88" s="100">
        <v>0.59</v>
      </c>
      <c r="Q88" s="100">
        <v>9.32</v>
      </c>
      <c r="R88" s="6"/>
      <c r="S88" s="6"/>
      <c r="T88" s="156"/>
      <c r="U88" s="6"/>
    </row>
    <row r="89" spans="1:21" customFormat="1">
      <c r="A89" s="201" t="s">
        <v>2052</v>
      </c>
      <c r="B89" s="100">
        <v>6.02</v>
      </c>
      <c r="C89" s="100">
        <v>15.92</v>
      </c>
      <c r="D89" s="100">
        <v>13.15</v>
      </c>
      <c r="E89" s="100">
        <v>5.87</v>
      </c>
      <c r="F89" s="151" t="s">
        <v>8</v>
      </c>
      <c r="G89" s="100">
        <v>55.3</v>
      </c>
      <c r="H89" s="100">
        <v>16.43</v>
      </c>
      <c r="I89" s="100">
        <v>10.5</v>
      </c>
      <c r="J89" s="100">
        <v>0.2</v>
      </c>
      <c r="K89" s="100">
        <v>200.42</v>
      </c>
      <c r="L89" s="100">
        <v>18.23</v>
      </c>
      <c r="M89" s="100">
        <v>27.46</v>
      </c>
      <c r="N89" s="100">
        <v>1.7</v>
      </c>
      <c r="O89" s="100">
        <v>0</v>
      </c>
      <c r="P89" s="100">
        <v>0.61</v>
      </c>
      <c r="Q89" s="100">
        <v>9.32</v>
      </c>
      <c r="R89" s="6"/>
      <c r="S89" s="6"/>
      <c r="T89" s="156"/>
      <c r="U89" s="6"/>
    </row>
    <row r="90" spans="1:21" customFormat="1">
      <c r="A90" s="201" t="s">
        <v>2053</v>
      </c>
      <c r="B90" s="100">
        <v>6.09</v>
      </c>
      <c r="C90" s="100">
        <v>15.71</v>
      </c>
      <c r="D90" s="100">
        <v>13.09</v>
      </c>
      <c r="E90" s="100">
        <v>5.63</v>
      </c>
      <c r="F90" s="151" t="s">
        <v>8</v>
      </c>
      <c r="G90" s="100">
        <v>55.3</v>
      </c>
      <c r="H90" s="100">
        <v>16.43</v>
      </c>
      <c r="I90" s="100">
        <v>10.72</v>
      </c>
      <c r="J90" s="100">
        <v>0.3</v>
      </c>
      <c r="K90" s="100">
        <v>185.86</v>
      </c>
      <c r="L90" s="100">
        <v>17.86</v>
      </c>
      <c r="M90" s="100">
        <v>26.55</v>
      </c>
      <c r="N90" s="100">
        <v>1.7</v>
      </c>
      <c r="O90" s="100">
        <v>0</v>
      </c>
      <c r="P90" s="100">
        <v>0.62</v>
      </c>
      <c r="Q90" s="100">
        <v>9.32</v>
      </c>
      <c r="R90" s="6"/>
      <c r="S90" s="6"/>
      <c r="T90" s="156"/>
      <c r="U90" s="6"/>
    </row>
    <row r="91" spans="1:21" customFormat="1">
      <c r="A91" s="201" t="s">
        <v>2054</v>
      </c>
      <c r="B91" s="100">
        <v>6.1</v>
      </c>
      <c r="C91" s="100">
        <v>15.46</v>
      </c>
      <c r="D91" s="100">
        <v>12.97</v>
      </c>
      <c r="E91" s="100">
        <v>5.88</v>
      </c>
      <c r="F91" s="151" t="s">
        <v>8</v>
      </c>
      <c r="G91" s="100">
        <v>55.52</v>
      </c>
      <c r="H91" s="100">
        <v>16.600000000000001</v>
      </c>
      <c r="I91" s="100">
        <v>10.95</v>
      </c>
      <c r="J91" s="100">
        <v>0.16</v>
      </c>
      <c r="K91" s="100">
        <v>181.27</v>
      </c>
      <c r="L91" s="100">
        <v>16.850000000000001</v>
      </c>
      <c r="M91" s="100">
        <v>24.07</v>
      </c>
      <c r="N91" s="100">
        <v>1.7</v>
      </c>
      <c r="O91" s="100">
        <v>0</v>
      </c>
      <c r="P91" s="100">
        <v>0.63</v>
      </c>
      <c r="Q91" s="100">
        <v>9.32</v>
      </c>
      <c r="R91" s="6"/>
      <c r="S91" s="6"/>
      <c r="T91" s="156"/>
      <c r="U91" s="6"/>
    </row>
    <row r="92" spans="1:21" customFormat="1">
      <c r="A92" s="201" t="s">
        <v>2055</v>
      </c>
      <c r="B92" s="100">
        <v>6.11</v>
      </c>
      <c r="C92" s="100">
        <v>15.16</v>
      </c>
      <c r="D92" s="100">
        <v>12.82</v>
      </c>
      <c r="E92" s="100">
        <v>5.75</v>
      </c>
      <c r="F92" s="151" t="s">
        <v>8</v>
      </c>
      <c r="G92" s="100">
        <v>57.52</v>
      </c>
      <c r="H92" s="100">
        <v>17.829999999999998</v>
      </c>
      <c r="I92" s="100">
        <v>11.31</v>
      </c>
      <c r="J92" s="100">
        <v>0.16</v>
      </c>
      <c r="K92" s="100">
        <v>214.01</v>
      </c>
      <c r="L92" s="100">
        <v>19.45</v>
      </c>
      <c r="M92" s="100">
        <v>30.54</v>
      </c>
      <c r="N92" s="100">
        <v>1.6</v>
      </c>
      <c r="O92" s="100">
        <v>0</v>
      </c>
      <c r="P92" s="100">
        <v>0.64</v>
      </c>
      <c r="Q92" s="100">
        <v>9.32</v>
      </c>
      <c r="R92" s="6"/>
      <c r="S92" s="6"/>
      <c r="T92" s="156"/>
      <c r="U92" s="6"/>
    </row>
    <row r="93" spans="1:21" customFormat="1">
      <c r="A93" s="201" t="s">
        <v>2056</v>
      </c>
      <c r="B93" s="100">
        <v>6.34</v>
      </c>
      <c r="C93" s="100">
        <v>15.07</v>
      </c>
      <c r="D93" s="100">
        <v>12.96</v>
      </c>
      <c r="E93" s="100">
        <v>5.89</v>
      </c>
      <c r="F93" s="151" t="s">
        <v>8</v>
      </c>
      <c r="G93" s="100">
        <v>57.52</v>
      </c>
      <c r="H93" s="100">
        <v>17.829999999999998</v>
      </c>
      <c r="I93" s="100">
        <v>11.64</v>
      </c>
      <c r="J93" s="100">
        <v>0.2</v>
      </c>
      <c r="K93" s="100">
        <v>194.4</v>
      </c>
      <c r="L93" s="100">
        <v>17.88</v>
      </c>
      <c r="M93" s="100">
        <v>26.69</v>
      </c>
      <c r="N93" s="100">
        <v>1.3</v>
      </c>
      <c r="O93" s="100">
        <v>0</v>
      </c>
      <c r="P93" s="100">
        <v>0.63</v>
      </c>
      <c r="Q93" s="100">
        <v>9.32</v>
      </c>
      <c r="R93" s="6"/>
      <c r="S93" s="6"/>
      <c r="T93" s="156"/>
      <c r="U93" s="6"/>
    </row>
    <row r="94" spans="1:21" customFormat="1">
      <c r="A94" s="201" t="s">
        <v>2057</v>
      </c>
      <c r="B94" s="100">
        <v>7.03</v>
      </c>
      <c r="C94" s="100">
        <v>15.15</v>
      </c>
      <c r="D94" s="100">
        <v>13.55</v>
      </c>
      <c r="E94" s="100">
        <v>5.44</v>
      </c>
      <c r="F94" s="151" t="s">
        <v>8</v>
      </c>
      <c r="G94" s="100">
        <v>57.52</v>
      </c>
      <c r="H94" s="100">
        <v>17.829999999999998</v>
      </c>
      <c r="I94" s="100">
        <v>11.48</v>
      </c>
      <c r="J94" s="100">
        <v>0.21</v>
      </c>
      <c r="K94" s="100">
        <v>207.74</v>
      </c>
      <c r="L94" s="100">
        <v>18.489999999999998</v>
      </c>
      <c r="M94" s="100">
        <v>28.2</v>
      </c>
      <c r="N94" s="100">
        <v>1.3</v>
      </c>
      <c r="O94" s="100">
        <v>0</v>
      </c>
      <c r="P94" s="100">
        <v>0.63</v>
      </c>
      <c r="Q94" s="100">
        <v>9.32</v>
      </c>
      <c r="R94" s="6"/>
      <c r="S94" s="6"/>
      <c r="T94" s="156"/>
      <c r="U94" s="6"/>
    </row>
    <row r="95" spans="1:21" customFormat="1">
      <c r="A95" s="201" t="s">
        <v>2058</v>
      </c>
      <c r="B95" s="100">
        <v>7.17</v>
      </c>
      <c r="C95" s="100">
        <v>15</v>
      </c>
      <c r="D95" s="100">
        <v>13.59</v>
      </c>
      <c r="E95" s="100">
        <v>5.58</v>
      </c>
      <c r="F95" s="151" t="s">
        <v>8</v>
      </c>
      <c r="G95" s="100">
        <v>57.59</v>
      </c>
      <c r="H95" s="100">
        <v>17.68</v>
      </c>
      <c r="I95" s="100">
        <v>11.28</v>
      </c>
      <c r="J95" s="100">
        <v>0.18</v>
      </c>
      <c r="K95" s="100">
        <v>203.13</v>
      </c>
      <c r="L95" s="100">
        <v>18.399999999999999</v>
      </c>
      <c r="M95" s="100">
        <v>27.95</v>
      </c>
      <c r="N95" s="100">
        <v>1.5</v>
      </c>
      <c r="O95" s="100">
        <v>0</v>
      </c>
      <c r="P95" s="100">
        <v>0.64</v>
      </c>
      <c r="Q95" s="100">
        <v>9.32</v>
      </c>
      <c r="R95" s="6"/>
      <c r="S95" s="6"/>
      <c r="T95" s="156"/>
      <c r="U95" s="6"/>
    </row>
    <row r="96" spans="1:21" customFormat="1">
      <c r="A96" s="201" t="s">
        <v>2059</v>
      </c>
      <c r="B96" s="100">
        <v>7.2</v>
      </c>
      <c r="C96" s="100">
        <v>14.65</v>
      </c>
      <c r="D96" s="100">
        <v>13.43</v>
      </c>
      <c r="E96" s="100">
        <v>5.6</v>
      </c>
      <c r="F96" s="151" t="s">
        <v>8</v>
      </c>
      <c r="G96" s="100">
        <v>58.18</v>
      </c>
      <c r="H96" s="100">
        <v>16.59</v>
      </c>
      <c r="I96" s="100">
        <v>11.52</v>
      </c>
      <c r="J96" s="100">
        <v>0.17</v>
      </c>
      <c r="K96" s="100">
        <v>218.37</v>
      </c>
      <c r="L96" s="100">
        <v>19.760000000000002</v>
      </c>
      <c r="M96" s="100">
        <v>31.32</v>
      </c>
      <c r="N96" s="100">
        <v>1.5</v>
      </c>
      <c r="O96" s="100">
        <v>0</v>
      </c>
      <c r="P96" s="100">
        <v>0.64</v>
      </c>
      <c r="Q96" s="100">
        <v>9.32</v>
      </c>
      <c r="R96" s="6"/>
      <c r="S96" s="6"/>
      <c r="T96" s="156"/>
      <c r="U96" s="6"/>
    </row>
    <row r="97" spans="1:28" customFormat="1">
      <c r="A97" s="201" t="s">
        <v>2060</v>
      </c>
      <c r="B97" s="100">
        <v>7.19</v>
      </c>
      <c r="C97" s="100">
        <v>14.47</v>
      </c>
      <c r="D97" s="100">
        <v>13.32</v>
      </c>
      <c r="E97" s="100">
        <v>5.91</v>
      </c>
      <c r="F97" s="151" t="s">
        <v>8</v>
      </c>
      <c r="G97" s="100">
        <v>58.18</v>
      </c>
      <c r="H97" s="100">
        <v>16.59</v>
      </c>
      <c r="I97" s="100">
        <v>11.54</v>
      </c>
      <c r="J97" s="100">
        <v>0.17</v>
      </c>
      <c r="K97" s="100">
        <v>174.65</v>
      </c>
      <c r="L97" s="100">
        <v>16.78</v>
      </c>
      <c r="M97" s="100">
        <v>23.94</v>
      </c>
      <c r="N97" s="100">
        <v>1.3</v>
      </c>
      <c r="O97" s="100">
        <v>0</v>
      </c>
      <c r="P97" s="100">
        <v>0.64</v>
      </c>
      <c r="Q97" s="100">
        <v>9.32</v>
      </c>
      <c r="R97" s="6"/>
      <c r="S97" s="6"/>
      <c r="T97" s="156"/>
      <c r="U97" s="6"/>
    </row>
    <row r="98" spans="1:28" customFormat="1">
      <c r="A98" s="201" t="s">
        <v>2061</v>
      </c>
      <c r="B98" s="100">
        <v>7.14</v>
      </c>
      <c r="C98" s="100">
        <v>14.19</v>
      </c>
      <c r="D98" s="100">
        <v>13.14</v>
      </c>
      <c r="E98" s="100">
        <v>5.64</v>
      </c>
      <c r="F98" s="151" t="s">
        <v>8</v>
      </c>
      <c r="G98" s="100">
        <v>58.18</v>
      </c>
      <c r="H98" s="100">
        <v>16.59</v>
      </c>
      <c r="I98" s="100">
        <v>11.36</v>
      </c>
      <c r="J98" s="100">
        <v>0.2</v>
      </c>
      <c r="K98" s="100">
        <v>174.28</v>
      </c>
      <c r="L98" s="100">
        <v>16.309999999999999</v>
      </c>
      <c r="M98" s="100">
        <v>22.78</v>
      </c>
      <c r="N98" s="100">
        <v>1.3</v>
      </c>
      <c r="O98" s="100">
        <v>0</v>
      </c>
      <c r="P98" s="100">
        <v>0.64</v>
      </c>
      <c r="Q98" s="100">
        <v>9.32</v>
      </c>
      <c r="R98" s="6"/>
      <c r="S98" s="6"/>
      <c r="T98" s="156"/>
      <c r="U98" s="6"/>
    </row>
    <row r="99" spans="1:28" customFormat="1">
      <c r="A99" s="201" t="s">
        <v>2062</v>
      </c>
      <c r="B99" s="100">
        <v>7.12</v>
      </c>
      <c r="C99" s="100">
        <v>13.93</v>
      </c>
      <c r="D99" s="100">
        <v>12.99</v>
      </c>
      <c r="E99" s="100">
        <v>5.87</v>
      </c>
      <c r="F99" s="151" t="s">
        <v>8</v>
      </c>
      <c r="G99" s="100">
        <v>57.72</v>
      </c>
      <c r="H99" s="100">
        <v>16.510000000000002</v>
      </c>
      <c r="I99" s="100">
        <v>11.6</v>
      </c>
      <c r="J99" s="100">
        <v>0.18</v>
      </c>
      <c r="K99" s="100">
        <v>196.46</v>
      </c>
      <c r="L99" s="100">
        <v>17.760000000000002</v>
      </c>
      <c r="M99" s="100">
        <v>26.32</v>
      </c>
      <c r="N99" s="100">
        <v>1.2</v>
      </c>
      <c r="O99" s="100">
        <v>0</v>
      </c>
      <c r="P99" s="100">
        <v>0.64</v>
      </c>
      <c r="Q99" s="100">
        <v>9.32</v>
      </c>
      <c r="R99" s="6"/>
      <c r="S99" s="6"/>
      <c r="T99" s="156"/>
      <c r="U99" s="6"/>
    </row>
    <row r="100" spans="1:28" customFormat="1">
      <c r="A100" s="201" t="s">
        <v>2063</v>
      </c>
      <c r="B100" s="100">
        <v>7.13</v>
      </c>
      <c r="C100" s="100">
        <v>13.62</v>
      </c>
      <c r="D100" s="100">
        <v>12.84</v>
      </c>
      <c r="E100" s="100">
        <v>5.7</v>
      </c>
      <c r="F100" s="151" t="s">
        <v>8</v>
      </c>
      <c r="G100" s="100">
        <v>53.58</v>
      </c>
      <c r="H100" s="100">
        <v>15.98</v>
      </c>
      <c r="I100" s="100">
        <v>11.85</v>
      </c>
      <c r="J100" s="100">
        <v>0.14000000000000001</v>
      </c>
      <c r="K100" s="100">
        <v>193.47</v>
      </c>
      <c r="L100" s="100">
        <v>17.75</v>
      </c>
      <c r="M100" s="100">
        <v>26.37</v>
      </c>
      <c r="N100" s="100">
        <v>1.5</v>
      </c>
      <c r="O100" s="100">
        <v>0</v>
      </c>
      <c r="P100" s="100">
        <v>0.64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2064</v>
      </c>
      <c r="B101" s="100">
        <v>7.13</v>
      </c>
      <c r="C101" s="100">
        <v>13.33</v>
      </c>
      <c r="D101" s="100">
        <v>12.68</v>
      </c>
      <c r="E101" s="100">
        <v>5.72</v>
      </c>
      <c r="F101" s="151" t="s">
        <v>8</v>
      </c>
      <c r="G101" s="100">
        <v>53.58</v>
      </c>
      <c r="H101" s="100">
        <v>15.98</v>
      </c>
      <c r="I101" s="100">
        <v>11.88</v>
      </c>
      <c r="J101" s="100">
        <v>0.13</v>
      </c>
      <c r="K101" s="100">
        <v>205.66</v>
      </c>
      <c r="L101" s="100">
        <v>18.32</v>
      </c>
      <c r="M101" s="100">
        <v>27.76</v>
      </c>
      <c r="N101" s="100">
        <v>1.5</v>
      </c>
      <c r="O101" s="100">
        <v>0</v>
      </c>
      <c r="P101" s="100">
        <v>0.64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2065</v>
      </c>
      <c r="B102" s="100">
        <v>7.07</v>
      </c>
      <c r="C102" s="100">
        <v>13.19</v>
      </c>
      <c r="D102" s="100">
        <v>12.56</v>
      </c>
      <c r="E102" s="100">
        <v>5.83</v>
      </c>
      <c r="F102" s="151" t="s">
        <v>8</v>
      </c>
      <c r="G102" s="100">
        <v>53.58</v>
      </c>
      <c r="H102" s="100">
        <v>15.98</v>
      </c>
      <c r="I102" s="100">
        <v>11.87</v>
      </c>
      <c r="J102" s="100">
        <v>0.18</v>
      </c>
      <c r="K102" s="100">
        <v>211.84</v>
      </c>
      <c r="L102" s="100">
        <v>18.899999999999999</v>
      </c>
      <c r="M102" s="100">
        <v>29.23</v>
      </c>
      <c r="N102" s="100">
        <v>1.3</v>
      </c>
      <c r="O102" s="100">
        <v>0</v>
      </c>
      <c r="P102" s="100">
        <v>0.64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2066</v>
      </c>
      <c r="B103" s="100">
        <v>7.06</v>
      </c>
      <c r="C103" s="100">
        <v>13.08</v>
      </c>
      <c r="D103" s="100">
        <v>12.5</v>
      </c>
      <c r="E103" s="100">
        <v>5.59</v>
      </c>
      <c r="F103" s="151" t="s">
        <v>8</v>
      </c>
      <c r="G103" s="100">
        <v>52.83</v>
      </c>
      <c r="H103" s="100">
        <v>15.9</v>
      </c>
      <c r="I103" s="100">
        <v>11.77</v>
      </c>
      <c r="J103" s="100">
        <v>0.17</v>
      </c>
      <c r="K103" s="100">
        <v>210.65</v>
      </c>
      <c r="L103" s="100">
        <v>18.97</v>
      </c>
      <c r="M103" s="100">
        <v>29.36</v>
      </c>
      <c r="N103" s="100">
        <v>1.4</v>
      </c>
      <c r="O103" s="100">
        <v>0</v>
      </c>
      <c r="P103" s="100">
        <v>0.62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2067</v>
      </c>
      <c r="B104" s="100">
        <v>7.2</v>
      </c>
      <c r="C104" s="100">
        <v>13</v>
      </c>
      <c r="D104" s="100">
        <v>12.56</v>
      </c>
      <c r="E104" s="100">
        <v>5.78</v>
      </c>
      <c r="F104" s="151" t="s">
        <v>8</v>
      </c>
      <c r="G104" s="100">
        <v>46.07</v>
      </c>
      <c r="H104" s="100">
        <v>15.33</v>
      </c>
      <c r="I104" s="100">
        <v>11.71</v>
      </c>
      <c r="J104" s="100">
        <v>0.15</v>
      </c>
      <c r="K104" s="100">
        <v>207.76</v>
      </c>
      <c r="L104" s="100">
        <v>18.8</v>
      </c>
      <c r="M104" s="100">
        <v>28.98</v>
      </c>
      <c r="N104" s="100">
        <v>1.4</v>
      </c>
      <c r="O104" s="100">
        <v>0</v>
      </c>
      <c r="P104" s="100">
        <v>0.64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3.13</v>
      </c>
      <c r="C106" s="158">
        <f>MIN(C9:C104)</f>
        <v>0</v>
      </c>
      <c r="D106" s="158">
        <f t="shared" ref="D106:Q106" si="0">MIN(D9:D104)</f>
        <v>9.1199999999999992</v>
      </c>
      <c r="E106" s="158">
        <f t="shared" si="0"/>
        <v>2.39</v>
      </c>
      <c r="F106" s="158">
        <f t="shared" si="0"/>
        <v>0</v>
      </c>
      <c r="G106" s="158">
        <f t="shared" si="0"/>
        <v>31.3</v>
      </c>
      <c r="H106" s="158">
        <f t="shared" si="0"/>
        <v>0</v>
      </c>
      <c r="I106" s="158">
        <f t="shared" si="0"/>
        <v>9.08</v>
      </c>
      <c r="J106" s="158">
        <f t="shared" si="0"/>
        <v>0</v>
      </c>
      <c r="K106" s="158">
        <f t="shared" si="0"/>
        <v>-0.13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0.45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24.26</v>
      </c>
      <c r="C107" s="157">
        <f t="shared" ref="C107:Q107" si="1">MAX(C9:C104)</f>
        <v>18.559999999999999</v>
      </c>
      <c r="D107" s="157">
        <f t="shared" si="1"/>
        <v>27.9</v>
      </c>
      <c r="E107" s="157">
        <f t="shared" si="1"/>
        <v>7.32</v>
      </c>
      <c r="F107" s="157">
        <f t="shared" si="1"/>
        <v>0</v>
      </c>
      <c r="G107" s="157">
        <f t="shared" si="1"/>
        <v>58.18</v>
      </c>
      <c r="H107" s="157">
        <f t="shared" si="1"/>
        <v>17.829999999999998</v>
      </c>
      <c r="I107" s="157">
        <f t="shared" si="1"/>
        <v>14.56</v>
      </c>
      <c r="J107" s="157">
        <f t="shared" si="1"/>
        <v>0.65</v>
      </c>
      <c r="K107" s="157">
        <f t="shared" si="1"/>
        <v>348.41</v>
      </c>
      <c r="L107" s="157">
        <f t="shared" si="1"/>
        <v>22.3</v>
      </c>
      <c r="M107" s="157">
        <f t="shared" si="1"/>
        <v>35.799999999999997</v>
      </c>
      <c r="N107" s="157">
        <f t="shared" si="1"/>
        <v>555.9</v>
      </c>
      <c r="O107" s="157">
        <f t="shared" si="1"/>
        <v>0</v>
      </c>
      <c r="P107" s="157">
        <f t="shared" si="1"/>
        <v>0.8</v>
      </c>
      <c r="Q107" s="157">
        <f t="shared" si="1"/>
        <v>10.93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9.5354166666666718</v>
      </c>
      <c r="C108" s="158">
        <f t="shared" ref="C108:Q108" si="2">AVERAGE(C9:C104)</f>
        <v>14.663958333333333</v>
      </c>
      <c r="D108" s="158">
        <f t="shared" si="2"/>
        <v>15.391249999999999</v>
      </c>
      <c r="E108" s="158">
        <f t="shared" si="2"/>
        <v>5.7029166666666677</v>
      </c>
      <c r="F108" s="158" t="e">
        <f t="shared" si="2"/>
        <v>#DIV/0!</v>
      </c>
      <c r="G108" s="158">
        <f t="shared" si="2"/>
        <v>42.91718749999999</v>
      </c>
      <c r="H108" s="158">
        <f t="shared" si="2"/>
        <v>14.390520833333332</v>
      </c>
      <c r="I108" s="158">
        <f t="shared" si="2"/>
        <v>11.837083333333332</v>
      </c>
      <c r="J108" s="158">
        <f t="shared" si="2"/>
        <v>0.22260416666666671</v>
      </c>
      <c r="K108" s="158">
        <f t="shared" si="2"/>
        <v>131.18739583333331</v>
      </c>
      <c r="L108" s="158">
        <f t="shared" si="2"/>
        <v>15.988333333333337</v>
      </c>
      <c r="M108" s="158">
        <f t="shared" si="2"/>
        <v>19.5234375</v>
      </c>
      <c r="N108" s="158">
        <f t="shared" si="2"/>
        <v>112.81875000000001</v>
      </c>
      <c r="O108" s="158">
        <f t="shared" si="2"/>
        <v>0</v>
      </c>
      <c r="P108" s="158">
        <f t="shared" si="2"/>
        <v>0.64124999999999999</v>
      </c>
      <c r="Q108" s="158">
        <f t="shared" si="2"/>
        <v>9.4439583333333434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6.243657146368899</v>
      </c>
      <c r="C109" s="158">
        <f t="shared" ref="C109:Q109" si="3">STDEV(C9:C104)</f>
        <v>2.1831625920917639</v>
      </c>
      <c r="D109" s="158">
        <f t="shared" si="3"/>
        <v>5.3915583627507297</v>
      </c>
      <c r="E109" s="158">
        <f t="shared" si="3"/>
        <v>1.0502710594154199</v>
      </c>
      <c r="F109" s="158" t="e">
        <f t="shared" si="3"/>
        <v>#DIV/0!</v>
      </c>
      <c r="G109" s="158">
        <f t="shared" si="3"/>
        <v>8.6068663779964112</v>
      </c>
      <c r="H109" s="158">
        <f t="shared" si="3"/>
        <v>2.6780791898168199</v>
      </c>
      <c r="I109" s="158">
        <f t="shared" si="3"/>
        <v>1.7637698361996532</v>
      </c>
      <c r="J109" s="158">
        <f t="shared" si="3"/>
        <v>0.12682557264681657</v>
      </c>
      <c r="K109" s="158">
        <f t="shared" si="3"/>
        <v>72.290134061437612</v>
      </c>
      <c r="L109" s="158">
        <f t="shared" si="3"/>
        <v>3.3903648822932788</v>
      </c>
      <c r="M109" s="158">
        <f t="shared" si="3"/>
        <v>7.8185039392894184</v>
      </c>
      <c r="N109" s="158">
        <f t="shared" si="3"/>
        <v>180.46641519451174</v>
      </c>
      <c r="O109" s="158">
        <f t="shared" si="3"/>
        <v>0</v>
      </c>
      <c r="P109" s="158">
        <f t="shared" si="3"/>
        <v>0.10597169433391104</v>
      </c>
      <c r="Q109" s="158">
        <f t="shared" si="3"/>
        <v>0.3488431382265087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I104" sqref="I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2068</v>
      </c>
      <c r="B9" s="100">
        <v>7.63</v>
      </c>
      <c r="C9" s="100">
        <v>12.55</v>
      </c>
      <c r="D9" s="100">
        <v>12.68</v>
      </c>
      <c r="E9" s="100">
        <v>5.65</v>
      </c>
      <c r="F9" s="151" t="s">
        <v>8</v>
      </c>
      <c r="G9" s="100">
        <v>46.07</v>
      </c>
      <c r="H9" s="100">
        <v>15.33</v>
      </c>
      <c r="I9" s="100">
        <v>11.7</v>
      </c>
      <c r="J9" s="100">
        <v>0.12</v>
      </c>
      <c r="K9" s="100">
        <v>209.92</v>
      </c>
      <c r="L9" s="100">
        <v>18.84</v>
      </c>
      <c r="M9" s="100">
        <v>29.22</v>
      </c>
      <c r="N9" s="100">
        <v>1.5</v>
      </c>
      <c r="O9" s="100">
        <v>0</v>
      </c>
      <c r="P9" s="100">
        <v>0.65</v>
      </c>
      <c r="Q9" s="100">
        <v>9.32</v>
      </c>
      <c r="R9" s="6"/>
      <c r="S9" s="6"/>
      <c r="T9" s="156"/>
      <c r="U9" s="6"/>
    </row>
    <row r="10" spans="1:21" customFormat="1">
      <c r="A10" s="201" t="s">
        <v>2069</v>
      </c>
      <c r="B10" s="100">
        <v>7.85</v>
      </c>
      <c r="C10" s="100">
        <v>12.55</v>
      </c>
      <c r="D10" s="100">
        <v>12.85</v>
      </c>
      <c r="E10" s="100">
        <v>5.89</v>
      </c>
      <c r="F10" s="151" t="s">
        <v>8</v>
      </c>
      <c r="G10" s="100">
        <v>46.07</v>
      </c>
      <c r="H10" s="100">
        <v>15.33</v>
      </c>
      <c r="I10" s="100">
        <v>11.61</v>
      </c>
      <c r="J10" s="100">
        <v>0.1</v>
      </c>
      <c r="K10" s="100">
        <v>193.01</v>
      </c>
      <c r="L10" s="100">
        <v>17.309999999999999</v>
      </c>
      <c r="M10" s="100">
        <v>25.42</v>
      </c>
      <c r="N10" s="100">
        <v>1.4</v>
      </c>
      <c r="O10" s="100">
        <v>0</v>
      </c>
      <c r="P10" s="100">
        <v>0.64</v>
      </c>
      <c r="Q10" s="100">
        <v>9.32</v>
      </c>
      <c r="R10" s="6"/>
      <c r="S10" s="6"/>
      <c r="T10" s="156"/>
      <c r="U10" s="6"/>
    </row>
    <row r="11" spans="1:21" customFormat="1">
      <c r="A11" s="201" t="s">
        <v>2070</v>
      </c>
      <c r="B11" s="100">
        <v>8.0399999999999991</v>
      </c>
      <c r="C11" s="100">
        <v>12.45</v>
      </c>
      <c r="D11" s="100">
        <v>12.95</v>
      </c>
      <c r="E11" s="100">
        <v>5.34</v>
      </c>
      <c r="F11" s="151" t="s">
        <v>8</v>
      </c>
      <c r="G11" s="100">
        <v>45.26</v>
      </c>
      <c r="H11" s="100">
        <v>14.73</v>
      </c>
      <c r="I11" s="100">
        <v>11.54</v>
      </c>
      <c r="J11" s="100">
        <v>0.08</v>
      </c>
      <c r="K11" s="100">
        <v>158.19999999999999</v>
      </c>
      <c r="L11" s="100">
        <v>14.79</v>
      </c>
      <c r="M11" s="100">
        <v>19.170000000000002</v>
      </c>
      <c r="N11" s="100">
        <v>1.3</v>
      </c>
      <c r="O11" s="100">
        <v>0</v>
      </c>
      <c r="P11" s="100">
        <v>0.64</v>
      </c>
      <c r="Q11" s="100">
        <v>9.32</v>
      </c>
      <c r="R11" s="6"/>
      <c r="S11" s="6"/>
      <c r="T11" s="156"/>
      <c r="U11" s="6"/>
    </row>
    <row r="12" spans="1:21" customFormat="1">
      <c r="A12" s="201" t="s">
        <v>2071</v>
      </c>
      <c r="B12" s="100">
        <v>8.25</v>
      </c>
      <c r="C12" s="100">
        <v>12.4</v>
      </c>
      <c r="D12" s="100">
        <v>13.09</v>
      </c>
      <c r="E12" s="100">
        <v>5.5</v>
      </c>
      <c r="F12" s="151" t="s">
        <v>8</v>
      </c>
      <c r="G12" s="100">
        <v>37.979999999999997</v>
      </c>
      <c r="H12" s="100">
        <v>14.5</v>
      </c>
      <c r="I12" s="100">
        <v>11.31</v>
      </c>
      <c r="J12" s="100">
        <v>0.05</v>
      </c>
      <c r="K12" s="100">
        <v>147.66</v>
      </c>
      <c r="L12" s="100">
        <v>13.97</v>
      </c>
      <c r="M12" s="100">
        <v>16.95</v>
      </c>
      <c r="N12" s="100">
        <v>1.3</v>
      </c>
      <c r="O12" s="100">
        <v>0</v>
      </c>
      <c r="P12" s="100">
        <v>0.63</v>
      </c>
      <c r="Q12" s="100">
        <v>9.32</v>
      </c>
      <c r="R12" s="6"/>
      <c r="S12" s="6"/>
      <c r="T12" s="156"/>
      <c r="U12" s="6"/>
    </row>
    <row r="13" spans="1:21" customFormat="1">
      <c r="A13" s="201" t="s">
        <v>2072</v>
      </c>
      <c r="B13" s="100">
        <v>8.3800000000000008</v>
      </c>
      <c r="C13" s="100">
        <v>12.07</v>
      </c>
      <c r="D13" s="100">
        <v>13.02</v>
      </c>
      <c r="E13" s="100">
        <v>5.66</v>
      </c>
      <c r="F13" s="151" t="s">
        <v>8</v>
      </c>
      <c r="G13" s="100">
        <v>37.979999999999997</v>
      </c>
      <c r="H13" s="100">
        <v>14.5</v>
      </c>
      <c r="I13" s="100">
        <v>11.05</v>
      </c>
      <c r="J13" s="100">
        <v>0.08</v>
      </c>
      <c r="K13" s="100">
        <v>201.96</v>
      </c>
      <c r="L13" s="100">
        <v>17.66</v>
      </c>
      <c r="M13" s="100">
        <v>26.25</v>
      </c>
      <c r="N13" s="100">
        <v>1.3</v>
      </c>
      <c r="O13" s="100">
        <v>0</v>
      </c>
      <c r="P13" s="100">
        <v>0.61</v>
      </c>
      <c r="Q13" s="100">
        <v>9.32</v>
      </c>
      <c r="R13" s="6"/>
      <c r="S13" s="6"/>
      <c r="T13" s="156"/>
      <c r="U13" s="6"/>
    </row>
    <row r="14" spans="1:21" customFormat="1">
      <c r="A14" s="201" t="s">
        <v>2073</v>
      </c>
      <c r="B14" s="100">
        <v>8.42</v>
      </c>
      <c r="C14" s="100">
        <v>11.99</v>
      </c>
      <c r="D14" s="100">
        <v>13.02</v>
      </c>
      <c r="E14" s="100">
        <v>5.54</v>
      </c>
      <c r="F14" s="151" t="s">
        <v>8</v>
      </c>
      <c r="G14" s="100">
        <v>37.979999999999997</v>
      </c>
      <c r="H14" s="100">
        <v>14.5</v>
      </c>
      <c r="I14" s="100">
        <v>10.98</v>
      </c>
      <c r="J14" s="100">
        <v>0.06</v>
      </c>
      <c r="K14" s="100">
        <v>194</v>
      </c>
      <c r="L14" s="100">
        <v>17.68</v>
      </c>
      <c r="M14" s="100">
        <v>26.33</v>
      </c>
      <c r="N14" s="100">
        <v>1.3</v>
      </c>
      <c r="O14" s="100">
        <v>0</v>
      </c>
      <c r="P14" s="100">
        <v>0.61</v>
      </c>
      <c r="Q14" s="100">
        <v>9.32</v>
      </c>
      <c r="R14" s="6"/>
      <c r="S14" s="6"/>
      <c r="T14" s="156"/>
      <c r="U14" s="6"/>
    </row>
    <row r="15" spans="1:21" customFormat="1">
      <c r="A15" s="201" t="s">
        <v>2074</v>
      </c>
      <c r="B15" s="100">
        <v>8.4600000000000009</v>
      </c>
      <c r="C15" s="100">
        <v>11.86</v>
      </c>
      <c r="D15" s="100">
        <v>12.98</v>
      </c>
      <c r="E15" s="100">
        <v>5.54</v>
      </c>
      <c r="F15" s="151" t="s">
        <v>8</v>
      </c>
      <c r="G15" s="100">
        <v>37.29</v>
      </c>
      <c r="H15" s="100">
        <v>14.28</v>
      </c>
      <c r="I15" s="100">
        <v>10.9</v>
      </c>
      <c r="J15" s="100">
        <v>7.0000000000000007E-2</v>
      </c>
      <c r="K15" s="100">
        <v>185.11</v>
      </c>
      <c r="L15" s="100">
        <v>16.52</v>
      </c>
      <c r="M15" s="100">
        <v>23.48</v>
      </c>
      <c r="N15" s="100">
        <v>1.3</v>
      </c>
      <c r="O15" s="100">
        <v>0</v>
      </c>
      <c r="P15" s="100">
        <v>0.6</v>
      </c>
      <c r="Q15" s="100">
        <v>9.32</v>
      </c>
      <c r="R15" s="6"/>
      <c r="S15" s="6"/>
      <c r="T15" s="156"/>
      <c r="U15" s="6"/>
    </row>
    <row r="16" spans="1:21" customFormat="1">
      <c r="A16" s="201" t="s">
        <v>2075</v>
      </c>
      <c r="B16" s="100">
        <v>8.5</v>
      </c>
      <c r="C16" s="100">
        <v>11.89</v>
      </c>
      <c r="D16" s="100">
        <v>13.03</v>
      </c>
      <c r="E16" s="100">
        <v>5.83</v>
      </c>
      <c r="F16" s="151" t="s">
        <v>8</v>
      </c>
      <c r="G16" s="100">
        <v>30.29</v>
      </c>
      <c r="H16" s="100">
        <v>12.63</v>
      </c>
      <c r="I16" s="100">
        <v>10.75</v>
      </c>
      <c r="J16" s="100">
        <v>0.1</v>
      </c>
      <c r="K16" s="100">
        <v>165.95</v>
      </c>
      <c r="L16" s="100">
        <v>15</v>
      </c>
      <c r="M16" s="100">
        <v>19.64</v>
      </c>
      <c r="N16" s="100">
        <v>1.2</v>
      </c>
      <c r="O16" s="100">
        <v>0</v>
      </c>
      <c r="P16" s="100">
        <v>0.57999999999999996</v>
      </c>
      <c r="Q16" s="100">
        <v>9.32</v>
      </c>
      <c r="R16" s="6"/>
      <c r="S16" s="6"/>
      <c r="T16" s="156"/>
      <c r="U16" s="6"/>
    </row>
    <row r="17" spans="1:21" customFormat="1">
      <c r="A17" s="201" t="s">
        <v>2076</v>
      </c>
      <c r="B17" s="100">
        <v>8.4600000000000009</v>
      </c>
      <c r="C17" s="100">
        <v>11.92</v>
      </c>
      <c r="D17" s="100">
        <v>13.01</v>
      </c>
      <c r="E17" s="100">
        <v>4.63</v>
      </c>
      <c r="F17" s="151" t="s">
        <v>8</v>
      </c>
      <c r="G17" s="100">
        <v>30.29</v>
      </c>
      <c r="H17" s="100">
        <v>12.63</v>
      </c>
      <c r="I17" s="100">
        <v>10.64</v>
      </c>
      <c r="J17" s="100">
        <v>0.13</v>
      </c>
      <c r="K17" s="100">
        <v>196.82</v>
      </c>
      <c r="L17" s="100">
        <v>17.579999999999998</v>
      </c>
      <c r="M17" s="100">
        <v>26.11</v>
      </c>
      <c r="N17" s="100">
        <v>1.3</v>
      </c>
      <c r="O17" s="100">
        <v>0</v>
      </c>
      <c r="P17" s="100">
        <v>0.56999999999999995</v>
      </c>
      <c r="Q17" s="100">
        <v>9.32</v>
      </c>
      <c r="R17" s="6"/>
      <c r="S17" s="6"/>
      <c r="T17" s="156"/>
      <c r="U17" s="6"/>
    </row>
    <row r="18" spans="1:21" customFormat="1">
      <c r="A18" s="201" t="s">
        <v>2077</v>
      </c>
      <c r="B18" s="100">
        <v>8.3699999999999992</v>
      </c>
      <c r="C18" s="100">
        <v>11.81</v>
      </c>
      <c r="D18" s="100">
        <v>12.89</v>
      </c>
      <c r="E18" s="100">
        <v>5.71</v>
      </c>
      <c r="F18" s="151" t="s">
        <v>8</v>
      </c>
      <c r="G18" s="100">
        <v>30.29</v>
      </c>
      <c r="H18" s="100">
        <v>12.63</v>
      </c>
      <c r="I18" s="100">
        <v>10.53</v>
      </c>
      <c r="J18" s="100">
        <v>0.17</v>
      </c>
      <c r="K18" s="100">
        <v>236.12</v>
      </c>
      <c r="L18" s="100">
        <v>20.67</v>
      </c>
      <c r="M18" s="100">
        <v>33.81</v>
      </c>
      <c r="N18" s="100">
        <v>1.3</v>
      </c>
      <c r="O18" s="100">
        <v>0</v>
      </c>
      <c r="P18" s="100">
        <v>0.56999999999999995</v>
      </c>
      <c r="Q18" s="100">
        <v>9.32</v>
      </c>
      <c r="R18" s="6"/>
      <c r="S18" s="6"/>
      <c r="T18" s="156"/>
      <c r="U18" s="6"/>
    </row>
    <row r="19" spans="1:21" customFormat="1">
      <c r="A19" s="201" t="s">
        <v>2078</v>
      </c>
      <c r="B19" s="100">
        <v>8.44</v>
      </c>
      <c r="C19" s="100">
        <v>11.79</v>
      </c>
      <c r="D19" s="100">
        <v>12.93</v>
      </c>
      <c r="E19" s="100">
        <v>5.89</v>
      </c>
      <c r="F19" s="151" t="s">
        <v>8</v>
      </c>
      <c r="G19" s="100">
        <v>29.7</v>
      </c>
      <c r="H19" s="100">
        <v>12.51</v>
      </c>
      <c r="I19" s="100">
        <v>10.42</v>
      </c>
      <c r="J19" s="100">
        <v>0.19</v>
      </c>
      <c r="K19" s="100">
        <v>240.41</v>
      </c>
      <c r="L19" s="100">
        <v>21.12</v>
      </c>
      <c r="M19" s="100">
        <v>34.89</v>
      </c>
      <c r="N19" s="100">
        <v>1.4</v>
      </c>
      <c r="O19" s="100">
        <v>0</v>
      </c>
      <c r="P19" s="100">
        <v>0.55000000000000004</v>
      </c>
      <c r="Q19" s="100">
        <v>9.32</v>
      </c>
      <c r="R19" s="6"/>
      <c r="S19" s="6"/>
      <c r="T19" s="156"/>
      <c r="U19" s="6"/>
    </row>
    <row r="20" spans="1:21" customFormat="1">
      <c r="A20" s="201" t="s">
        <v>2079</v>
      </c>
      <c r="B20" s="100">
        <v>8.57</v>
      </c>
      <c r="C20" s="100">
        <v>11.71</v>
      </c>
      <c r="D20" s="100">
        <v>12.99</v>
      </c>
      <c r="E20" s="100">
        <v>5.68</v>
      </c>
      <c r="F20" s="151" t="s">
        <v>8</v>
      </c>
      <c r="G20" s="100">
        <v>24.42</v>
      </c>
      <c r="H20" s="100">
        <v>11.66</v>
      </c>
      <c r="I20" s="100">
        <v>10.3</v>
      </c>
      <c r="J20" s="100">
        <v>0.26</v>
      </c>
      <c r="K20" s="100">
        <v>237.35</v>
      </c>
      <c r="L20" s="100">
        <v>20.76</v>
      </c>
      <c r="M20" s="100">
        <v>34</v>
      </c>
      <c r="N20" s="100">
        <v>1.4</v>
      </c>
      <c r="O20" s="100">
        <v>0</v>
      </c>
      <c r="P20" s="100">
        <v>0.55000000000000004</v>
      </c>
      <c r="Q20" s="100">
        <v>9.32</v>
      </c>
      <c r="R20" s="6"/>
      <c r="S20" s="6"/>
      <c r="T20" s="156"/>
      <c r="U20" s="6"/>
    </row>
    <row r="21" spans="1:21" customFormat="1">
      <c r="A21" s="201" t="s">
        <v>2080</v>
      </c>
      <c r="B21" s="100">
        <v>8.68</v>
      </c>
      <c r="C21" s="100">
        <v>11.59</v>
      </c>
      <c r="D21" s="100">
        <v>13.01</v>
      </c>
      <c r="E21" s="100">
        <v>5.69</v>
      </c>
      <c r="F21" s="151" t="s">
        <v>8</v>
      </c>
      <c r="G21" s="100">
        <v>24.42</v>
      </c>
      <c r="H21" s="100">
        <v>11.66</v>
      </c>
      <c r="I21" s="100">
        <v>10.17</v>
      </c>
      <c r="J21" s="100">
        <v>0.17</v>
      </c>
      <c r="K21" s="100">
        <v>241.48</v>
      </c>
      <c r="L21" s="100">
        <v>21.2</v>
      </c>
      <c r="M21" s="100">
        <v>35.090000000000003</v>
      </c>
      <c r="N21" s="100">
        <v>1.7</v>
      </c>
      <c r="O21" s="100">
        <v>0</v>
      </c>
      <c r="P21" s="100">
        <v>0.54</v>
      </c>
      <c r="Q21" s="100">
        <v>9.32</v>
      </c>
      <c r="R21" s="6"/>
      <c r="S21" s="6"/>
      <c r="T21" s="156"/>
      <c r="U21" s="6"/>
    </row>
    <row r="22" spans="1:21" customFormat="1">
      <c r="A22" s="201" t="s">
        <v>2081</v>
      </c>
      <c r="B22" s="100">
        <v>8.7200000000000006</v>
      </c>
      <c r="C22" s="100">
        <v>11.39</v>
      </c>
      <c r="D22" s="100">
        <v>12.95</v>
      </c>
      <c r="E22" s="100">
        <v>5.82</v>
      </c>
      <c r="F22" s="151" t="s">
        <v>8</v>
      </c>
      <c r="G22" s="100">
        <v>24.42</v>
      </c>
      <c r="H22" s="100">
        <v>11.66</v>
      </c>
      <c r="I22" s="100">
        <v>10.1</v>
      </c>
      <c r="J22" s="100">
        <v>0.09</v>
      </c>
      <c r="K22" s="100">
        <v>218.13</v>
      </c>
      <c r="L22" s="100">
        <v>18.989999999999998</v>
      </c>
      <c r="M22" s="100">
        <v>29.62</v>
      </c>
      <c r="N22" s="100">
        <v>1.5</v>
      </c>
      <c r="O22" s="100">
        <v>0</v>
      </c>
      <c r="P22" s="100">
        <v>0.54</v>
      </c>
      <c r="Q22" s="100">
        <v>9.32</v>
      </c>
      <c r="R22" s="6"/>
      <c r="S22" s="6"/>
      <c r="T22" s="156"/>
      <c r="U22" s="6"/>
    </row>
    <row r="23" spans="1:21" customFormat="1">
      <c r="A23" s="201" t="s">
        <v>2082</v>
      </c>
      <c r="B23" s="100">
        <v>8.7799999999999994</v>
      </c>
      <c r="C23" s="100">
        <v>11.41</v>
      </c>
      <c r="D23" s="100">
        <v>13</v>
      </c>
      <c r="E23" s="100">
        <v>5.56</v>
      </c>
      <c r="F23" s="151" t="s">
        <v>8</v>
      </c>
      <c r="G23" s="100">
        <v>24.24</v>
      </c>
      <c r="H23" s="100">
        <v>11.57</v>
      </c>
      <c r="I23" s="100">
        <v>10.02</v>
      </c>
      <c r="J23" s="100">
        <v>0.11</v>
      </c>
      <c r="K23" s="100">
        <v>234.4</v>
      </c>
      <c r="L23" s="100">
        <v>20.76</v>
      </c>
      <c r="M23" s="100">
        <v>34.020000000000003</v>
      </c>
      <c r="N23" s="100">
        <v>1.5</v>
      </c>
      <c r="O23" s="100">
        <v>0</v>
      </c>
      <c r="P23" s="100">
        <v>0.53</v>
      </c>
      <c r="Q23" s="100">
        <v>9.32</v>
      </c>
      <c r="R23" s="6"/>
      <c r="S23" s="6"/>
      <c r="T23" s="156"/>
      <c r="U23" s="6"/>
    </row>
    <row r="24" spans="1:21" customFormat="1">
      <c r="A24" s="201" t="s">
        <v>2083</v>
      </c>
      <c r="B24" s="100">
        <v>8.83</v>
      </c>
      <c r="C24" s="100">
        <v>11.32</v>
      </c>
      <c r="D24" s="100">
        <v>13</v>
      </c>
      <c r="E24" s="100">
        <v>5.51</v>
      </c>
      <c r="F24" s="151" t="s">
        <v>8</v>
      </c>
      <c r="G24" s="100">
        <v>22.65</v>
      </c>
      <c r="H24" s="100">
        <v>10.94</v>
      </c>
      <c r="I24" s="100">
        <v>9.93</v>
      </c>
      <c r="J24" s="100">
        <v>0.16</v>
      </c>
      <c r="K24" s="100">
        <v>224.96</v>
      </c>
      <c r="L24" s="100">
        <v>19.559999999999999</v>
      </c>
      <c r="M24" s="100">
        <v>30.99</v>
      </c>
      <c r="N24" s="100">
        <v>1.4</v>
      </c>
      <c r="O24" s="100">
        <v>0</v>
      </c>
      <c r="P24" s="100">
        <v>0.52</v>
      </c>
      <c r="Q24" s="100">
        <v>9.32</v>
      </c>
      <c r="R24" s="6"/>
      <c r="S24" s="6"/>
      <c r="T24" s="156"/>
      <c r="U24" s="6"/>
    </row>
    <row r="25" spans="1:21" customFormat="1">
      <c r="A25" s="201" t="s">
        <v>2084</v>
      </c>
      <c r="B25" s="100">
        <v>8.9</v>
      </c>
      <c r="C25" s="100">
        <v>11.24</v>
      </c>
      <c r="D25" s="100">
        <v>13.01</v>
      </c>
      <c r="E25" s="100">
        <v>5.61</v>
      </c>
      <c r="F25" s="151" t="s">
        <v>8</v>
      </c>
      <c r="G25" s="100">
        <v>22.65</v>
      </c>
      <c r="H25" s="100">
        <v>10.94</v>
      </c>
      <c r="I25" s="100">
        <v>9.86</v>
      </c>
      <c r="J25" s="100">
        <v>0.1</v>
      </c>
      <c r="K25" s="100">
        <v>203.46</v>
      </c>
      <c r="L25" s="100">
        <v>17.8</v>
      </c>
      <c r="M25" s="100">
        <v>26.64</v>
      </c>
      <c r="N25" s="100">
        <v>1.4</v>
      </c>
      <c r="O25" s="100">
        <v>0</v>
      </c>
      <c r="P25" s="100">
        <v>0.51</v>
      </c>
      <c r="Q25" s="100">
        <v>9.32</v>
      </c>
      <c r="R25" s="6"/>
      <c r="S25" s="6"/>
      <c r="T25" s="156"/>
      <c r="U25" s="6"/>
    </row>
    <row r="26" spans="1:21" customFormat="1">
      <c r="A26" s="201" t="s">
        <v>2085</v>
      </c>
      <c r="B26" s="100">
        <v>8.9499999999999993</v>
      </c>
      <c r="C26" s="100">
        <v>11.25</v>
      </c>
      <c r="D26" s="100">
        <v>13.06</v>
      </c>
      <c r="E26" s="100">
        <v>5.6</v>
      </c>
      <c r="F26" s="151" t="s">
        <v>8</v>
      </c>
      <c r="G26" s="100">
        <v>22.65</v>
      </c>
      <c r="H26" s="100">
        <v>10.94</v>
      </c>
      <c r="I26" s="100">
        <v>9.7899999999999991</v>
      </c>
      <c r="J26" s="100">
        <v>0.12</v>
      </c>
      <c r="K26" s="100">
        <v>172.5</v>
      </c>
      <c r="L26" s="100">
        <v>15.86</v>
      </c>
      <c r="M26" s="100">
        <v>21.87</v>
      </c>
      <c r="N26" s="100">
        <v>1.3</v>
      </c>
      <c r="O26" s="100">
        <v>0</v>
      </c>
      <c r="P26" s="100">
        <v>0.51</v>
      </c>
      <c r="Q26" s="100">
        <v>9.32</v>
      </c>
      <c r="R26" s="6"/>
      <c r="S26" s="6"/>
      <c r="T26" s="156"/>
      <c r="U26" s="6"/>
    </row>
    <row r="27" spans="1:21" customFormat="1">
      <c r="A27" s="201" t="s">
        <v>2086</v>
      </c>
      <c r="B27" s="100">
        <v>9.5</v>
      </c>
      <c r="C27" s="100">
        <v>11.47</v>
      </c>
      <c r="D27" s="100">
        <v>13.61</v>
      </c>
      <c r="E27" s="100">
        <v>5.72</v>
      </c>
      <c r="F27" s="151" t="s">
        <v>8</v>
      </c>
      <c r="G27" s="100">
        <v>22.71</v>
      </c>
      <c r="H27" s="100">
        <v>10.94</v>
      </c>
      <c r="I27" s="100">
        <v>9.7200000000000006</v>
      </c>
      <c r="J27" s="100">
        <v>0.08</v>
      </c>
      <c r="K27" s="100">
        <v>86.6</v>
      </c>
      <c r="L27" s="100">
        <v>12.62</v>
      </c>
      <c r="M27" s="100">
        <v>13.62</v>
      </c>
      <c r="N27" s="100">
        <v>1.3</v>
      </c>
      <c r="O27" s="100">
        <v>0</v>
      </c>
      <c r="P27" s="100">
        <v>0.49</v>
      </c>
      <c r="Q27" s="100">
        <v>9.3699999999999992</v>
      </c>
      <c r="R27" s="6"/>
      <c r="S27" s="6"/>
      <c r="T27" s="156"/>
      <c r="U27" s="6"/>
    </row>
    <row r="28" spans="1:21" customFormat="1">
      <c r="A28" s="201" t="s">
        <v>2087</v>
      </c>
      <c r="B28" s="100">
        <v>10.51</v>
      </c>
      <c r="C28" s="100">
        <v>12.02</v>
      </c>
      <c r="D28" s="100">
        <v>14.71</v>
      </c>
      <c r="E28" s="100">
        <v>5.93</v>
      </c>
      <c r="F28" s="151" t="s">
        <v>8</v>
      </c>
      <c r="G28" s="100">
        <v>23.24</v>
      </c>
      <c r="H28" s="100">
        <v>10.92</v>
      </c>
      <c r="I28" s="100">
        <v>9.67</v>
      </c>
      <c r="J28" s="100">
        <v>0.17</v>
      </c>
      <c r="K28" s="100">
        <v>54.67</v>
      </c>
      <c r="L28" s="100">
        <v>12.11</v>
      </c>
      <c r="M28" s="100">
        <v>12.21</v>
      </c>
      <c r="N28" s="100">
        <v>1</v>
      </c>
      <c r="O28" s="100">
        <v>0</v>
      </c>
      <c r="P28" s="100">
        <v>0.48</v>
      </c>
      <c r="Q28" s="100">
        <v>9.5299999999999994</v>
      </c>
      <c r="R28" s="6"/>
      <c r="S28" s="6"/>
      <c r="T28" s="156"/>
      <c r="U28" s="6"/>
    </row>
    <row r="29" spans="1:21" customFormat="1">
      <c r="A29" s="201" t="s">
        <v>2088</v>
      </c>
      <c r="B29" s="100">
        <v>11.38</v>
      </c>
      <c r="C29" s="100">
        <v>12.36</v>
      </c>
      <c r="D29" s="100">
        <v>15.58</v>
      </c>
      <c r="E29" s="100">
        <v>5.81</v>
      </c>
      <c r="F29" s="151" t="s">
        <v>8</v>
      </c>
      <c r="G29" s="100">
        <v>23.24</v>
      </c>
      <c r="H29" s="100">
        <v>10.92</v>
      </c>
      <c r="I29" s="100">
        <v>9.67</v>
      </c>
      <c r="J29" s="100">
        <v>0.26</v>
      </c>
      <c r="K29" s="100">
        <v>31.2</v>
      </c>
      <c r="L29" s="100">
        <v>10.92</v>
      </c>
      <c r="M29" s="100">
        <v>9.1999999999999993</v>
      </c>
      <c r="N29" s="100">
        <v>1</v>
      </c>
      <c r="O29" s="100">
        <v>0</v>
      </c>
      <c r="P29" s="100">
        <v>0.48</v>
      </c>
      <c r="Q29" s="100">
        <v>9.32</v>
      </c>
      <c r="R29" s="6"/>
      <c r="S29" s="6"/>
      <c r="T29" s="156"/>
      <c r="U29" s="6"/>
    </row>
    <row r="30" spans="1:21" customFormat="1">
      <c r="A30" s="201" t="s">
        <v>2089</v>
      </c>
      <c r="B30" s="100">
        <v>11.91</v>
      </c>
      <c r="C30" s="100">
        <v>12.56</v>
      </c>
      <c r="D30" s="100">
        <v>16.11</v>
      </c>
      <c r="E30" s="100">
        <v>5.85</v>
      </c>
      <c r="F30" s="151" t="s">
        <v>8</v>
      </c>
      <c r="G30" s="100">
        <v>23.24</v>
      </c>
      <c r="H30" s="100">
        <v>10.92</v>
      </c>
      <c r="I30" s="100">
        <v>9.7200000000000006</v>
      </c>
      <c r="J30" s="100">
        <v>0.1</v>
      </c>
      <c r="K30" s="100">
        <v>55.89</v>
      </c>
      <c r="L30" s="100">
        <v>15.06</v>
      </c>
      <c r="M30" s="100">
        <v>19.54</v>
      </c>
      <c r="N30" s="100">
        <v>1.2</v>
      </c>
      <c r="O30" s="100">
        <v>0</v>
      </c>
      <c r="P30" s="100">
        <v>0.5</v>
      </c>
      <c r="Q30" s="100">
        <v>9.32</v>
      </c>
      <c r="R30" s="6"/>
      <c r="S30" s="6"/>
      <c r="T30" s="156"/>
      <c r="U30" s="6"/>
    </row>
    <row r="31" spans="1:21" customFormat="1">
      <c r="A31" s="201" t="s">
        <v>2090</v>
      </c>
      <c r="B31" s="100">
        <v>12.71</v>
      </c>
      <c r="C31" s="100">
        <v>12.88</v>
      </c>
      <c r="D31" s="100">
        <v>16.920000000000002</v>
      </c>
      <c r="E31" s="100">
        <v>5.86</v>
      </c>
      <c r="F31" s="151" t="s">
        <v>8</v>
      </c>
      <c r="G31" s="100">
        <v>24.38</v>
      </c>
      <c r="H31" s="100">
        <v>11.24</v>
      </c>
      <c r="I31" s="100">
        <v>9.93</v>
      </c>
      <c r="J31" s="100">
        <v>0.2</v>
      </c>
      <c r="K31" s="100">
        <v>34.18</v>
      </c>
      <c r="L31" s="100">
        <v>13.91</v>
      </c>
      <c r="M31" s="100">
        <v>16.7</v>
      </c>
      <c r="N31" s="100">
        <v>1.3</v>
      </c>
      <c r="O31" s="100">
        <v>0</v>
      </c>
      <c r="P31" s="100">
        <v>0.53</v>
      </c>
      <c r="Q31" s="100">
        <v>9.32</v>
      </c>
      <c r="R31" s="6"/>
      <c r="S31" s="6"/>
      <c r="T31" s="156"/>
      <c r="U31" s="6"/>
    </row>
    <row r="32" spans="1:21" customFormat="1">
      <c r="A32" s="201" t="s">
        <v>2091</v>
      </c>
      <c r="B32" s="100">
        <v>13.38</v>
      </c>
      <c r="C32" s="100">
        <v>13.22</v>
      </c>
      <c r="D32" s="100">
        <v>17.64</v>
      </c>
      <c r="E32" s="100">
        <v>5.8</v>
      </c>
      <c r="F32" s="151" t="s">
        <v>8</v>
      </c>
      <c r="G32" s="100">
        <v>34.61</v>
      </c>
      <c r="H32" s="100">
        <v>13.91</v>
      </c>
      <c r="I32" s="100">
        <v>10.36</v>
      </c>
      <c r="J32" s="100">
        <v>0.42</v>
      </c>
      <c r="K32" s="100">
        <v>42.58</v>
      </c>
      <c r="L32" s="100">
        <v>9.7100000000000009</v>
      </c>
      <c r="M32" s="100">
        <v>6.16</v>
      </c>
      <c r="N32" s="100">
        <v>1.4</v>
      </c>
      <c r="O32" s="100">
        <v>0</v>
      </c>
      <c r="P32" s="100">
        <v>0.56000000000000005</v>
      </c>
      <c r="Q32" s="100">
        <v>9.32</v>
      </c>
      <c r="R32" s="6"/>
      <c r="S32" s="6"/>
      <c r="T32" s="156"/>
      <c r="U32" s="6"/>
    </row>
    <row r="33" spans="1:21" customFormat="1">
      <c r="A33" s="201" t="s">
        <v>2092</v>
      </c>
      <c r="B33" s="100">
        <v>13.97</v>
      </c>
      <c r="C33" s="100">
        <v>13.4</v>
      </c>
      <c r="D33" s="100">
        <v>18.2</v>
      </c>
      <c r="E33" s="100">
        <v>5.74</v>
      </c>
      <c r="F33" s="151" t="s">
        <v>8</v>
      </c>
      <c r="G33" s="100">
        <v>34.61</v>
      </c>
      <c r="H33" s="100">
        <v>13.91</v>
      </c>
      <c r="I33" s="100">
        <v>10.97</v>
      </c>
      <c r="J33" s="100">
        <v>0.16</v>
      </c>
      <c r="K33" s="100">
        <v>39.299999999999997</v>
      </c>
      <c r="L33" s="100">
        <v>13.48</v>
      </c>
      <c r="M33" s="100">
        <v>15.53</v>
      </c>
      <c r="N33" s="100">
        <v>2.6</v>
      </c>
      <c r="O33" s="100">
        <v>0</v>
      </c>
      <c r="P33" s="100">
        <v>0.6</v>
      </c>
      <c r="Q33" s="100">
        <v>9.32</v>
      </c>
      <c r="R33" s="6"/>
      <c r="S33" s="6"/>
      <c r="T33" s="156"/>
      <c r="U33" s="6"/>
    </row>
    <row r="34" spans="1:21" customFormat="1">
      <c r="A34" s="201" t="s">
        <v>2093</v>
      </c>
      <c r="B34" s="100">
        <v>14.75</v>
      </c>
      <c r="C34" s="100">
        <v>13.68</v>
      </c>
      <c r="D34" s="100">
        <v>18.97</v>
      </c>
      <c r="E34" s="100">
        <v>6.06</v>
      </c>
      <c r="F34" s="151" t="s">
        <v>8</v>
      </c>
      <c r="G34" s="100">
        <v>34.61</v>
      </c>
      <c r="H34" s="100">
        <v>13.91</v>
      </c>
      <c r="I34" s="100">
        <v>11.57</v>
      </c>
      <c r="J34" s="100">
        <v>0.14000000000000001</v>
      </c>
      <c r="K34" s="100">
        <v>20.21</v>
      </c>
      <c r="L34" s="100">
        <v>15.9</v>
      </c>
      <c r="M34" s="100">
        <v>21.44</v>
      </c>
      <c r="N34" s="100">
        <v>6.9</v>
      </c>
      <c r="O34" s="100">
        <v>0</v>
      </c>
      <c r="P34" s="100">
        <v>0.63</v>
      </c>
      <c r="Q34" s="100">
        <v>9.32</v>
      </c>
      <c r="R34" s="6"/>
      <c r="S34" s="6"/>
      <c r="T34" s="156"/>
      <c r="U34" s="6"/>
    </row>
    <row r="35" spans="1:21" customFormat="1">
      <c r="A35" s="201" t="s">
        <v>2094</v>
      </c>
      <c r="B35" s="100">
        <v>15.68</v>
      </c>
      <c r="C35" s="100">
        <v>13.94</v>
      </c>
      <c r="D35" s="100">
        <v>19.86</v>
      </c>
      <c r="E35" s="100">
        <v>6.28</v>
      </c>
      <c r="F35" s="151" t="s">
        <v>8</v>
      </c>
      <c r="G35" s="100">
        <v>39.56</v>
      </c>
      <c r="H35" s="100">
        <v>14.41</v>
      </c>
      <c r="I35" s="100">
        <v>12</v>
      </c>
      <c r="J35" s="100">
        <v>0.28999999999999998</v>
      </c>
      <c r="K35" s="100">
        <v>36.950000000000003</v>
      </c>
      <c r="L35" s="100">
        <v>10.07</v>
      </c>
      <c r="M35" s="100">
        <v>6.72</v>
      </c>
      <c r="N35" s="100">
        <v>15.4</v>
      </c>
      <c r="O35" s="100">
        <v>0</v>
      </c>
      <c r="P35" s="100">
        <v>0.65</v>
      </c>
      <c r="Q35" s="100">
        <v>9.32</v>
      </c>
      <c r="R35" s="6"/>
      <c r="S35" s="6"/>
      <c r="T35" s="156"/>
      <c r="U35" s="6"/>
    </row>
    <row r="36" spans="1:21" customFormat="1">
      <c r="A36" s="201" t="s">
        <v>2095</v>
      </c>
      <c r="B36" s="100">
        <v>16.62</v>
      </c>
      <c r="C36" s="100">
        <v>14.21</v>
      </c>
      <c r="D36" s="100">
        <v>20.75</v>
      </c>
      <c r="E36" s="100">
        <v>6.03</v>
      </c>
      <c r="F36" s="151" t="s">
        <v>8</v>
      </c>
      <c r="G36" s="100">
        <v>90.27</v>
      </c>
      <c r="H36" s="100">
        <v>18.100000000000001</v>
      </c>
      <c r="I36" s="100">
        <v>12.32</v>
      </c>
      <c r="J36" s="100">
        <v>0.27</v>
      </c>
      <c r="K36" s="100">
        <v>34.26</v>
      </c>
      <c r="L36" s="100">
        <v>12.56</v>
      </c>
      <c r="M36" s="100">
        <v>12.63</v>
      </c>
      <c r="N36" s="100">
        <v>26.3</v>
      </c>
      <c r="O36" s="100">
        <v>0</v>
      </c>
      <c r="P36" s="100">
        <v>0.68</v>
      </c>
      <c r="Q36" s="100">
        <v>9.32</v>
      </c>
      <c r="R36" s="6"/>
      <c r="S36" s="6"/>
      <c r="T36" s="156"/>
      <c r="U36" s="6"/>
    </row>
    <row r="37" spans="1:21" customFormat="1">
      <c r="A37" s="201" t="s">
        <v>2096</v>
      </c>
      <c r="B37" s="100">
        <v>17.27</v>
      </c>
      <c r="C37" s="100">
        <v>14.37</v>
      </c>
      <c r="D37" s="100">
        <v>21.36</v>
      </c>
      <c r="E37" s="100">
        <v>5.99</v>
      </c>
      <c r="F37" s="151" t="s">
        <v>8</v>
      </c>
      <c r="G37" s="100">
        <v>90.27</v>
      </c>
      <c r="H37" s="100">
        <v>18.100000000000001</v>
      </c>
      <c r="I37" s="100">
        <v>12.61</v>
      </c>
      <c r="J37" s="100">
        <v>0.15</v>
      </c>
      <c r="K37" s="100">
        <v>50.76</v>
      </c>
      <c r="L37" s="100">
        <v>12.66</v>
      </c>
      <c r="M37" s="100">
        <v>12.85</v>
      </c>
      <c r="N37" s="100">
        <v>38.9</v>
      </c>
      <c r="O37" s="100">
        <v>0</v>
      </c>
      <c r="P37" s="100">
        <v>0.69</v>
      </c>
      <c r="Q37" s="100">
        <v>9.32</v>
      </c>
      <c r="R37" s="6"/>
      <c r="S37" s="6"/>
      <c r="T37" s="156"/>
      <c r="U37" s="6"/>
    </row>
    <row r="38" spans="1:21" customFormat="1">
      <c r="A38" s="201" t="s">
        <v>2097</v>
      </c>
      <c r="B38" s="100">
        <v>17.63</v>
      </c>
      <c r="C38" s="100">
        <v>14.68</v>
      </c>
      <c r="D38" s="100">
        <v>21.81</v>
      </c>
      <c r="E38" s="100">
        <v>6.32</v>
      </c>
      <c r="F38" s="151" t="s">
        <v>8</v>
      </c>
      <c r="G38" s="100">
        <v>90.27</v>
      </c>
      <c r="H38" s="100">
        <v>18.100000000000001</v>
      </c>
      <c r="I38" s="100">
        <v>12.87</v>
      </c>
      <c r="J38" s="100">
        <v>0.33</v>
      </c>
      <c r="K38" s="100">
        <v>44.19</v>
      </c>
      <c r="L38" s="100">
        <v>11.56</v>
      </c>
      <c r="M38" s="100">
        <v>9.5500000000000007</v>
      </c>
      <c r="N38" s="100">
        <v>52.6</v>
      </c>
      <c r="O38" s="100">
        <v>0</v>
      </c>
      <c r="P38" s="100">
        <v>0.71</v>
      </c>
      <c r="Q38" s="100">
        <v>9.32</v>
      </c>
      <c r="R38" s="6"/>
      <c r="S38" s="6"/>
      <c r="T38" s="156"/>
      <c r="U38" s="6"/>
    </row>
    <row r="39" spans="1:21" customFormat="1">
      <c r="A39" s="201" t="s">
        <v>2098</v>
      </c>
      <c r="B39" s="100">
        <v>17.7</v>
      </c>
      <c r="C39" s="100">
        <v>15.15</v>
      </c>
      <c r="D39" s="100">
        <v>22.11</v>
      </c>
      <c r="E39" s="100">
        <v>4.25</v>
      </c>
      <c r="F39" s="151" t="s">
        <v>8</v>
      </c>
      <c r="G39" s="100">
        <v>88.76</v>
      </c>
      <c r="H39" s="100">
        <v>18.57</v>
      </c>
      <c r="I39" s="100">
        <v>13.33</v>
      </c>
      <c r="J39" s="100">
        <v>0.5</v>
      </c>
      <c r="K39" s="100">
        <v>10.09</v>
      </c>
      <c r="L39" s="100">
        <v>13.62</v>
      </c>
      <c r="M39" s="100">
        <v>14.2</v>
      </c>
      <c r="N39" s="100">
        <v>66.599999999999994</v>
      </c>
      <c r="O39" s="100">
        <v>0</v>
      </c>
      <c r="P39" s="100">
        <v>0.73</v>
      </c>
      <c r="Q39" s="100">
        <v>9.32</v>
      </c>
      <c r="R39" s="6"/>
      <c r="S39" s="6"/>
      <c r="T39" s="156"/>
      <c r="U39" s="6"/>
    </row>
    <row r="40" spans="1:21" customFormat="1">
      <c r="A40" s="201" t="s">
        <v>2099</v>
      </c>
      <c r="B40" s="100">
        <v>17.649999999999999</v>
      </c>
      <c r="C40" s="100">
        <v>15.8</v>
      </c>
      <c r="D40" s="100">
        <v>22.41</v>
      </c>
      <c r="E40" s="100">
        <v>6.02</v>
      </c>
      <c r="F40" s="151" t="s">
        <v>8</v>
      </c>
      <c r="G40" s="100">
        <v>75.17</v>
      </c>
      <c r="H40" s="100">
        <v>22</v>
      </c>
      <c r="I40" s="100">
        <v>13.56</v>
      </c>
      <c r="J40" s="100">
        <v>0.38</v>
      </c>
      <c r="K40" s="100">
        <v>35.409999999999997</v>
      </c>
      <c r="L40" s="100">
        <v>10.92</v>
      </c>
      <c r="M40" s="100">
        <v>5.92</v>
      </c>
      <c r="N40" s="100">
        <v>140.19999999999999</v>
      </c>
      <c r="O40" s="100">
        <v>0</v>
      </c>
      <c r="P40" s="100">
        <v>0.74</v>
      </c>
      <c r="Q40" s="100">
        <v>9.32</v>
      </c>
      <c r="R40" s="6"/>
      <c r="S40" s="6"/>
      <c r="T40" s="156"/>
      <c r="U40" s="6"/>
    </row>
    <row r="41" spans="1:21" customFormat="1">
      <c r="A41" s="201" t="s">
        <v>2100</v>
      </c>
      <c r="B41" s="100">
        <v>17.3</v>
      </c>
      <c r="C41" s="100">
        <v>16.079999999999998</v>
      </c>
      <c r="D41" s="100">
        <v>22.27</v>
      </c>
      <c r="E41" s="100">
        <v>6.1</v>
      </c>
      <c r="F41" s="151" t="s">
        <v>8</v>
      </c>
      <c r="G41" s="100">
        <v>75.17</v>
      </c>
      <c r="H41" s="100">
        <v>22</v>
      </c>
      <c r="I41" s="100">
        <v>13.7</v>
      </c>
      <c r="J41" s="100">
        <v>0.64</v>
      </c>
      <c r="K41" s="100">
        <v>55.06</v>
      </c>
      <c r="L41" s="100">
        <v>9.15</v>
      </c>
      <c r="M41" s="100">
        <v>0.47</v>
      </c>
      <c r="N41" s="100">
        <v>189.2</v>
      </c>
      <c r="O41" s="100">
        <v>0</v>
      </c>
      <c r="P41" s="100">
        <v>0.75</v>
      </c>
      <c r="Q41" s="100">
        <v>9.32</v>
      </c>
      <c r="R41" s="6"/>
      <c r="S41" s="6"/>
      <c r="T41" s="156"/>
      <c r="U41" s="6"/>
    </row>
    <row r="42" spans="1:21" customFormat="1">
      <c r="A42" s="201" t="s">
        <v>2101</v>
      </c>
      <c r="B42" s="100">
        <v>16.57</v>
      </c>
      <c r="C42" s="100">
        <v>16.190000000000001</v>
      </c>
      <c r="D42" s="100">
        <v>21.75</v>
      </c>
      <c r="E42" s="100">
        <v>5.94</v>
      </c>
      <c r="F42" s="151" t="s">
        <v>8</v>
      </c>
      <c r="G42" s="100">
        <v>75.17</v>
      </c>
      <c r="H42" s="100">
        <v>22</v>
      </c>
      <c r="I42" s="100">
        <v>14.01</v>
      </c>
      <c r="J42" s="100">
        <v>0.66</v>
      </c>
      <c r="K42" s="100">
        <v>43.98</v>
      </c>
      <c r="L42" s="100">
        <v>9.74</v>
      </c>
      <c r="M42" s="100">
        <v>0.89</v>
      </c>
      <c r="N42" s="100">
        <v>232.1</v>
      </c>
      <c r="O42" s="100">
        <v>0</v>
      </c>
      <c r="P42" s="100">
        <v>0.76</v>
      </c>
      <c r="Q42" s="100">
        <v>9.32</v>
      </c>
      <c r="R42" s="6"/>
      <c r="S42" s="6"/>
      <c r="T42" s="156"/>
      <c r="U42" s="6"/>
    </row>
    <row r="43" spans="1:21" customFormat="1">
      <c r="A43" s="201" t="s">
        <v>2102</v>
      </c>
      <c r="B43" s="100">
        <v>15.91</v>
      </c>
      <c r="C43" s="100">
        <v>16.48</v>
      </c>
      <c r="D43" s="100">
        <v>21.37</v>
      </c>
      <c r="E43" s="100">
        <v>6.06</v>
      </c>
      <c r="F43" s="151" t="s">
        <v>8</v>
      </c>
      <c r="G43" s="100">
        <v>74.44</v>
      </c>
      <c r="H43" s="100">
        <v>21.89</v>
      </c>
      <c r="I43" s="100">
        <v>14.08</v>
      </c>
      <c r="J43" s="100">
        <v>0.43</v>
      </c>
      <c r="K43" s="100">
        <v>26.81</v>
      </c>
      <c r="L43" s="100">
        <v>14.27</v>
      </c>
      <c r="M43" s="100">
        <v>11.32</v>
      </c>
      <c r="N43" s="100">
        <v>266.10000000000002</v>
      </c>
      <c r="O43" s="100">
        <v>0</v>
      </c>
      <c r="P43" s="100">
        <v>0.76</v>
      </c>
      <c r="Q43" s="100">
        <v>9.32</v>
      </c>
      <c r="R43" s="6"/>
      <c r="S43" s="6"/>
      <c r="T43" s="156"/>
      <c r="U43" s="6"/>
    </row>
    <row r="44" spans="1:21" customFormat="1">
      <c r="A44" s="201" t="s">
        <v>2103</v>
      </c>
      <c r="B44" s="100">
        <v>15.24</v>
      </c>
      <c r="C44" s="100">
        <v>16.63</v>
      </c>
      <c r="D44" s="100">
        <v>20.91</v>
      </c>
      <c r="E44" s="100">
        <v>5.86</v>
      </c>
      <c r="F44" s="151" t="s">
        <v>8</v>
      </c>
      <c r="G44" s="100">
        <v>67.88</v>
      </c>
      <c r="H44" s="100">
        <v>21.15</v>
      </c>
      <c r="I44" s="100">
        <v>14.12</v>
      </c>
      <c r="J44" s="100">
        <v>0.72</v>
      </c>
      <c r="K44" s="100">
        <v>2.52</v>
      </c>
      <c r="L44" s="100">
        <v>19.53</v>
      </c>
      <c r="M44" s="100">
        <v>23.46</v>
      </c>
      <c r="N44" s="100">
        <v>300.5</v>
      </c>
      <c r="O44" s="100">
        <v>0</v>
      </c>
      <c r="P44" s="100">
        <v>0.76</v>
      </c>
      <c r="Q44" s="100">
        <v>9.32</v>
      </c>
      <c r="R44" s="6"/>
      <c r="S44" s="6"/>
      <c r="T44" s="156"/>
      <c r="U44" s="6"/>
    </row>
    <row r="45" spans="1:21" customFormat="1">
      <c r="A45" s="201" t="s">
        <v>2104</v>
      </c>
      <c r="B45" s="100">
        <v>14.41</v>
      </c>
      <c r="C45" s="100">
        <v>16.89</v>
      </c>
      <c r="D45" s="100">
        <v>20.38</v>
      </c>
      <c r="E45" s="100">
        <v>6.04</v>
      </c>
      <c r="F45" s="151" t="s">
        <v>8</v>
      </c>
      <c r="G45" s="100">
        <v>67.88</v>
      </c>
      <c r="H45" s="100">
        <v>21.15</v>
      </c>
      <c r="I45" s="100">
        <v>14.11</v>
      </c>
      <c r="J45" s="100">
        <v>0.66</v>
      </c>
      <c r="K45" s="100">
        <v>30.76</v>
      </c>
      <c r="L45" s="100">
        <v>15.76</v>
      </c>
      <c r="M45" s="100">
        <v>12.71</v>
      </c>
      <c r="N45" s="100">
        <v>334.6</v>
      </c>
      <c r="O45" s="100">
        <v>0</v>
      </c>
      <c r="P45" s="100">
        <v>0.76</v>
      </c>
      <c r="Q45" s="100">
        <v>9.32</v>
      </c>
      <c r="R45" s="6"/>
      <c r="S45" s="6"/>
      <c r="T45" s="156"/>
      <c r="U45" s="6"/>
    </row>
    <row r="46" spans="1:21" customFormat="1">
      <c r="A46" s="201" t="s">
        <v>2105</v>
      </c>
      <c r="B46" s="100">
        <v>13.44</v>
      </c>
      <c r="C46" s="100">
        <v>17.309999999999999</v>
      </c>
      <c r="D46" s="100">
        <v>19.82</v>
      </c>
      <c r="E46" s="100">
        <v>5.98</v>
      </c>
      <c r="F46" s="151" t="s">
        <v>8</v>
      </c>
      <c r="G46" s="100">
        <v>67.88</v>
      </c>
      <c r="H46" s="100">
        <v>21.15</v>
      </c>
      <c r="I46" s="100">
        <v>14.08</v>
      </c>
      <c r="J46" s="100">
        <v>0.67</v>
      </c>
      <c r="K46" s="100">
        <v>22.52</v>
      </c>
      <c r="L46" s="100">
        <v>15.03</v>
      </c>
      <c r="M46" s="100">
        <v>9.85</v>
      </c>
      <c r="N46" s="100">
        <v>376.9</v>
      </c>
      <c r="O46" s="100">
        <v>0</v>
      </c>
      <c r="P46" s="100">
        <v>0.76</v>
      </c>
      <c r="Q46" s="100">
        <v>9.32</v>
      </c>
      <c r="R46" s="6"/>
      <c r="S46" s="6"/>
      <c r="T46" s="156"/>
      <c r="U46" s="6"/>
    </row>
    <row r="47" spans="1:21" customFormat="1">
      <c r="A47" s="201" t="s">
        <v>2106</v>
      </c>
      <c r="B47" s="100">
        <v>12.63</v>
      </c>
      <c r="C47" s="100">
        <v>17.75</v>
      </c>
      <c r="D47" s="100">
        <v>19.399999999999999</v>
      </c>
      <c r="E47" s="100">
        <v>6.54</v>
      </c>
      <c r="F47" s="151" t="s">
        <v>8</v>
      </c>
      <c r="G47" s="100">
        <v>67.02</v>
      </c>
      <c r="H47" s="100">
        <v>21.12</v>
      </c>
      <c r="I47" s="100">
        <v>14.03</v>
      </c>
      <c r="J47" s="100">
        <v>0.82</v>
      </c>
      <c r="K47" s="100">
        <v>44.15</v>
      </c>
      <c r="L47" s="100">
        <v>10.37</v>
      </c>
      <c r="M47" s="100">
        <v>1.6</v>
      </c>
      <c r="N47" s="100">
        <v>265.89999999999998</v>
      </c>
      <c r="O47" s="100">
        <v>0</v>
      </c>
      <c r="P47" s="100">
        <v>0.78</v>
      </c>
      <c r="Q47" s="100">
        <v>9.32</v>
      </c>
      <c r="R47" s="6"/>
      <c r="S47" s="6"/>
      <c r="T47" s="156"/>
      <c r="U47" s="6"/>
    </row>
    <row r="48" spans="1:21" customFormat="1">
      <c r="A48" s="201" t="s">
        <v>2107</v>
      </c>
      <c r="B48" s="100">
        <v>12.16</v>
      </c>
      <c r="C48" s="100">
        <v>17.78</v>
      </c>
      <c r="D48" s="100">
        <v>19.04</v>
      </c>
      <c r="E48" s="100">
        <v>6.41</v>
      </c>
      <c r="F48" s="151" t="s">
        <v>8</v>
      </c>
      <c r="G48" s="100">
        <v>59.26</v>
      </c>
      <c r="H48" s="100">
        <v>20.89</v>
      </c>
      <c r="I48" s="100">
        <v>13.96</v>
      </c>
      <c r="J48" s="100">
        <v>0.37</v>
      </c>
      <c r="K48" s="100">
        <v>23.22</v>
      </c>
      <c r="L48" s="100">
        <v>16.02</v>
      </c>
      <c r="M48" s="100">
        <v>13.69</v>
      </c>
      <c r="N48" s="100">
        <v>355.4</v>
      </c>
      <c r="O48" s="100">
        <v>0</v>
      </c>
      <c r="P48" s="100">
        <v>0.78</v>
      </c>
      <c r="Q48" s="100">
        <v>9.32</v>
      </c>
      <c r="R48" s="6"/>
      <c r="S48" s="6"/>
      <c r="T48" s="156"/>
      <c r="U48" s="6"/>
    </row>
    <row r="49" spans="1:21" customFormat="1">
      <c r="A49" s="201" t="s">
        <v>2108</v>
      </c>
      <c r="B49" s="100">
        <v>11.61</v>
      </c>
      <c r="C49" s="100">
        <v>17.52</v>
      </c>
      <c r="D49" s="100">
        <v>18.46</v>
      </c>
      <c r="E49" s="100">
        <v>4.97</v>
      </c>
      <c r="F49" s="151" t="s">
        <v>8</v>
      </c>
      <c r="G49" s="100">
        <v>59.26</v>
      </c>
      <c r="H49" s="100">
        <v>20.89</v>
      </c>
      <c r="I49" s="100">
        <v>13.85</v>
      </c>
      <c r="J49" s="100">
        <v>0.22</v>
      </c>
      <c r="K49" s="100">
        <v>38.08</v>
      </c>
      <c r="L49" s="100">
        <v>17.89</v>
      </c>
      <c r="M49" s="100">
        <v>16.309999999999999</v>
      </c>
      <c r="N49" s="100">
        <v>443.9</v>
      </c>
      <c r="O49" s="100">
        <v>0</v>
      </c>
      <c r="P49" s="100">
        <v>0.79</v>
      </c>
      <c r="Q49" s="100">
        <v>9.32</v>
      </c>
      <c r="R49" s="6"/>
      <c r="S49" s="6"/>
      <c r="T49" s="156"/>
      <c r="U49" s="6"/>
    </row>
    <row r="50" spans="1:21" customFormat="1">
      <c r="A50" s="201" t="s">
        <v>2109</v>
      </c>
      <c r="B50" s="100">
        <v>10.88</v>
      </c>
      <c r="C50" s="100">
        <v>17.21</v>
      </c>
      <c r="D50" s="100">
        <v>17.72</v>
      </c>
      <c r="E50" s="100">
        <v>5.97</v>
      </c>
      <c r="F50" s="151" t="s">
        <v>8</v>
      </c>
      <c r="G50" s="100">
        <v>59.26</v>
      </c>
      <c r="H50" s="100">
        <v>20.89</v>
      </c>
      <c r="I50" s="100">
        <v>13.54</v>
      </c>
      <c r="J50" s="100">
        <v>0.28000000000000003</v>
      </c>
      <c r="K50" s="100">
        <v>98.02</v>
      </c>
      <c r="L50" s="100">
        <v>16.52</v>
      </c>
      <c r="M50" s="100">
        <v>12.87</v>
      </c>
      <c r="N50" s="100">
        <v>450.2</v>
      </c>
      <c r="O50" s="100">
        <v>0</v>
      </c>
      <c r="P50" s="100">
        <v>0.78</v>
      </c>
      <c r="Q50" s="100">
        <v>9.32</v>
      </c>
      <c r="R50" s="6"/>
      <c r="S50" s="6"/>
      <c r="T50" s="156"/>
      <c r="U50" s="6"/>
    </row>
    <row r="51" spans="1:21" customFormat="1">
      <c r="A51" s="201" t="s">
        <v>2110</v>
      </c>
      <c r="B51" s="100">
        <v>10.01</v>
      </c>
      <c r="C51" s="100">
        <v>17.010000000000002</v>
      </c>
      <c r="D51" s="100">
        <v>16.91</v>
      </c>
      <c r="E51" s="100">
        <v>5.68</v>
      </c>
      <c r="F51" s="151" t="s">
        <v>8</v>
      </c>
      <c r="G51" s="100">
        <v>57.65</v>
      </c>
      <c r="H51" s="100">
        <v>20.62</v>
      </c>
      <c r="I51" s="100">
        <v>13.21</v>
      </c>
      <c r="J51" s="100">
        <v>0.32</v>
      </c>
      <c r="K51" s="100">
        <v>147.74</v>
      </c>
      <c r="L51" s="100">
        <v>18.02</v>
      </c>
      <c r="M51" s="100">
        <v>15.32</v>
      </c>
      <c r="N51" s="100">
        <v>507.9</v>
      </c>
      <c r="O51" s="100">
        <v>0</v>
      </c>
      <c r="P51" s="100">
        <v>0.77</v>
      </c>
      <c r="Q51" s="100">
        <v>9.32</v>
      </c>
      <c r="R51" s="6"/>
      <c r="S51" s="6"/>
      <c r="T51" s="156"/>
      <c r="U51" s="6"/>
    </row>
    <row r="52" spans="1:21" customFormat="1">
      <c r="A52" s="201" t="s">
        <v>2111</v>
      </c>
      <c r="B52" s="100">
        <v>9.16</v>
      </c>
      <c r="C52" s="100">
        <v>16.73</v>
      </c>
      <c r="D52" s="100">
        <v>16.079999999999998</v>
      </c>
      <c r="E52" s="100">
        <v>5.6</v>
      </c>
      <c r="F52" s="151" t="s">
        <v>8</v>
      </c>
      <c r="G52" s="100">
        <v>43.16</v>
      </c>
      <c r="H52" s="100">
        <v>18.71</v>
      </c>
      <c r="I52" s="100">
        <v>13.11</v>
      </c>
      <c r="J52" s="100">
        <v>0.37</v>
      </c>
      <c r="K52" s="100">
        <v>61.4</v>
      </c>
      <c r="L52" s="100">
        <v>17.309999999999999</v>
      </c>
      <c r="M52" s="100">
        <v>14.7</v>
      </c>
      <c r="N52" s="100">
        <v>452</v>
      </c>
      <c r="O52" s="100">
        <v>0</v>
      </c>
      <c r="P52" s="100">
        <v>0.76</v>
      </c>
      <c r="Q52" s="100">
        <v>9.32</v>
      </c>
      <c r="R52" s="6"/>
      <c r="S52" s="6"/>
      <c r="T52" s="156"/>
      <c r="U52" s="6"/>
    </row>
    <row r="53" spans="1:21" customFormat="1">
      <c r="A53" s="201" t="s">
        <v>2112</v>
      </c>
      <c r="B53" s="100">
        <v>8.34</v>
      </c>
      <c r="C53" s="100">
        <v>16.53</v>
      </c>
      <c r="D53" s="100">
        <v>15.32</v>
      </c>
      <c r="E53" s="100">
        <v>6.08</v>
      </c>
      <c r="F53" s="151" t="s">
        <v>8</v>
      </c>
      <c r="G53" s="100">
        <v>43.16</v>
      </c>
      <c r="H53" s="100">
        <v>18.71</v>
      </c>
      <c r="I53" s="100">
        <v>13.01</v>
      </c>
      <c r="J53" s="100">
        <v>0.51</v>
      </c>
      <c r="K53" s="100">
        <v>18.13</v>
      </c>
      <c r="L53" s="100">
        <v>18.440000000000001</v>
      </c>
      <c r="M53" s="100">
        <v>15.99</v>
      </c>
      <c r="N53" s="100">
        <v>512.70000000000005</v>
      </c>
      <c r="O53" s="100">
        <v>0</v>
      </c>
      <c r="P53" s="100">
        <v>0.75</v>
      </c>
      <c r="Q53" s="100">
        <v>9.4</v>
      </c>
      <c r="R53" s="6"/>
      <c r="S53" s="6"/>
      <c r="T53" s="156"/>
      <c r="U53" s="6"/>
    </row>
    <row r="54" spans="1:21" customFormat="1">
      <c r="A54" s="201" t="s">
        <v>2113</v>
      </c>
      <c r="B54" s="100">
        <v>7.59</v>
      </c>
      <c r="C54" s="100">
        <v>16.34</v>
      </c>
      <c r="D54" s="100">
        <v>14.62</v>
      </c>
      <c r="E54" s="100">
        <v>5.88</v>
      </c>
      <c r="F54" s="151" t="s">
        <v>8</v>
      </c>
      <c r="G54" s="100">
        <v>43.16</v>
      </c>
      <c r="H54" s="100">
        <v>18.71</v>
      </c>
      <c r="I54" s="100">
        <v>12.85</v>
      </c>
      <c r="J54" s="100">
        <v>0.37</v>
      </c>
      <c r="K54" s="100">
        <v>15.84</v>
      </c>
      <c r="L54" s="100">
        <v>19.8</v>
      </c>
      <c r="M54" s="100">
        <v>18.55</v>
      </c>
      <c r="N54" s="100">
        <v>554.9</v>
      </c>
      <c r="O54" s="100">
        <v>0</v>
      </c>
      <c r="P54" s="100">
        <v>0.75</v>
      </c>
      <c r="Q54" s="100">
        <v>9.56</v>
      </c>
      <c r="R54" s="6"/>
      <c r="S54" s="6"/>
      <c r="T54" s="156"/>
      <c r="U54" s="6"/>
    </row>
    <row r="55" spans="1:21" customFormat="1">
      <c r="A55" s="201" t="s">
        <v>2114</v>
      </c>
      <c r="B55" s="100">
        <v>6.92</v>
      </c>
      <c r="C55" s="100">
        <v>16.079999999999998</v>
      </c>
      <c r="D55" s="100">
        <v>13.95</v>
      </c>
      <c r="E55" s="100">
        <v>5.69</v>
      </c>
      <c r="F55" s="151" t="s">
        <v>8</v>
      </c>
      <c r="G55" s="100">
        <v>42.45</v>
      </c>
      <c r="H55" s="100">
        <v>18.22</v>
      </c>
      <c r="I55" s="100">
        <v>12.72</v>
      </c>
      <c r="J55" s="100">
        <v>0.24</v>
      </c>
      <c r="K55" s="100">
        <v>359.39</v>
      </c>
      <c r="L55" s="100">
        <v>20.92</v>
      </c>
      <c r="M55" s="100">
        <v>21.65</v>
      </c>
      <c r="N55" s="100">
        <v>544.5</v>
      </c>
      <c r="O55" s="100">
        <v>0</v>
      </c>
      <c r="P55" s="100">
        <v>0.73</v>
      </c>
      <c r="Q55" s="100">
        <v>9.56</v>
      </c>
      <c r="R55" s="6"/>
      <c r="S55" s="6"/>
      <c r="T55" s="156"/>
      <c r="U55" s="6"/>
    </row>
    <row r="56" spans="1:21" customFormat="1">
      <c r="A56" s="201" t="s">
        <v>2115</v>
      </c>
      <c r="B56" s="100">
        <v>6.33</v>
      </c>
      <c r="C56" s="100">
        <v>15.75</v>
      </c>
      <c r="D56" s="100">
        <v>13.3</v>
      </c>
      <c r="E56" s="100">
        <v>5.94</v>
      </c>
      <c r="F56" s="151" t="s">
        <v>8</v>
      </c>
      <c r="G56" s="100">
        <v>36.01</v>
      </c>
      <c r="H56" s="100">
        <v>14.21</v>
      </c>
      <c r="I56" s="100">
        <v>12.59</v>
      </c>
      <c r="J56" s="100">
        <v>0.23</v>
      </c>
      <c r="K56" s="100">
        <v>52.3</v>
      </c>
      <c r="L56" s="100">
        <v>19.89</v>
      </c>
      <c r="M56" s="100">
        <v>19.079999999999998</v>
      </c>
      <c r="N56" s="100">
        <v>541.9</v>
      </c>
      <c r="O56" s="100">
        <v>0</v>
      </c>
      <c r="P56" s="100">
        <v>0.71</v>
      </c>
      <c r="Q56" s="100">
        <v>9.77</v>
      </c>
      <c r="R56" s="6"/>
      <c r="S56" s="6"/>
      <c r="T56" s="156"/>
      <c r="U56" s="6"/>
    </row>
    <row r="57" spans="1:21" customFormat="1">
      <c r="A57" s="201" t="s">
        <v>2116</v>
      </c>
      <c r="B57" s="100">
        <v>5.82</v>
      </c>
      <c r="C57" s="100">
        <v>15.47</v>
      </c>
      <c r="D57" s="100">
        <v>12.75</v>
      </c>
      <c r="E57" s="100">
        <v>6.03</v>
      </c>
      <c r="F57" s="151" t="s">
        <v>8</v>
      </c>
      <c r="G57" s="100">
        <v>36.01</v>
      </c>
      <c r="H57" s="100">
        <v>14.21</v>
      </c>
      <c r="I57" s="100">
        <v>12.37</v>
      </c>
      <c r="J57" s="100">
        <v>0.27</v>
      </c>
      <c r="K57" s="100">
        <v>86.75</v>
      </c>
      <c r="L57" s="100">
        <v>15.59</v>
      </c>
      <c r="M57" s="100">
        <v>8.44</v>
      </c>
      <c r="N57" s="100">
        <v>536.6</v>
      </c>
      <c r="O57" s="100">
        <v>0</v>
      </c>
      <c r="P57" s="100">
        <v>0.71</v>
      </c>
      <c r="Q57" s="100">
        <v>10.09</v>
      </c>
      <c r="R57" s="6"/>
      <c r="S57" s="6"/>
      <c r="T57" s="156"/>
      <c r="U57" s="6"/>
    </row>
    <row r="58" spans="1:21" customFormat="1">
      <c r="A58" s="201" t="s">
        <v>2117</v>
      </c>
      <c r="B58" s="100">
        <v>5.33</v>
      </c>
      <c r="C58" s="100">
        <v>14.9</v>
      </c>
      <c r="D58" s="100">
        <v>12.06</v>
      </c>
      <c r="E58" s="100">
        <v>5.87</v>
      </c>
      <c r="F58" s="151" t="s">
        <v>8</v>
      </c>
      <c r="G58" s="100">
        <v>36.01</v>
      </c>
      <c r="H58" s="100">
        <v>14.21</v>
      </c>
      <c r="I58" s="100">
        <v>12.18</v>
      </c>
      <c r="J58" s="100">
        <v>0.39</v>
      </c>
      <c r="K58" s="100">
        <v>204.5</v>
      </c>
      <c r="L58" s="100">
        <v>23.93</v>
      </c>
      <c r="M58" s="100">
        <v>29.63</v>
      </c>
      <c r="N58" s="100">
        <v>528.5</v>
      </c>
      <c r="O58" s="100">
        <v>0</v>
      </c>
      <c r="P58" s="100">
        <v>0.68</v>
      </c>
      <c r="Q58" s="100">
        <v>9.67</v>
      </c>
      <c r="R58" s="6"/>
      <c r="S58" s="6"/>
      <c r="T58" s="156"/>
      <c r="U58" s="6"/>
    </row>
    <row r="59" spans="1:21" customFormat="1">
      <c r="A59" s="201" t="s">
        <v>2118</v>
      </c>
      <c r="B59" s="100">
        <v>4.83</v>
      </c>
      <c r="C59" s="100">
        <v>14.53</v>
      </c>
      <c r="D59" s="100">
        <v>11.47</v>
      </c>
      <c r="E59" s="100">
        <v>5.79</v>
      </c>
      <c r="F59" s="151" t="s">
        <v>8</v>
      </c>
      <c r="G59" s="100">
        <v>35.11</v>
      </c>
      <c r="H59" s="100">
        <v>13.85</v>
      </c>
      <c r="I59" s="100">
        <v>12.07</v>
      </c>
      <c r="J59" s="100">
        <v>0.05</v>
      </c>
      <c r="K59" s="100">
        <v>334.9</v>
      </c>
      <c r="L59" s="100">
        <v>20.6</v>
      </c>
      <c r="M59" s="100">
        <v>21.69</v>
      </c>
      <c r="N59" s="100">
        <v>506.2</v>
      </c>
      <c r="O59" s="100">
        <v>0</v>
      </c>
      <c r="P59" s="100">
        <v>0.67</v>
      </c>
      <c r="Q59" s="100">
        <v>9.3699999999999992</v>
      </c>
      <c r="R59" s="6"/>
      <c r="S59" s="6"/>
      <c r="T59" s="156"/>
      <c r="U59" s="6"/>
    </row>
    <row r="60" spans="1:21" customFormat="1">
      <c r="A60" s="201" t="s">
        <v>2119</v>
      </c>
      <c r="B60" s="100">
        <v>4.4400000000000004</v>
      </c>
      <c r="C60" s="100">
        <v>13.94</v>
      </c>
      <c r="D60" s="100">
        <v>10.84</v>
      </c>
      <c r="E60" s="100">
        <v>6.13</v>
      </c>
      <c r="F60" s="151" t="s">
        <v>8</v>
      </c>
      <c r="G60" s="100">
        <v>25.94</v>
      </c>
      <c r="H60" s="100">
        <v>11.2</v>
      </c>
      <c r="I60" s="100">
        <v>11.85</v>
      </c>
      <c r="J60" s="100">
        <v>0.33</v>
      </c>
      <c r="K60" s="100">
        <v>310.38</v>
      </c>
      <c r="L60" s="100">
        <v>25.18</v>
      </c>
      <c r="M60" s="100">
        <v>33.33</v>
      </c>
      <c r="N60" s="100">
        <v>495.1</v>
      </c>
      <c r="O60" s="100">
        <v>0</v>
      </c>
      <c r="P60" s="100">
        <v>0.65</v>
      </c>
      <c r="Q60" s="100">
        <v>9.32</v>
      </c>
      <c r="R60" s="6"/>
      <c r="S60" s="6"/>
      <c r="T60" s="156"/>
      <c r="U60" s="6"/>
    </row>
    <row r="61" spans="1:21" customFormat="1">
      <c r="A61" s="201" t="s">
        <v>2120</v>
      </c>
      <c r="B61" s="100">
        <v>4.22</v>
      </c>
      <c r="C61" s="100">
        <v>13.66</v>
      </c>
      <c r="D61" s="100">
        <v>10.52</v>
      </c>
      <c r="E61" s="100">
        <v>6.03</v>
      </c>
      <c r="F61" s="151" t="s">
        <v>8</v>
      </c>
      <c r="G61" s="100">
        <v>25.94</v>
      </c>
      <c r="H61" s="100">
        <v>11.2</v>
      </c>
      <c r="I61" s="100">
        <v>11.55</v>
      </c>
      <c r="J61" s="100">
        <v>0.32</v>
      </c>
      <c r="K61" s="100">
        <v>46.09</v>
      </c>
      <c r="L61" s="100">
        <v>16.59</v>
      </c>
      <c r="M61" s="100">
        <v>12.89</v>
      </c>
      <c r="N61" s="100">
        <v>452.8</v>
      </c>
      <c r="O61" s="100">
        <v>0</v>
      </c>
      <c r="P61" s="100">
        <v>0.64</v>
      </c>
      <c r="Q61" s="100">
        <v>9.32</v>
      </c>
      <c r="R61" s="6"/>
      <c r="S61" s="6"/>
      <c r="T61" s="156"/>
      <c r="U61" s="6"/>
    </row>
    <row r="62" spans="1:21" customFormat="1">
      <c r="A62" s="201" t="s">
        <v>2121</v>
      </c>
      <c r="B62" s="100">
        <v>4.0599999999999996</v>
      </c>
      <c r="C62" s="100">
        <v>13.39</v>
      </c>
      <c r="D62" s="100">
        <v>10.25</v>
      </c>
      <c r="E62" s="100">
        <v>6.06</v>
      </c>
      <c r="F62" s="151" t="s">
        <v>8</v>
      </c>
      <c r="G62" s="100">
        <v>25.94</v>
      </c>
      <c r="H62" s="100">
        <v>11.2</v>
      </c>
      <c r="I62" s="100">
        <v>11.37</v>
      </c>
      <c r="J62" s="100">
        <v>0.25</v>
      </c>
      <c r="K62" s="100">
        <v>26.72</v>
      </c>
      <c r="L62" s="100">
        <v>16.829999999999998</v>
      </c>
      <c r="M62" s="100">
        <v>19.03</v>
      </c>
      <c r="N62" s="100">
        <v>213.6</v>
      </c>
      <c r="O62" s="100">
        <v>0</v>
      </c>
      <c r="P62" s="100">
        <v>0.63</v>
      </c>
      <c r="Q62" s="100">
        <v>9.32</v>
      </c>
      <c r="R62" s="6"/>
      <c r="S62" s="6"/>
      <c r="T62" s="156"/>
      <c r="U62" s="6"/>
    </row>
    <row r="63" spans="1:21" customFormat="1">
      <c r="A63" s="201" t="s">
        <v>2122</v>
      </c>
      <c r="B63" s="100">
        <v>3.9</v>
      </c>
      <c r="C63" s="100">
        <v>13.18</v>
      </c>
      <c r="D63" s="100">
        <v>10.01</v>
      </c>
      <c r="E63" s="100">
        <v>6.43</v>
      </c>
      <c r="F63" s="151" t="s">
        <v>8</v>
      </c>
      <c r="G63" s="100">
        <v>25.47</v>
      </c>
      <c r="H63" s="100">
        <v>11.04</v>
      </c>
      <c r="I63" s="100">
        <v>11.26</v>
      </c>
      <c r="J63" s="100">
        <v>0.73</v>
      </c>
      <c r="K63" s="100">
        <v>28.87</v>
      </c>
      <c r="L63" s="100">
        <v>14.76</v>
      </c>
      <c r="M63" s="100">
        <v>13.33</v>
      </c>
      <c r="N63" s="100">
        <v>233.3</v>
      </c>
      <c r="O63" s="100">
        <v>0</v>
      </c>
      <c r="P63" s="100">
        <v>0.62</v>
      </c>
      <c r="Q63" s="100">
        <v>9.32</v>
      </c>
      <c r="R63" s="6"/>
      <c r="S63" s="6"/>
      <c r="T63" s="156"/>
      <c r="U63" s="6"/>
    </row>
    <row r="64" spans="1:21" customFormat="1">
      <c r="A64" s="201" t="s">
        <v>2123</v>
      </c>
      <c r="B64" s="100">
        <v>3.82</v>
      </c>
      <c r="C64" s="100">
        <v>12.97</v>
      </c>
      <c r="D64" s="100">
        <v>9.84</v>
      </c>
      <c r="E64" s="100">
        <v>6.3</v>
      </c>
      <c r="F64" s="151" t="s">
        <v>8</v>
      </c>
      <c r="G64" s="100">
        <v>21.22</v>
      </c>
      <c r="H64" s="100">
        <v>9.8800000000000008</v>
      </c>
      <c r="I64" s="100">
        <v>11.06</v>
      </c>
      <c r="J64" s="100">
        <v>0.46</v>
      </c>
      <c r="K64" s="100">
        <v>46.99</v>
      </c>
      <c r="L64" s="100">
        <v>16.59</v>
      </c>
      <c r="M64" s="100">
        <v>18.940000000000001</v>
      </c>
      <c r="N64" s="100">
        <v>186.7</v>
      </c>
      <c r="O64" s="100">
        <v>0</v>
      </c>
      <c r="P64" s="100">
        <v>0.6</v>
      </c>
      <c r="Q64" s="100">
        <v>9.32</v>
      </c>
      <c r="R64" s="6"/>
      <c r="S64" s="6"/>
      <c r="T64" s="156"/>
      <c r="U64" s="6"/>
    </row>
    <row r="65" spans="1:21" customFormat="1">
      <c r="A65" s="201" t="s">
        <v>2124</v>
      </c>
      <c r="B65" s="100">
        <v>3.77</v>
      </c>
      <c r="C65" s="100">
        <v>13.18</v>
      </c>
      <c r="D65" s="100">
        <v>9.91</v>
      </c>
      <c r="E65" s="100">
        <v>6.24</v>
      </c>
      <c r="F65" s="151" t="s">
        <v>8</v>
      </c>
      <c r="G65" s="100">
        <v>21.22</v>
      </c>
      <c r="H65" s="100">
        <v>9.8800000000000008</v>
      </c>
      <c r="I65" s="100">
        <v>10.81</v>
      </c>
      <c r="J65" s="100">
        <v>0.13</v>
      </c>
      <c r="K65" s="100">
        <v>340.29</v>
      </c>
      <c r="L65" s="100">
        <v>19.45</v>
      </c>
      <c r="M65" s="100">
        <v>28.22</v>
      </c>
      <c r="N65" s="100">
        <v>96.9</v>
      </c>
      <c r="O65" s="100">
        <v>0</v>
      </c>
      <c r="P65" s="100">
        <v>0.52</v>
      </c>
      <c r="Q65" s="100">
        <v>9.32</v>
      </c>
      <c r="R65" s="6"/>
      <c r="S65" s="6"/>
      <c r="T65" s="156"/>
      <c r="U65" s="6"/>
    </row>
    <row r="66" spans="1:21" customFormat="1">
      <c r="A66" s="201" t="s">
        <v>2125</v>
      </c>
      <c r="B66" s="100">
        <v>3.71</v>
      </c>
      <c r="C66" s="100">
        <v>12.63</v>
      </c>
      <c r="D66" s="100">
        <v>9.57</v>
      </c>
      <c r="E66" s="100">
        <v>6.13</v>
      </c>
      <c r="F66" s="151" t="s">
        <v>8</v>
      </c>
      <c r="G66" s="100">
        <v>21.22</v>
      </c>
      <c r="H66" s="100">
        <v>9.8800000000000008</v>
      </c>
      <c r="I66" s="100">
        <v>10.63</v>
      </c>
      <c r="J66" s="100">
        <v>0.11</v>
      </c>
      <c r="K66" s="100">
        <v>20.78</v>
      </c>
      <c r="L66" s="100">
        <v>15.8</v>
      </c>
      <c r="M66" s="100">
        <v>19.53</v>
      </c>
      <c r="N66" s="100">
        <v>82.2</v>
      </c>
      <c r="O66" s="100">
        <v>0</v>
      </c>
      <c r="P66" s="100">
        <v>0.55000000000000004</v>
      </c>
      <c r="Q66" s="100">
        <v>9.32</v>
      </c>
      <c r="R66" s="6"/>
      <c r="S66" s="6"/>
      <c r="T66" s="156"/>
      <c r="U66" s="6"/>
    </row>
    <row r="67" spans="1:21" customFormat="1">
      <c r="A67" s="201" t="s">
        <v>2126</v>
      </c>
      <c r="B67" s="100">
        <v>3.56</v>
      </c>
      <c r="C67" s="100">
        <v>12.49</v>
      </c>
      <c r="D67" s="100">
        <v>9.3800000000000008</v>
      </c>
      <c r="E67" s="100">
        <v>5.71</v>
      </c>
      <c r="F67" s="151" t="s">
        <v>8</v>
      </c>
      <c r="G67" s="100">
        <v>21.45</v>
      </c>
      <c r="H67" s="100">
        <v>9.69</v>
      </c>
      <c r="I67" s="100">
        <v>10.54</v>
      </c>
      <c r="J67" s="100">
        <v>0.26</v>
      </c>
      <c r="K67" s="100">
        <v>171.7</v>
      </c>
      <c r="L67" s="100">
        <v>18.38</v>
      </c>
      <c r="M67" s="100">
        <v>25.91</v>
      </c>
      <c r="N67" s="100">
        <v>85.6</v>
      </c>
      <c r="O67" s="100">
        <v>0</v>
      </c>
      <c r="P67" s="100">
        <v>0.51</v>
      </c>
      <c r="Q67" s="100">
        <v>9.32</v>
      </c>
      <c r="R67" s="6"/>
      <c r="S67" s="6"/>
      <c r="T67" s="156"/>
      <c r="U67" s="6"/>
    </row>
    <row r="68" spans="1:21" customFormat="1">
      <c r="A68" s="201" t="s">
        <v>2127</v>
      </c>
      <c r="B68" s="100">
        <v>3.4</v>
      </c>
      <c r="C68" s="100">
        <v>12.09</v>
      </c>
      <c r="D68" s="100">
        <v>9.0399999999999991</v>
      </c>
      <c r="E68" s="100">
        <v>5.83</v>
      </c>
      <c r="F68" s="151" t="s">
        <v>8</v>
      </c>
      <c r="G68" s="100">
        <v>23.58</v>
      </c>
      <c r="H68" s="100">
        <v>8.2899999999999991</v>
      </c>
      <c r="I68" s="100">
        <v>10.44</v>
      </c>
      <c r="J68" s="100">
        <v>0.26</v>
      </c>
      <c r="K68" s="100">
        <v>200.87</v>
      </c>
      <c r="L68" s="100">
        <v>19.829999999999998</v>
      </c>
      <c r="M68" s="100">
        <v>29.97</v>
      </c>
      <c r="N68" s="100">
        <v>66.5</v>
      </c>
      <c r="O68" s="100">
        <v>0</v>
      </c>
      <c r="P68" s="100">
        <v>0.5</v>
      </c>
      <c r="Q68" s="100">
        <v>9.32</v>
      </c>
      <c r="R68" s="6"/>
      <c r="S68" s="6"/>
      <c r="T68" s="156"/>
      <c r="U68" s="6"/>
    </row>
    <row r="69" spans="1:21" customFormat="1">
      <c r="A69" s="201" t="s">
        <v>2128</v>
      </c>
      <c r="B69" s="100">
        <v>3.29</v>
      </c>
      <c r="C69" s="100">
        <v>11.74</v>
      </c>
      <c r="D69" s="100">
        <v>8.77</v>
      </c>
      <c r="E69" s="100">
        <v>5.9</v>
      </c>
      <c r="F69" s="151" t="s">
        <v>8</v>
      </c>
      <c r="G69" s="100">
        <v>23.58</v>
      </c>
      <c r="H69" s="100">
        <v>8.2899999999999991</v>
      </c>
      <c r="I69" s="100">
        <v>10.27</v>
      </c>
      <c r="J69" s="100">
        <v>0.22</v>
      </c>
      <c r="K69" s="100">
        <v>184.92</v>
      </c>
      <c r="L69" s="100">
        <v>18.34</v>
      </c>
      <c r="M69" s="100">
        <v>26.32</v>
      </c>
      <c r="N69" s="100">
        <v>61.8</v>
      </c>
      <c r="O69" s="100">
        <v>0</v>
      </c>
      <c r="P69" s="100">
        <v>0.48</v>
      </c>
      <c r="Q69" s="100">
        <v>9.32</v>
      </c>
      <c r="R69" s="6"/>
      <c r="S69" s="6"/>
      <c r="T69" s="156"/>
      <c r="U69" s="6"/>
    </row>
    <row r="70" spans="1:21" customFormat="1">
      <c r="A70" s="201" t="s">
        <v>2129</v>
      </c>
      <c r="B70" s="100">
        <v>3.22</v>
      </c>
      <c r="C70" s="100">
        <v>11.41</v>
      </c>
      <c r="D70" s="100">
        <v>8.5399999999999991</v>
      </c>
      <c r="E70" s="100">
        <v>5.94</v>
      </c>
      <c r="F70" s="151" t="s">
        <v>8</v>
      </c>
      <c r="G70" s="100">
        <v>23.58</v>
      </c>
      <c r="H70" s="100">
        <v>8.2899999999999991</v>
      </c>
      <c r="I70" s="100">
        <v>10.06</v>
      </c>
      <c r="J70" s="100">
        <v>0.13</v>
      </c>
      <c r="K70" s="100">
        <v>169.29</v>
      </c>
      <c r="L70" s="100">
        <v>17.170000000000002</v>
      </c>
      <c r="M70" s="100">
        <v>23.5</v>
      </c>
      <c r="N70" s="100">
        <v>55.8</v>
      </c>
      <c r="O70" s="100">
        <v>0</v>
      </c>
      <c r="P70" s="100">
        <v>0.47</v>
      </c>
      <c r="Q70" s="100">
        <v>9.32</v>
      </c>
      <c r="R70" s="6"/>
      <c r="S70" s="6"/>
      <c r="T70" s="156"/>
      <c r="U70" s="6"/>
    </row>
    <row r="71" spans="1:21" customFormat="1">
      <c r="A71" s="201" t="s">
        <v>2130</v>
      </c>
      <c r="B71" s="100">
        <v>3.19</v>
      </c>
      <c r="C71" s="100">
        <v>11.2</v>
      </c>
      <c r="D71" s="100">
        <v>8.41</v>
      </c>
      <c r="E71" s="100">
        <v>6.02</v>
      </c>
      <c r="F71" s="151" t="s">
        <v>8</v>
      </c>
      <c r="G71" s="100">
        <v>23.6</v>
      </c>
      <c r="H71" s="100">
        <v>8.23</v>
      </c>
      <c r="I71" s="100">
        <v>9.9700000000000006</v>
      </c>
      <c r="J71" s="100">
        <v>0.23</v>
      </c>
      <c r="K71" s="100">
        <v>185.36</v>
      </c>
      <c r="L71" s="100">
        <v>17.690000000000001</v>
      </c>
      <c r="M71" s="100">
        <v>25.06</v>
      </c>
      <c r="N71" s="100">
        <v>49.4</v>
      </c>
      <c r="O71" s="100">
        <v>0</v>
      </c>
      <c r="P71" s="100">
        <v>0.46</v>
      </c>
      <c r="Q71" s="100">
        <v>9.32</v>
      </c>
      <c r="R71" s="6"/>
      <c r="S71" s="6"/>
      <c r="T71" s="156"/>
      <c r="U71" s="6"/>
    </row>
    <row r="72" spans="1:21" customFormat="1">
      <c r="A72" s="201" t="s">
        <v>2131</v>
      </c>
      <c r="B72" s="100">
        <v>3.2</v>
      </c>
      <c r="C72" s="100">
        <v>11.01</v>
      </c>
      <c r="D72" s="100">
        <v>8.32</v>
      </c>
      <c r="E72" s="100">
        <v>5.97</v>
      </c>
      <c r="F72" s="151" t="s">
        <v>8</v>
      </c>
      <c r="G72" s="100">
        <v>23.76</v>
      </c>
      <c r="H72" s="100">
        <v>7.78</v>
      </c>
      <c r="I72" s="100">
        <v>9.86</v>
      </c>
      <c r="J72" s="100">
        <v>0.31</v>
      </c>
      <c r="K72" s="100">
        <v>180.77</v>
      </c>
      <c r="L72" s="100">
        <v>17.61</v>
      </c>
      <c r="M72" s="100">
        <v>24.95</v>
      </c>
      <c r="N72" s="100">
        <v>45</v>
      </c>
      <c r="O72" s="100">
        <v>0</v>
      </c>
      <c r="P72" s="100">
        <v>0.44</v>
      </c>
      <c r="Q72" s="100">
        <v>9.32</v>
      </c>
      <c r="R72" s="6"/>
      <c r="S72" s="6"/>
      <c r="T72" s="156"/>
      <c r="U72" s="6"/>
    </row>
    <row r="73" spans="1:21" customFormat="1">
      <c r="A73" s="201" t="s">
        <v>2132</v>
      </c>
      <c r="B73" s="100">
        <v>3.19</v>
      </c>
      <c r="C73" s="100">
        <v>10.87</v>
      </c>
      <c r="D73" s="100">
        <v>8.24</v>
      </c>
      <c r="E73" s="100">
        <v>5.76</v>
      </c>
      <c r="F73" s="151" t="s">
        <v>8</v>
      </c>
      <c r="G73" s="100">
        <v>23.76</v>
      </c>
      <c r="H73" s="100">
        <v>7.78</v>
      </c>
      <c r="I73" s="100">
        <v>9.61</v>
      </c>
      <c r="J73" s="100">
        <v>0.21</v>
      </c>
      <c r="K73" s="100">
        <v>191.52</v>
      </c>
      <c r="L73" s="100">
        <v>18.28</v>
      </c>
      <c r="M73" s="100">
        <v>26.69</v>
      </c>
      <c r="N73" s="100">
        <v>40.299999999999997</v>
      </c>
      <c r="O73" s="100">
        <v>0</v>
      </c>
      <c r="P73" s="100">
        <v>0.43</v>
      </c>
      <c r="Q73" s="100">
        <v>9.32</v>
      </c>
      <c r="R73" s="6"/>
      <c r="S73" s="6"/>
      <c r="T73" s="156"/>
      <c r="U73" s="6"/>
    </row>
    <row r="74" spans="1:21" customFormat="1">
      <c r="A74" s="201" t="s">
        <v>2133</v>
      </c>
      <c r="B74" s="100">
        <v>3.21</v>
      </c>
      <c r="C74" s="100">
        <v>10.64</v>
      </c>
      <c r="D74" s="100">
        <v>8.1300000000000008</v>
      </c>
      <c r="E74" s="100">
        <v>5.87</v>
      </c>
      <c r="F74" s="151" t="s">
        <v>8</v>
      </c>
      <c r="G74" s="100">
        <v>23.76</v>
      </c>
      <c r="H74" s="100">
        <v>7.78</v>
      </c>
      <c r="I74" s="100">
        <v>9.4</v>
      </c>
      <c r="J74" s="100">
        <v>0.21</v>
      </c>
      <c r="K74" s="100">
        <v>186.74</v>
      </c>
      <c r="L74" s="100">
        <v>17.579999999999998</v>
      </c>
      <c r="M74" s="100">
        <v>25.25</v>
      </c>
      <c r="N74" s="100">
        <v>29.8</v>
      </c>
      <c r="O74" s="100">
        <v>0</v>
      </c>
      <c r="P74" s="100">
        <v>0.42</v>
      </c>
      <c r="Q74" s="100">
        <v>9.32</v>
      </c>
      <c r="R74" s="6"/>
      <c r="S74" s="6"/>
      <c r="T74" s="156"/>
      <c r="U74" s="6"/>
    </row>
    <row r="75" spans="1:21" customFormat="1">
      <c r="A75" s="201" t="s">
        <v>2134</v>
      </c>
      <c r="B75" s="100">
        <v>3.21</v>
      </c>
      <c r="C75" s="100">
        <v>10.53</v>
      </c>
      <c r="D75" s="100">
        <v>8.07</v>
      </c>
      <c r="E75" s="100">
        <v>5.68</v>
      </c>
      <c r="F75" s="151" t="s">
        <v>8</v>
      </c>
      <c r="G75" s="100">
        <v>23.72</v>
      </c>
      <c r="H75" s="100">
        <v>7.84</v>
      </c>
      <c r="I75" s="100">
        <v>9.2899999999999991</v>
      </c>
      <c r="J75" s="100">
        <v>0.21</v>
      </c>
      <c r="K75" s="100">
        <v>181.09</v>
      </c>
      <c r="L75" s="100">
        <v>17.29</v>
      </c>
      <c r="M75" s="100">
        <v>24.68</v>
      </c>
      <c r="N75" s="100">
        <v>22.2</v>
      </c>
      <c r="O75" s="100">
        <v>0</v>
      </c>
      <c r="P75" s="100">
        <v>0.41</v>
      </c>
      <c r="Q75" s="100">
        <v>9.32</v>
      </c>
      <c r="R75" s="6"/>
      <c r="S75" s="6"/>
      <c r="T75" s="156"/>
      <c r="U75" s="6"/>
    </row>
    <row r="76" spans="1:21" customFormat="1">
      <c r="A76" s="201" t="s">
        <v>2135</v>
      </c>
      <c r="B76" s="100">
        <v>3.25</v>
      </c>
      <c r="C76" s="100">
        <v>10.38</v>
      </c>
      <c r="D76" s="100">
        <v>8.0299999999999994</v>
      </c>
      <c r="E76" s="100">
        <v>5.97</v>
      </c>
      <c r="F76" s="151" t="s">
        <v>8</v>
      </c>
      <c r="G76" s="100">
        <v>23.35</v>
      </c>
      <c r="H76" s="100">
        <v>8.2799999999999994</v>
      </c>
      <c r="I76" s="100">
        <v>9.09</v>
      </c>
      <c r="J76" s="100">
        <v>0.19</v>
      </c>
      <c r="K76" s="100">
        <v>195.98</v>
      </c>
      <c r="L76" s="100">
        <v>18.14</v>
      </c>
      <c r="M76" s="100">
        <v>26.95</v>
      </c>
      <c r="N76" s="100">
        <v>14.3</v>
      </c>
      <c r="O76" s="100">
        <v>0</v>
      </c>
      <c r="P76" s="100">
        <v>0.4</v>
      </c>
      <c r="Q76" s="100">
        <v>9.32</v>
      </c>
      <c r="R76" s="6"/>
      <c r="S76" s="6"/>
      <c r="T76" s="156"/>
      <c r="U76" s="6"/>
    </row>
    <row r="77" spans="1:21" customFormat="1">
      <c r="A77" s="201" t="s">
        <v>2136</v>
      </c>
      <c r="B77" s="100">
        <v>3.29</v>
      </c>
      <c r="C77" s="100">
        <v>10.34</v>
      </c>
      <c r="D77" s="100">
        <v>8.0399999999999991</v>
      </c>
      <c r="E77" s="100">
        <v>6.01</v>
      </c>
      <c r="F77" s="151" t="s">
        <v>8</v>
      </c>
      <c r="G77" s="100">
        <v>23.35</v>
      </c>
      <c r="H77" s="100">
        <v>8.2799999999999994</v>
      </c>
      <c r="I77" s="100">
        <v>8.9</v>
      </c>
      <c r="J77" s="100">
        <v>0.22</v>
      </c>
      <c r="K77" s="100">
        <v>165.32</v>
      </c>
      <c r="L77" s="100">
        <v>15.81</v>
      </c>
      <c r="M77" s="100">
        <v>21.38</v>
      </c>
      <c r="N77" s="100">
        <v>7.3</v>
      </c>
      <c r="O77" s="100">
        <v>0</v>
      </c>
      <c r="P77" s="100">
        <v>0.4</v>
      </c>
      <c r="Q77" s="100">
        <v>9.32</v>
      </c>
      <c r="R77" s="6"/>
      <c r="S77" s="6"/>
      <c r="T77" s="156"/>
      <c r="U77" s="6"/>
    </row>
    <row r="78" spans="1:21" customFormat="1">
      <c r="A78" s="201" t="s">
        <v>2137</v>
      </c>
      <c r="B78" s="100">
        <v>3.91</v>
      </c>
      <c r="C78" s="100">
        <v>11.18</v>
      </c>
      <c r="D78" s="100">
        <v>8.9700000000000006</v>
      </c>
      <c r="E78" s="100">
        <v>5.89</v>
      </c>
      <c r="F78" s="151" t="s">
        <v>8</v>
      </c>
      <c r="G78" s="100">
        <v>23.35</v>
      </c>
      <c r="H78" s="100">
        <v>8.2799999999999994</v>
      </c>
      <c r="I78" s="100">
        <v>8.77</v>
      </c>
      <c r="J78" s="100">
        <v>0.05</v>
      </c>
      <c r="K78" s="100">
        <v>125.4</v>
      </c>
      <c r="L78" s="100">
        <v>15.79</v>
      </c>
      <c r="M78" s="100">
        <v>21.34</v>
      </c>
      <c r="N78" s="100">
        <v>2.7</v>
      </c>
      <c r="O78" s="100">
        <v>0</v>
      </c>
      <c r="P78" s="100">
        <v>0.4</v>
      </c>
      <c r="Q78" s="100">
        <v>9.32</v>
      </c>
      <c r="R78" s="6"/>
      <c r="S78" s="6"/>
      <c r="T78" s="156"/>
      <c r="U78" s="6"/>
    </row>
    <row r="79" spans="1:21" customFormat="1">
      <c r="A79" s="201" t="s">
        <v>2138</v>
      </c>
      <c r="B79" s="100">
        <v>4.3600000000000003</v>
      </c>
      <c r="C79" s="100">
        <v>12.04</v>
      </c>
      <c r="D79" s="100">
        <v>9.7899999999999991</v>
      </c>
      <c r="E79" s="100">
        <v>5.73</v>
      </c>
      <c r="F79" s="151" t="s">
        <v>8</v>
      </c>
      <c r="G79" s="100">
        <v>24.9</v>
      </c>
      <c r="H79" s="100">
        <v>8.33</v>
      </c>
      <c r="I79" s="100">
        <v>8.66</v>
      </c>
      <c r="J79" s="100">
        <v>0.2</v>
      </c>
      <c r="K79" s="100">
        <v>152.28</v>
      </c>
      <c r="L79" s="100">
        <v>15.09</v>
      </c>
      <c r="M79" s="100">
        <v>19.649999999999999</v>
      </c>
      <c r="N79" s="100">
        <v>1.9</v>
      </c>
      <c r="O79" s="100">
        <v>0</v>
      </c>
      <c r="P79" s="100">
        <v>0.41</v>
      </c>
      <c r="Q79" s="100">
        <v>9.32</v>
      </c>
      <c r="R79" s="6"/>
      <c r="S79" s="6"/>
      <c r="T79" s="156"/>
      <c r="U79" s="6"/>
    </row>
    <row r="80" spans="1:21" customFormat="1">
      <c r="A80" s="201" t="s">
        <v>2139</v>
      </c>
      <c r="B80" s="100">
        <v>4.76</v>
      </c>
      <c r="C80" s="100">
        <v>12.69</v>
      </c>
      <c r="D80" s="100">
        <v>10.45</v>
      </c>
      <c r="E80" s="100">
        <v>6.02</v>
      </c>
      <c r="F80" s="151" t="s">
        <v>8</v>
      </c>
      <c r="G80" s="100">
        <v>38.83</v>
      </c>
      <c r="H80" s="100">
        <v>8.6999999999999993</v>
      </c>
      <c r="I80" s="100">
        <v>8.67</v>
      </c>
      <c r="J80" s="100">
        <v>0.16</v>
      </c>
      <c r="K80" s="100">
        <v>96.33</v>
      </c>
      <c r="L80" s="100">
        <v>11.99</v>
      </c>
      <c r="M80" s="100">
        <v>11.94</v>
      </c>
      <c r="N80" s="100">
        <v>1.6</v>
      </c>
      <c r="O80" s="100">
        <v>0</v>
      </c>
      <c r="P80" s="100">
        <v>0.43</v>
      </c>
      <c r="Q80" s="100">
        <v>9.32</v>
      </c>
      <c r="R80" s="6"/>
      <c r="S80" s="6"/>
      <c r="T80" s="156"/>
      <c r="U80" s="6"/>
    </row>
    <row r="81" spans="1:21" customFormat="1">
      <c r="A81" s="201" t="s">
        <v>2140</v>
      </c>
      <c r="B81" s="100">
        <v>5.4</v>
      </c>
      <c r="C81" s="100">
        <v>13.64</v>
      </c>
      <c r="D81" s="100">
        <v>11.45</v>
      </c>
      <c r="E81" s="100">
        <v>5.26</v>
      </c>
      <c r="F81" s="151" t="s">
        <v>8</v>
      </c>
      <c r="G81" s="100">
        <v>38.83</v>
      </c>
      <c r="H81" s="100">
        <v>8.6999999999999993</v>
      </c>
      <c r="I81" s="100">
        <v>8.81</v>
      </c>
      <c r="J81" s="100">
        <v>0.18</v>
      </c>
      <c r="K81" s="100">
        <v>131.54</v>
      </c>
      <c r="L81" s="100">
        <v>13.07</v>
      </c>
      <c r="M81" s="100">
        <v>14.58</v>
      </c>
      <c r="N81" s="100">
        <v>1.7</v>
      </c>
      <c r="O81" s="100">
        <v>0</v>
      </c>
      <c r="P81" s="100">
        <v>0.44</v>
      </c>
      <c r="Q81" s="100">
        <v>9.32</v>
      </c>
      <c r="R81" s="6"/>
      <c r="S81" s="6"/>
      <c r="T81" s="156"/>
      <c r="U81" s="6"/>
    </row>
    <row r="82" spans="1:21" customFormat="1">
      <c r="A82" s="201" t="s">
        <v>2141</v>
      </c>
      <c r="B82" s="100">
        <v>5.89</v>
      </c>
      <c r="C82" s="100">
        <v>14.54</v>
      </c>
      <c r="D82" s="100">
        <v>12.31</v>
      </c>
      <c r="E82" s="100">
        <v>6</v>
      </c>
      <c r="F82" s="151" t="s">
        <v>8</v>
      </c>
      <c r="G82" s="100">
        <v>38.83</v>
      </c>
      <c r="H82" s="100">
        <v>8.6999999999999993</v>
      </c>
      <c r="I82" s="100">
        <v>9.0299999999999994</v>
      </c>
      <c r="J82" s="100">
        <v>0.21</v>
      </c>
      <c r="K82" s="100">
        <v>175.94</v>
      </c>
      <c r="L82" s="100">
        <v>16.649999999999999</v>
      </c>
      <c r="M82" s="100">
        <v>23.55</v>
      </c>
      <c r="N82" s="100">
        <v>1.9</v>
      </c>
      <c r="O82" s="100">
        <v>0</v>
      </c>
      <c r="P82" s="100">
        <v>0.46</v>
      </c>
      <c r="Q82" s="100">
        <v>9.32</v>
      </c>
      <c r="R82" s="6"/>
      <c r="S82" s="6"/>
      <c r="T82" s="156"/>
      <c r="U82" s="6"/>
    </row>
    <row r="83" spans="1:21" customFormat="1">
      <c r="A83" s="201" t="s">
        <v>2142</v>
      </c>
      <c r="B83" s="100">
        <v>6.02</v>
      </c>
      <c r="C83" s="100">
        <v>15.05</v>
      </c>
      <c r="D83" s="100">
        <v>12.7</v>
      </c>
      <c r="E83" s="100">
        <v>6.05</v>
      </c>
      <c r="F83" s="151" t="s">
        <v>8</v>
      </c>
      <c r="G83" s="100">
        <v>40.21</v>
      </c>
      <c r="H83" s="100">
        <v>9.01</v>
      </c>
      <c r="I83" s="100">
        <v>9.1300000000000008</v>
      </c>
      <c r="J83" s="100">
        <v>0.28999999999999998</v>
      </c>
      <c r="K83" s="100">
        <v>164</v>
      </c>
      <c r="L83" s="100">
        <v>15.76</v>
      </c>
      <c r="M83" s="100">
        <v>21.37</v>
      </c>
      <c r="N83" s="100">
        <v>1.9</v>
      </c>
      <c r="O83" s="100">
        <v>0</v>
      </c>
      <c r="P83" s="100">
        <v>0.47</v>
      </c>
      <c r="Q83" s="100">
        <v>9.32</v>
      </c>
      <c r="R83" s="6"/>
      <c r="S83" s="6"/>
      <c r="T83" s="156"/>
      <c r="U83" s="6"/>
    </row>
    <row r="84" spans="1:21" customFormat="1">
      <c r="A84" s="201" t="s">
        <v>2143</v>
      </c>
      <c r="B84" s="100">
        <v>6.03</v>
      </c>
      <c r="C84" s="100">
        <v>15.1</v>
      </c>
      <c r="D84" s="100">
        <v>12.73</v>
      </c>
      <c r="E84" s="100">
        <v>5.99</v>
      </c>
      <c r="F84" s="151" t="s">
        <v>8</v>
      </c>
      <c r="G84" s="100">
        <v>52.65</v>
      </c>
      <c r="H84" s="100">
        <v>11.23</v>
      </c>
      <c r="I84" s="100">
        <v>9.19</v>
      </c>
      <c r="J84" s="100">
        <v>0.32</v>
      </c>
      <c r="K84" s="100">
        <v>174.7</v>
      </c>
      <c r="L84" s="100">
        <v>16.41</v>
      </c>
      <c r="M84" s="100">
        <v>23.02</v>
      </c>
      <c r="N84" s="100">
        <v>1.9</v>
      </c>
      <c r="O84" s="100">
        <v>0</v>
      </c>
      <c r="P84" s="100">
        <v>0.48</v>
      </c>
      <c r="Q84" s="100">
        <v>9.32</v>
      </c>
      <c r="R84" s="6"/>
      <c r="S84" s="6"/>
      <c r="T84" s="156"/>
      <c r="U84" s="6"/>
    </row>
    <row r="85" spans="1:21" customFormat="1">
      <c r="A85" s="201" t="s">
        <v>2144</v>
      </c>
      <c r="B85" s="100">
        <v>5.97</v>
      </c>
      <c r="C85" s="100">
        <v>14.99</v>
      </c>
      <c r="D85" s="100">
        <v>12.62</v>
      </c>
      <c r="E85" s="100">
        <v>6.1</v>
      </c>
      <c r="F85" s="151" t="s">
        <v>8</v>
      </c>
      <c r="G85" s="100">
        <v>52.65</v>
      </c>
      <c r="H85" s="100">
        <v>11.23</v>
      </c>
      <c r="I85" s="100">
        <v>9.33</v>
      </c>
      <c r="J85" s="100">
        <v>0.17</v>
      </c>
      <c r="K85" s="100">
        <v>175.67</v>
      </c>
      <c r="L85" s="100">
        <v>16.87</v>
      </c>
      <c r="M85" s="100">
        <v>24.16</v>
      </c>
      <c r="N85" s="100">
        <v>1.8</v>
      </c>
      <c r="O85" s="100">
        <v>0</v>
      </c>
      <c r="P85" s="100">
        <v>0.49</v>
      </c>
      <c r="Q85" s="100">
        <v>9.32</v>
      </c>
      <c r="R85" s="6"/>
      <c r="S85" s="6"/>
      <c r="T85" s="156"/>
      <c r="U85" s="6"/>
    </row>
    <row r="86" spans="1:21" customFormat="1">
      <c r="A86" s="201" t="s">
        <v>2145</v>
      </c>
      <c r="B86" s="100">
        <v>5.88</v>
      </c>
      <c r="C86" s="100">
        <v>14.86</v>
      </c>
      <c r="D86" s="100">
        <v>12.48</v>
      </c>
      <c r="E86" s="100">
        <v>6.12</v>
      </c>
      <c r="F86" s="151" t="s">
        <v>8</v>
      </c>
      <c r="G86" s="100">
        <v>52.65</v>
      </c>
      <c r="H86" s="100">
        <v>11.23</v>
      </c>
      <c r="I86" s="100">
        <v>9.48</v>
      </c>
      <c r="J86" s="100">
        <v>0.17</v>
      </c>
      <c r="K86" s="100">
        <v>166.8</v>
      </c>
      <c r="L86" s="100">
        <v>15.27</v>
      </c>
      <c r="M86" s="100">
        <v>20.170000000000002</v>
      </c>
      <c r="N86" s="100">
        <v>1.5</v>
      </c>
      <c r="O86" s="100">
        <v>0</v>
      </c>
      <c r="P86" s="100">
        <v>0.5</v>
      </c>
      <c r="Q86" s="100">
        <v>9.32</v>
      </c>
      <c r="R86" s="6"/>
      <c r="S86" s="6"/>
      <c r="T86" s="156"/>
      <c r="U86" s="6"/>
    </row>
    <row r="87" spans="1:21" customFormat="1">
      <c r="A87" s="201" t="s">
        <v>2146</v>
      </c>
      <c r="B87" s="100">
        <v>6.12</v>
      </c>
      <c r="C87" s="100">
        <v>14.85</v>
      </c>
      <c r="D87" s="100">
        <v>12.66</v>
      </c>
      <c r="E87" s="100">
        <v>5.9</v>
      </c>
      <c r="F87" s="151" t="s">
        <v>8</v>
      </c>
      <c r="G87" s="100">
        <v>52.63</v>
      </c>
      <c r="H87" s="100">
        <v>11.35</v>
      </c>
      <c r="I87" s="100">
        <v>9.69</v>
      </c>
      <c r="J87" s="100">
        <v>0.16</v>
      </c>
      <c r="K87" s="100">
        <v>174.6</v>
      </c>
      <c r="L87" s="100">
        <v>16.43</v>
      </c>
      <c r="M87" s="100">
        <v>23.14</v>
      </c>
      <c r="N87" s="100">
        <v>1.5</v>
      </c>
      <c r="O87" s="100">
        <v>0</v>
      </c>
      <c r="P87" s="100">
        <v>0.53</v>
      </c>
      <c r="Q87" s="100">
        <v>9.32</v>
      </c>
      <c r="R87" s="6"/>
      <c r="S87" s="6"/>
      <c r="T87" s="156"/>
      <c r="U87" s="6"/>
    </row>
    <row r="88" spans="1:21" customFormat="1">
      <c r="A88" s="201" t="s">
        <v>2147</v>
      </c>
      <c r="B88" s="100">
        <v>7.42</v>
      </c>
      <c r="C88" s="100">
        <v>14.91</v>
      </c>
      <c r="D88" s="100">
        <v>13.74</v>
      </c>
      <c r="E88" s="100">
        <v>5.89</v>
      </c>
      <c r="F88" s="151" t="s">
        <v>8</v>
      </c>
      <c r="G88" s="100">
        <v>52.4</v>
      </c>
      <c r="H88" s="100">
        <v>12.18</v>
      </c>
      <c r="I88" s="100">
        <v>9.8000000000000007</v>
      </c>
      <c r="J88" s="100">
        <v>0.1</v>
      </c>
      <c r="K88" s="100">
        <v>150.94</v>
      </c>
      <c r="L88" s="100">
        <v>14.66</v>
      </c>
      <c r="M88" s="100">
        <v>18.73</v>
      </c>
      <c r="N88" s="100">
        <v>1.4</v>
      </c>
      <c r="O88" s="100">
        <v>0</v>
      </c>
      <c r="P88" s="100">
        <v>0.55000000000000004</v>
      </c>
      <c r="Q88" s="100">
        <v>9.32</v>
      </c>
      <c r="R88" s="6"/>
      <c r="S88" s="6"/>
      <c r="T88" s="156"/>
      <c r="U88" s="6"/>
    </row>
    <row r="89" spans="1:21" customFormat="1">
      <c r="A89" s="201" t="s">
        <v>2148</v>
      </c>
      <c r="B89" s="100">
        <v>9.74</v>
      </c>
      <c r="C89" s="100">
        <v>16.09</v>
      </c>
      <c r="D89" s="100">
        <v>16.22</v>
      </c>
      <c r="E89" s="100">
        <v>6.2</v>
      </c>
      <c r="F89" s="151" t="s">
        <v>8</v>
      </c>
      <c r="G89" s="100">
        <v>52.4</v>
      </c>
      <c r="H89" s="100">
        <v>12.18</v>
      </c>
      <c r="I89" s="100">
        <v>9.8699999999999992</v>
      </c>
      <c r="J89" s="100">
        <v>0.14000000000000001</v>
      </c>
      <c r="K89" s="100">
        <v>137.91999999999999</v>
      </c>
      <c r="L89" s="100">
        <v>13.59</v>
      </c>
      <c r="M89" s="100">
        <v>16.079999999999998</v>
      </c>
      <c r="N89" s="100">
        <v>1.5</v>
      </c>
      <c r="O89" s="100">
        <v>0</v>
      </c>
      <c r="P89" s="100">
        <v>0.56999999999999995</v>
      </c>
      <c r="Q89" s="100">
        <v>9.32</v>
      </c>
      <c r="R89" s="6"/>
      <c r="S89" s="6"/>
      <c r="T89" s="156"/>
      <c r="U89" s="6"/>
    </row>
    <row r="90" spans="1:21" customFormat="1">
      <c r="A90" s="201" t="s">
        <v>2149</v>
      </c>
      <c r="B90" s="100">
        <v>11.81</v>
      </c>
      <c r="C90" s="100">
        <v>17.079999999999998</v>
      </c>
      <c r="D90" s="100">
        <v>18.399999999999999</v>
      </c>
      <c r="E90" s="100">
        <v>6.27</v>
      </c>
      <c r="F90" s="151" t="s">
        <v>8</v>
      </c>
      <c r="G90" s="100">
        <v>52.4</v>
      </c>
      <c r="H90" s="100">
        <v>12.18</v>
      </c>
      <c r="I90" s="100">
        <v>10.06</v>
      </c>
      <c r="J90" s="100">
        <v>0.22</v>
      </c>
      <c r="K90" s="100">
        <v>145.16999999999999</v>
      </c>
      <c r="L90" s="100">
        <v>14.74</v>
      </c>
      <c r="M90" s="100">
        <v>18.89</v>
      </c>
      <c r="N90" s="100">
        <v>1.5</v>
      </c>
      <c r="O90" s="100">
        <v>0</v>
      </c>
      <c r="P90" s="100">
        <v>0.6</v>
      </c>
      <c r="Q90" s="100">
        <v>9.32</v>
      </c>
      <c r="R90" s="6"/>
      <c r="S90" s="6"/>
      <c r="T90" s="156"/>
      <c r="U90" s="6"/>
    </row>
    <row r="91" spans="1:21" customFormat="1">
      <c r="A91" s="201" t="s">
        <v>2150</v>
      </c>
      <c r="B91" s="100">
        <v>13.13</v>
      </c>
      <c r="C91" s="100">
        <v>16.72</v>
      </c>
      <c r="D91" s="100">
        <v>19.260000000000002</v>
      </c>
      <c r="E91" s="100">
        <v>6.1</v>
      </c>
      <c r="F91" s="151" t="s">
        <v>8</v>
      </c>
      <c r="G91" s="100">
        <v>53.8</v>
      </c>
      <c r="H91" s="100">
        <v>12.49</v>
      </c>
      <c r="I91" s="100">
        <v>10.34</v>
      </c>
      <c r="J91" s="100">
        <v>0.21</v>
      </c>
      <c r="K91" s="100">
        <v>203.23</v>
      </c>
      <c r="L91" s="100">
        <v>18.399999999999999</v>
      </c>
      <c r="M91" s="100">
        <v>28.13</v>
      </c>
      <c r="N91" s="100">
        <v>1.8</v>
      </c>
      <c r="O91" s="100">
        <v>0</v>
      </c>
      <c r="P91" s="100">
        <v>0.62</v>
      </c>
      <c r="Q91" s="100">
        <v>9.32</v>
      </c>
      <c r="R91" s="6"/>
      <c r="S91" s="6"/>
      <c r="T91" s="156"/>
      <c r="U91" s="6"/>
    </row>
    <row r="92" spans="1:21" customFormat="1">
      <c r="A92" s="201" t="s">
        <v>2151</v>
      </c>
      <c r="B92" s="100">
        <v>13.81</v>
      </c>
      <c r="C92" s="100">
        <v>16.489999999999998</v>
      </c>
      <c r="D92" s="100">
        <v>19.690000000000001</v>
      </c>
      <c r="E92" s="100">
        <v>6.13</v>
      </c>
      <c r="F92" s="151" t="s">
        <v>8</v>
      </c>
      <c r="G92" s="100">
        <v>66.37</v>
      </c>
      <c r="H92" s="100">
        <v>14.71</v>
      </c>
      <c r="I92" s="100">
        <v>10.61</v>
      </c>
      <c r="J92" s="100">
        <v>0.16</v>
      </c>
      <c r="K92" s="100">
        <v>185.91</v>
      </c>
      <c r="L92" s="100">
        <v>17.12</v>
      </c>
      <c r="M92" s="100">
        <v>24.92</v>
      </c>
      <c r="N92" s="100">
        <v>1.7</v>
      </c>
      <c r="O92" s="100">
        <v>0</v>
      </c>
      <c r="P92" s="100">
        <v>0.64</v>
      </c>
      <c r="Q92" s="100">
        <v>9.32</v>
      </c>
      <c r="R92" s="6"/>
      <c r="S92" s="6"/>
      <c r="T92" s="156"/>
      <c r="U92" s="6"/>
    </row>
    <row r="93" spans="1:21" customFormat="1">
      <c r="A93" s="201" t="s">
        <v>2152</v>
      </c>
      <c r="B93" s="100">
        <v>13.96</v>
      </c>
      <c r="C93" s="100">
        <v>16.37</v>
      </c>
      <c r="D93" s="100">
        <v>19.75</v>
      </c>
      <c r="E93" s="100">
        <v>6.1</v>
      </c>
      <c r="F93" s="151" t="s">
        <v>8</v>
      </c>
      <c r="G93" s="100">
        <v>66.37</v>
      </c>
      <c r="H93" s="100">
        <v>14.71</v>
      </c>
      <c r="I93" s="100">
        <v>10.85</v>
      </c>
      <c r="J93" s="100">
        <v>0.25</v>
      </c>
      <c r="K93" s="100">
        <v>182.96</v>
      </c>
      <c r="L93" s="100">
        <v>16.940000000000001</v>
      </c>
      <c r="M93" s="100">
        <v>24.51</v>
      </c>
      <c r="N93" s="100">
        <v>1.6</v>
      </c>
      <c r="O93" s="100">
        <v>0</v>
      </c>
      <c r="P93" s="100">
        <v>0.65</v>
      </c>
      <c r="Q93" s="100">
        <v>9.32</v>
      </c>
      <c r="R93" s="6"/>
      <c r="S93" s="6"/>
      <c r="T93" s="156"/>
      <c r="U93" s="6"/>
    </row>
    <row r="94" spans="1:21" customFormat="1">
      <c r="A94" s="201" t="s">
        <v>2153</v>
      </c>
      <c r="B94" s="100">
        <v>13.98</v>
      </c>
      <c r="C94" s="100">
        <v>16.13</v>
      </c>
      <c r="D94" s="100">
        <v>19.64</v>
      </c>
      <c r="E94" s="100">
        <v>5.74</v>
      </c>
      <c r="F94" s="151" t="s">
        <v>8</v>
      </c>
      <c r="G94" s="100">
        <v>66.37</v>
      </c>
      <c r="H94" s="100">
        <v>14.71</v>
      </c>
      <c r="I94" s="100">
        <v>11.07</v>
      </c>
      <c r="J94" s="100">
        <v>0.28999999999999998</v>
      </c>
      <c r="K94" s="100">
        <v>173.7</v>
      </c>
      <c r="L94" s="100">
        <v>18.010000000000002</v>
      </c>
      <c r="M94" s="100">
        <v>27.16</v>
      </c>
      <c r="N94" s="100">
        <v>1.6</v>
      </c>
      <c r="O94" s="100">
        <v>0</v>
      </c>
      <c r="P94" s="100">
        <v>0.66</v>
      </c>
      <c r="Q94" s="100">
        <v>9.32</v>
      </c>
      <c r="R94" s="6"/>
      <c r="S94" s="6"/>
      <c r="T94" s="156"/>
      <c r="U94" s="6"/>
    </row>
    <row r="95" spans="1:21" customFormat="1">
      <c r="A95" s="201" t="s">
        <v>2154</v>
      </c>
      <c r="B95" s="100">
        <v>13.93</v>
      </c>
      <c r="C95" s="100">
        <v>16.100000000000001</v>
      </c>
      <c r="D95" s="100">
        <v>19.59</v>
      </c>
      <c r="E95" s="100">
        <v>5.87</v>
      </c>
      <c r="F95" s="151" t="s">
        <v>8</v>
      </c>
      <c r="G95" s="100">
        <v>65.38</v>
      </c>
      <c r="H95" s="100">
        <v>14.67</v>
      </c>
      <c r="I95" s="100">
        <v>11.47</v>
      </c>
      <c r="J95" s="100">
        <v>0.09</v>
      </c>
      <c r="K95" s="100">
        <v>173.31</v>
      </c>
      <c r="L95" s="100">
        <v>15.23</v>
      </c>
      <c r="M95" s="100">
        <v>20.239999999999998</v>
      </c>
      <c r="N95" s="100">
        <v>1.5</v>
      </c>
      <c r="O95" s="100">
        <v>0</v>
      </c>
      <c r="P95" s="100">
        <v>0.67</v>
      </c>
      <c r="Q95" s="100">
        <v>9.32</v>
      </c>
      <c r="R95" s="6"/>
      <c r="S95" s="6"/>
      <c r="T95" s="156"/>
      <c r="U95" s="6"/>
    </row>
    <row r="96" spans="1:21" customFormat="1">
      <c r="A96" s="201" t="s">
        <v>2155</v>
      </c>
      <c r="B96" s="100">
        <v>14.08</v>
      </c>
      <c r="C96" s="100">
        <v>15.87</v>
      </c>
      <c r="D96" s="100">
        <v>19.579999999999998</v>
      </c>
      <c r="E96" s="100">
        <v>6.28</v>
      </c>
      <c r="F96" s="151" t="s">
        <v>8</v>
      </c>
      <c r="G96" s="100">
        <v>56.54</v>
      </c>
      <c r="H96" s="100">
        <v>14.4</v>
      </c>
      <c r="I96" s="100">
        <v>11.88</v>
      </c>
      <c r="J96" s="100">
        <v>0.11</v>
      </c>
      <c r="K96" s="100">
        <v>196.71</v>
      </c>
      <c r="L96" s="100">
        <v>18.809999999999999</v>
      </c>
      <c r="M96" s="100">
        <v>29.06</v>
      </c>
      <c r="N96" s="100">
        <v>1.2</v>
      </c>
      <c r="O96" s="100">
        <v>0</v>
      </c>
      <c r="P96" s="100">
        <v>0.67</v>
      </c>
      <c r="Q96" s="100">
        <v>9.32</v>
      </c>
      <c r="R96" s="6"/>
      <c r="S96" s="6"/>
      <c r="T96" s="156"/>
      <c r="U96" s="6"/>
    </row>
    <row r="97" spans="1:28" customFormat="1">
      <c r="A97" s="201" t="s">
        <v>2156</v>
      </c>
      <c r="B97" s="100">
        <v>15.2</v>
      </c>
      <c r="C97" s="100">
        <v>16.16</v>
      </c>
      <c r="D97" s="100">
        <v>20.63</v>
      </c>
      <c r="E97" s="100">
        <v>6.29</v>
      </c>
      <c r="F97" s="151" t="s">
        <v>8</v>
      </c>
      <c r="G97" s="100">
        <v>56.54</v>
      </c>
      <c r="H97" s="100">
        <v>14.4</v>
      </c>
      <c r="I97" s="100">
        <v>12.02</v>
      </c>
      <c r="J97" s="100">
        <v>0.15</v>
      </c>
      <c r="K97" s="100">
        <v>183.59</v>
      </c>
      <c r="L97" s="100">
        <v>17.23</v>
      </c>
      <c r="M97" s="100">
        <v>25.23</v>
      </c>
      <c r="N97" s="100">
        <v>1.3</v>
      </c>
      <c r="O97" s="100">
        <v>0</v>
      </c>
      <c r="P97" s="100">
        <v>0.67</v>
      </c>
      <c r="Q97" s="100">
        <v>9.32</v>
      </c>
      <c r="R97" s="6"/>
      <c r="S97" s="6"/>
      <c r="T97" s="156"/>
      <c r="U97" s="6"/>
    </row>
    <row r="98" spans="1:28" customFormat="1">
      <c r="A98" s="201" t="s">
        <v>2157</v>
      </c>
      <c r="B98" s="100">
        <v>16.739999999999998</v>
      </c>
      <c r="C98" s="100">
        <v>16.78</v>
      </c>
      <c r="D98" s="100">
        <v>22.19</v>
      </c>
      <c r="E98" s="100">
        <v>6.29</v>
      </c>
      <c r="F98" s="151" t="s">
        <v>8</v>
      </c>
      <c r="G98" s="100">
        <v>56.54</v>
      </c>
      <c r="H98" s="100">
        <v>14.4</v>
      </c>
      <c r="I98" s="100">
        <v>12.14</v>
      </c>
      <c r="J98" s="100">
        <v>0.13</v>
      </c>
      <c r="K98" s="100">
        <v>172.63</v>
      </c>
      <c r="L98" s="100">
        <v>15.31</v>
      </c>
      <c r="M98" s="100">
        <v>20.47</v>
      </c>
      <c r="N98" s="100">
        <v>1.3</v>
      </c>
      <c r="O98" s="100">
        <v>0</v>
      </c>
      <c r="P98" s="100">
        <v>0.7</v>
      </c>
      <c r="Q98" s="100">
        <v>9.32</v>
      </c>
      <c r="R98" s="6"/>
      <c r="S98" s="6"/>
      <c r="T98" s="156"/>
      <c r="U98" s="6"/>
    </row>
    <row r="99" spans="1:28" customFormat="1">
      <c r="A99" s="201" t="s">
        <v>2158</v>
      </c>
      <c r="B99" s="100">
        <v>18.579999999999998</v>
      </c>
      <c r="C99" s="100">
        <v>16.86</v>
      </c>
      <c r="D99" s="100">
        <v>23.71</v>
      </c>
      <c r="E99" s="100">
        <v>6.42</v>
      </c>
      <c r="F99" s="151" t="s">
        <v>8</v>
      </c>
      <c r="G99" s="100">
        <v>57.18</v>
      </c>
      <c r="H99" s="100">
        <v>14.52</v>
      </c>
      <c r="I99" s="100">
        <v>12.28</v>
      </c>
      <c r="J99" s="100">
        <v>0.15</v>
      </c>
      <c r="K99" s="100">
        <v>178.68</v>
      </c>
      <c r="L99" s="100">
        <v>16.62</v>
      </c>
      <c r="M99" s="100">
        <v>23.72</v>
      </c>
      <c r="N99" s="100">
        <v>1.3</v>
      </c>
      <c r="O99" s="100">
        <v>0</v>
      </c>
      <c r="P99" s="100">
        <v>0.71</v>
      </c>
      <c r="Q99" s="100">
        <v>9.32</v>
      </c>
      <c r="R99" s="6"/>
      <c r="S99" s="6"/>
      <c r="T99" s="156"/>
      <c r="U99" s="6"/>
    </row>
    <row r="100" spans="1:28" customFormat="1">
      <c r="A100" s="201" t="s">
        <v>2159</v>
      </c>
      <c r="B100" s="100">
        <v>20.11</v>
      </c>
      <c r="C100" s="100">
        <v>16.809999999999999</v>
      </c>
      <c r="D100" s="100">
        <v>24.91</v>
      </c>
      <c r="E100" s="100">
        <v>6.13</v>
      </c>
      <c r="F100" s="151" t="s">
        <v>8</v>
      </c>
      <c r="G100" s="100">
        <v>62.97</v>
      </c>
      <c r="H100" s="100">
        <v>15.36</v>
      </c>
      <c r="I100" s="100">
        <v>12.46</v>
      </c>
      <c r="J100" s="100">
        <v>0.17</v>
      </c>
      <c r="K100" s="100">
        <v>199.84</v>
      </c>
      <c r="L100" s="100">
        <v>18.149999999999999</v>
      </c>
      <c r="M100" s="100">
        <v>27.52</v>
      </c>
      <c r="N100" s="100">
        <v>1.4</v>
      </c>
      <c r="O100" s="100">
        <v>0</v>
      </c>
      <c r="P100" s="100">
        <v>0.72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2160</v>
      </c>
      <c r="B101" s="100">
        <v>21.07</v>
      </c>
      <c r="C101" s="100">
        <v>16.899999999999999</v>
      </c>
      <c r="D101" s="100">
        <v>25.73</v>
      </c>
      <c r="E101" s="100">
        <v>6.1</v>
      </c>
      <c r="F101" s="151" t="s">
        <v>8</v>
      </c>
      <c r="G101" s="100">
        <v>62.97</v>
      </c>
      <c r="H101" s="100">
        <v>15.36</v>
      </c>
      <c r="I101" s="100">
        <v>12.68</v>
      </c>
      <c r="J101" s="100">
        <v>0.19</v>
      </c>
      <c r="K101" s="100">
        <v>215.01</v>
      </c>
      <c r="L101" s="100">
        <v>19.22</v>
      </c>
      <c r="M101" s="100">
        <v>30.18</v>
      </c>
      <c r="N101" s="100">
        <v>1.6</v>
      </c>
      <c r="O101" s="100">
        <v>0</v>
      </c>
      <c r="P101" s="100">
        <v>0.73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2161</v>
      </c>
      <c r="B102" s="100">
        <v>21.46</v>
      </c>
      <c r="C102" s="100">
        <v>16.850000000000001</v>
      </c>
      <c r="D102" s="100">
        <v>26.01</v>
      </c>
      <c r="E102" s="100">
        <v>6.36</v>
      </c>
      <c r="F102" s="151" t="s">
        <v>8</v>
      </c>
      <c r="G102" s="100">
        <v>62.97</v>
      </c>
      <c r="H102" s="100">
        <v>15.36</v>
      </c>
      <c r="I102" s="100">
        <v>12.8</v>
      </c>
      <c r="J102" s="100">
        <v>0.15</v>
      </c>
      <c r="K102" s="100">
        <v>210.15</v>
      </c>
      <c r="L102" s="100">
        <v>19.03</v>
      </c>
      <c r="M102" s="100">
        <v>29.72</v>
      </c>
      <c r="N102" s="100">
        <v>1.4</v>
      </c>
      <c r="O102" s="100">
        <v>0</v>
      </c>
      <c r="P102" s="100">
        <v>0.74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2162</v>
      </c>
      <c r="B103" s="100">
        <v>21.62</v>
      </c>
      <c r="C103" s="100">
        <v>16.64</v>
      </c>
      <c r="D103" s="100">
        <v>26.03</v>
      </c>
      <c r="E103" s="100">
        <v>6.36</v>
      </c>
      <c r="F103" s="151" t="s">
        <v>8</v>
      </c>
      <c r="G103" s="100">
        <v>62.08</v>
      </c>
      <c r="H103" s="100">
        <v>15.36</v>
      </c>
      <c r="I103" s="100">
        <v>12.89</v>
      </c>
      <c r="J103" s="100">
        <v>0.15</v>
      </c>
      <c r="K103" s="100">
        <v>207.1</v>
      </c>
      <c r="L103" s="100">
        <v>18.489999999999998</v>
      </c>
      <c r="M103" s="100">
        <v>28.28</v>
      </c>
      <c r="N103" s="100">
        <v>1.5</v>
      </c>
      <c r="O103" s="100">
        <v>0</v>
      </c>
      <c r="P103" s="100">
        <v>0.74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2163</v>
      </c>
      <c r="B104" s="100">
        <v>21.53</v>
      </c>
      <c r="C104" s="100">
        <v>16.38</v>
      </c>
      <c r="D104" s="100">
        <v>25.82</v>
      </c>
      <c r="E104" s="100">
        <v>6.3</v>
      </c>
      <c r="F104" s="151" t="s">
        <v>8</v>
      </c>
      <c r="G104" s="100">
        <v>54.11</v>
      </c>
      <c r="H104" s="100">
        <v>15.36</v>
      </c>
      <c r="I104" s="100">
        <v>13.01</v>
      </c>
      <c r="J104" s="100">
        <v>0.14000000000000001</v>
      </c>
      <c r="K104" s="100">
        <v>173.91</v>
      </c>
      <c r="L104" s="100">
        <v>15.97</v>
      </c>
      <c r="M104" s="100">
        <v>22.1</v>
      </c>
      <c r="N104" s="100">
        <v>1.5</v>
      </c>
      <c r="O104" s="100">
        <v>0</v>
      </c>
      <c r="P104" s="100">
        <v>0.74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3.19</v>
      </c>
      <c r="C106" s="158">
        <f>MIN(C9:C104)</f>
        <v>10.34</v>
      </c>
      <c r="D106" s="158">
        <f t="shared" ref="D106:Q106" si="0">MIN(D9:D104)</f>
        <v>8.0299999999999994</v>
      </c>
      <c r="E106" s="158">
        <f t="shared" si="0"/>
        <v>4.25</v>
      </c>
      <c r="F106" s="158">
        <f t="shared" si="0"/>
        <v>0</v>
      </c>
      <c r="G106" s="158">
        <f t="shared" si="0"/>
        <v>21.22</v>
      </c>
      <c r="H106" s="158">
        <f t="shared" si="0"/>
        <v>7.78</v>
      </c>
      <c r="I106" s="158">
        <f t="shared" si="0"/>
        <v>8.66</v>
      </c>
      <c r="J106" s="158">
        <f t="shared" si="0"/>
        <v>0.05</v>
      </c>
      <c r="K106" s="158">
        <f t="shared" si="0"/>
        <v>2.52</v>
      </c>
      <c r="L106" s="158">
        <f t="shared" si="0"/>
        <v>9.15</v>
      </c>
      <c r="M106" s="158">
        <f t="shared" si="0"/>
        <v>0.47</v>
      </c>
      <c r="N106" s="158">
        <f t="shared" si="0"/>
        <v>1</v>
      </c>
      <c r="O106" s="158">
        <f t="shared" si="0"/>
        <v>0</v>
      </c>
      <c r="P106" s="158">
        <f t="shared" si="0"/>
        <v>0.4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21.62</v>
      </c>
      <c r="C107" s="157">
        <f t="shared" ref="C107:Q107" si="1">MAX(C9:C104)</f>
        <v>17.78</v>
      </c>
      <c r="D107" s="157">
        <f t="shared" si="1"/>
        <v>26.03</v>
      </c>
      <c r="E107" s="157">
        <f t="shared" si="1"/>
        <v>6.54</v>
      </c>
      <c r="F107" s="157">
        <f t="shared" si="1"/>
        <v>0</v>
      </c>
      <c r="G107" s="157">
        <f t="shared" si="1"/>
        <v>90.27</v>
      </c>
      <c r="H107" s="157">
        <f t="shared" si="1"/>
        <v>22</v>
      </c>
      <c r="I107" s="157">
        <f t="shared" si="1"/>
        <v>14.12</v>
      </c>
      <c r="J107" s="157">
        <f t="shared" si="1"/>
        <v>0.82</v>
      </c>
      <c r="K107" s="157">
        <f t="shared" si="1"/>
        <v>359.39</v>
      </c>
      <c r="L107" s="157">
        <f t="shared" si="1"/>
        <v>25.18</v>
      </c>
      <c r="M107" s="157">
        <f t="shared" si="1"/>
        <v>35.090000000000003</v>
      </c>
      <c r="N107" s="157">
        <f t="shared" si="1"/>
        <v>554.9</v>
      </c>
      <c r="O107" s="157">
        <f t="shared" si="1"/>
        <v>0</v>
      </c>
      <c r="P107" s="157">
        <f t="shared" si="1"/>
        <v>0.79</v>
      </c>
      <c r="Q107" s="157">
        <f t="shared" si="1"/>
        <v>10.09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9.8313541666666708</v>
      </c>
      <c r="C108" s="158">
        <f t="shared" ref="C108:Q108" si="2">AVERAGE(C9:C104)</f>
        <v>14.060833333333328</v>
      </c>
      <c r="D108" s="158">
        <f t="shared" si="2"/>
        <v>15.229791666666671</v>
      </c>
      <c r="E108" s="158">
        <f t="shared" si="2"/>
        <v>5.9021874999999993</v>
      </c>
      <c r="F108" s="158" t="e">
        <f t="shared" si="2"/>
        <v>#DIV/0!</v>
      </c>
      <c r="G108" s="158">
        <f t="shared" si="2"/>
        <v>43.363437499999996</v>
      </c>
      <c r="H108" s="158">
        <f t="shared" si="2"/>
        <v>13.618645833333339</v>
      </c>
      <c r="I108" s="158">
        <f t="shared" si="2"/>
        <v>11.212916666666665</v>
      </c>
      <c r="J108" s="158">
        <f t="shared" si="2"/>
        <v>0.2429166666666667</v>
      </c>
      <c r="K108" s="158">
        <f t="shared" si="2"/>
        <v>139.22395833333334</v>
      </c>
      <c r="L108" s="158">
        <f t="shared" si="2"/>
        <v>16.480416666666663</v>
      </c>
      <c r="M108" s="158">
        <f t="shared" si="2"/>
        <v>20.643541666666678</v>
      </c>
      <c r="N108" s="158">
        <f t="shared" si="2"/>
        <v>110.03749999999995</v>
      </c>
      <c r="O108" s="158">
        <f t="shared" si="2"/>
        <v>0</v>
      </c>
      <c r="P108" s="158">
        <f t="shared" si="2"/>
        <v>0.60572916666666665</v>
      </c>
      <c r="Q108" s="158">
        <f t="shared" si="2"/>
        <v>9.3454166666666847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5.1780749562161512</v>
      </c>
      <c r="C109" s="158">
        <f t="shared" ref="C109:Q109" si="3">STDEV(C9:C104)</f>
        <v>2.2060503724108833</v>
      </c>
      <c r="D109" s="158">
        <f t="shared" si="3"/>
        <v>4.9425525004088984</v>
      </c>
      <c r="E109" s="158">
        <f t="shared" si="3"/>
        <v>0.345403511166745</v>
      </c>
      <c r="F109" s="158" t="e">
        <f t="shared" si="3"/>
        <v>#DIV/0!</v>
      </c>
      <c r="G109" s="158">
        <f t="shared" si="3"/>
        <v>19.204512453731471</v>
      </c>
      <c r="H109" s="158">
        <f t="shared" si="3"/>
        <v>4.0727827341464256</v>
      </c>
      <c r="I109" s="158">
        <f t="shared" si="3"/>
        <v>1.563710780006587</v>
      </c>
      <c r="J109" s="158">
        <f t="shared" si="3"/>
        <v>0.16469376153248588</v>
      </c>
      <c r="K109" s="158">
        <f t="shared" si="3"/>
        <v>83.874151459874824</v>
      </c>
      <c r="L109" s="158">
        <f t="shared" si="3"/>
        <v>3.0509546104601224</v>
      </c>
      <c r="M109" s="158">
        <f t="shared" si="3"/>
        <v>7.8192973138547295</v>
      </c>
      <c r="N109" s="158">
        <f t="shared" si="3"/>
        <v>178.97051109639622</v>
      </c>
      <c r="O109" s="158">
        <f t="shared" si="3"/>
        <v>0</v>
      </c>
      <c r="P109" s="158">
        <f t="shared" si="3"/>
        <v>0.1141720289430936</v>
      </c>
      <c r="Q109" s="158">
        <f t="shared" si="3"/>
        <v>0.10395258703311426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2164</v>
      </c>
      <c r="B9" s="100">
        <v>21.16</v>
      </c>
      <c r="C9" s="100">
        <v>15.37</v>
      </c>
      <c r="D9" s="100">
        <v>24.99</v>
      </c>
      <c r="E9" s="100">
        <v>6.02</v>
      </c>
      <c r="F9" s="100">
        <v>0</v>
      </c>
      <c r="G9" s="100">
        <v>54.11</v>
      </c>
      <c r="H9" s="100">
        <v>15.36</v>
      </c>
      <c r="I9" s="100">
        <v>13.1</v>
      </c>
      <c r="J9" s="100">
        <v>0.08</v>
      </c>
      <c r="K9" s="100">
        <v>144.61000000000001</v>
      </c>
      <c r="L9" s="100">
        <v>13.61</v>
      </c>
      <c r="M9" s="100">
        <v>16.21</v>
      </c>
      <c r="N9" s="100">
        <v>1.3</v>
      </c>
      <c r="O9" s="100">
        <v>0</v>
      </c>
      <c r="P9" s="100">
        <v>0.75</v>
      </c>
      <c r="Q9" s="100">
        <v>9.32</v>
      </c>
      <c r="R9" s="6"/>
      <c r="S9" s="6"/>
      <c r="T9" s="156"/>
      <c r="U9" s="6"/>
    </row>
    <row r="10" spans="1:21" customFormat="1">
      <c r="A10" s="201" t="s">
        <v>2165</v>
      </c>
      <c r="B10" s="100">
        <v>21.39</v>
      </c>
      <c r="C10" s="100">
        <v>15.93</v>
      </c>
      <c r="D10" s="100">
        <v>25.48</v>
      </c>
      <c r="E10" s="100">
        <v>6.31</v>
      </c>
      <c r="F10" s="100">
        <v>0</v>
      </c>
      <c r="G10" s="100">
        <v>54.11</v>
      </c>
      <c r="H10" s="100">
        <v>15.36</v>
      </c>
      <c r="I10" s="100">
        <v>13.2</v>
      </c>
      <c r="J10" s="100">
        <v>0.13</v>
      </c>
      <c r="K10" s="100">
        <v>211.73</v>
      </c>
      <c r="L10" s="100">
        <v>18.829999999999998</v>
      </c>
      <c r="M10" s="100">
        <v>29.2</v>
      </c>
      <c r="N10" s="100">
        <v>1.1000000000000001</v>
      </c>
      <c r="O10" s="100">
        <v>0</v>
      </c>
      <c r="P10" s="100">
        <v>0.75</v>
      </c>
      <c r="Q10" s="100">
        <v>9.32</v>
      </c>
      <c r="R10" s="6"/>
      <c r="S10" s="6"/>
      <c r="T10" s="156"/>
      <c r="U10" s="6"/>
    </row>
    <row r="11" spans="1:21" customFormat="1">
      <c r="A11" s="201" t="s">
        <v>2166</v>
      </c>
      <c r="B11" s="100">
        <v>22</v>
      </c>
      <c r="C11" s="100">
        <v>16.260000000000002</v>
      </c>
      <c r="D11" s="100">
        <v>26.14</v>
      </c>
      <c r="E11" s="100">
        <v>6.54</v>
      </c>
      <c r="F11" s="100">
        <v>0</v>
      </c>
      <c r="G11" s="100">
        <v>53.39</v>
      </c>
      <c r="H11" s="100">
        <v>16.02</v>
      </c>
      <c r="I11" s="100">
        <v>13.36</v>
      </c>
      <c r="J11" s="100">
        <v>0.12</v>
      </c>
      <c r="K11" s="100">
        <v>179.05</v>
      </c>
      <c r="L11" s="100">
        <v>16.579999999999998</v>
      </c>
      <c r="M11" s="100">
        <v>23.57</v>
      </c>
      <c r="N11" s="100">
        <v>1.2</v>
      </c>
      <c r="O11" s="100">
        <v>0</v>
      </c>
      <c r="P11" s="100">
        <v>0.75</v>
      </c>
      <c r="Q11" s="100">
        <v>9.32</v>
      </c>
      <c r="R11" s="6"/>
      <c r="S11" s="6"/>
      <c r="T11" s="156"/>
      <c r="U11" s="6"/>
    </row>
    <row r="12" spans="1:21" customFormat="1">
      <c r="A12" s="201" t="s">
        <v>2167</v>
      </c>
      <c r="B12" s="100">
        <v>22.32</v>
      </c>
      <c r="C12" s="100">
        <v>16.36</v>
      </c>
      <c r="D12" s="100">
        <v>26.44</v>
      </c>
      <c r="E12" s="100">
        <v>6.3</v>
      </c>
      <c r="F12" s="100">
        <v>0</v>
      </c>
      <c r="G12" s="100">
        <v>46.83</v>
      </c>
      <c r="H12" s="100">
        <v>16.27</v>
      </c>
      <c r="I12" s="100">
        <v>13.53</v>
      </c>
      <c r="J12" s="100">
        <v>0.17</v>
      </c>
      <c r="K12" s="100">
        <v>167.42</v>
      </c>
      <c r="L12" s="100">
        <v>15.61</v>
      </c>
      <c r="M12" s="100">
        <v>21.14</v>
      </c>
      <c r="N12" s="100">
        <v>1.4</v>
      </c>
      <c r="O12" s="100">
        <v>0</v>
      </c>
      <c r="P12" s="100">
        <v>0.76</v>
      </c>
      <c r="Q12" s="100">
        <v>9.32</v>
      </c>
      <c r="R12" s="6"/>
      <c r="S12" s="6"/>
      <c r="T12" s="156"/>
      <c r="U12" s="6"/>
    </row>
    <row r="13" spans="1:21" customFormat="1">
      <c r="A13" s="201" t="s">
        <v>2168</v>
      </c>
      <c r="B13" s="100">
        <v>21.99</v>
      </c>
      <c r="C13" s="100">
        <v>16.010000000000002</v>
      </c>
      <c r="D13" s="100">
        <v>26</v>
      </c>
      <c r="E13" s="100">
        <v>6.34</v>
      </c>
      <c r="F13" s="100">
        <v>0</v>
      </c>
      <c r="G13" s="100">
        <v>46.83</v>
      </c>
      <c r="H13" s="100">
        <v>16.27</v>
      </c>
      <c r="I13" s="100">
        <v>13.7</v>
      </c>
      <c r="J13" s="100">
        <v>0.19</v>
      </c>
      <c r="K13" s="100">
        <v>206.07</v>
      </c>
      <c r="L13" s="100">
        <v>18.579999999999998</v>
      </c>
      <c r="M13" s="100">
        <v>28.49</v>
      </c>
      <c r="N13" s="100">
        <v>1.4</v>
      </c>
      <c r="O13" s="100">
        <v>0</v>
      </c>
      <c r="P13" s="100">
        <v>0.75</v>
      </c>
      <c r="Q13" s="100">
        <v>9.39</v>
      </c>
      <c r="R13" s="6"/>
      <c r="S13" s="6"/>
      <c r="T13" s="156"/>
      <c r="U13" s="6"/>
    </row>
    <row r="14" spans="1:21" customFormat="1">
      <c r="A14" s="201" t="s">
        <v>2169</v>
      </c>
      <c r="B14" s="100">
        <v>21.53</v>
      </c>
      <c r="C14" s="100">
        <v>15.87</v>
      </c>
      <c r="D14" s="100">
        <v>25.56</v>
      </c>
      <c r="E14" s="100">
        <v>6.58</v>
      </c>
      <c r="F14" s="100">
        <v>0</v>
      </c>
      <c r="G14" s="100">
        <v>46.83</v>
      </c>
      <c r="H14" s="100">
        <v>16.27</v>
      </c>
      <c r="I14" s="100">
        <v>13.86</v>
      </c>
      <c r="J14" s="100">
        <v>0.13</v>
      </c>
      <c r="K14" s="100">
        <v>190.03</v>
      </c>
      <c r="L14" s="100">
        <v>17.5</v>
      </c>
      <c r="M14" s="100">
        <v>25.77</v>
      </c>
      <c r="N14" s="100">
        <v>1.6</v>
      </c>
      <c r="O14" s="100">
        <v>0</v>
      </c>
      <c r="P14" s="100">
        <v>0.76</v>
      </c>
      <c r="Q14" s="100">
        <v>9.83</v>
      </c>
      <c r="R14" s="6"/>
      <c r="S14" s="6"/>
      <c r="T14" s="156"/>
      <c r="U14" s="6"/>
    </row>
    <row r="15" spans="1:21" customFormat="1">
      <c r="A15" s="201" t="s">
        <v>2170</v>
      </c>
      <c r="B15" s="100">
        <v>20.98</v>
      </c>
      <c r="C15" s="100">
        <v>15.62</v>
      </c>
      <c r="D15" s="100">
        <v>24.98</v>
      </c>
      <c r="E15" s="100">
        <v>6.45</v>
      </c>
      <c r="F15" s="100">
        <v>0</v>
      </c>
      <c r="G15" s="100">
        <v>45.95</v>
      </c>
      <c r="H15" s="100">
        <v>16.21</v>
      </c>
      <c r="I15" s="100">
        <v>13.94</v>
      </c>
      <c r="J15" s="100">
        <v>0.11</v>
      </c>
      <c r="K15" s="100">
        <v>186.54</v>
      </c>
      <c r="L15" s="100">
        <v>15.94</v>
      </c>
      <c r="M15" s="100">
        <v>21.86</v>
      </c>
      <c r="N15" s="100">
        <v>1.5</v>
      </c>
      <c r="O15" s="100">
        <v>0</v>
      </c>
      <c r="P15" s="100">
        <v>0.75</v>
      </c>
      <c r="Q15" s="100">
        <v>10.08</v>
      </c>
      <c r="R15" s="6"/>
      <c r="S15" s="6"/>
      <c r="T15" s="156"/>
      <c r="U15" s="6"/>
    </row>
    <row r="16" spans="1:21" customFormat="1">
      <c r="A16" s="201" t="s">
        <v>2171</v>
      </c>
      <c r="B16" s="100">
        <v>20.47</v>
      </c>
      <c r="C16" s="100">
        <v>15.34</v>
      </c>
      <c r="D16" s="100">
        <v>24.43</v>
      </c>
      <c r="E16" s="100">
        <v>6.17</v>
      </c>
      <c r="F16" s="100">
        <v>0</v>
      </c>
      <c r="G16" s="100">
        <v>38.03</v>
      </c>
      <c r="H16" s="100">
        <v>15.76</v>
      </c>
      <c r="I16" s="100">
        <v>13.92</v>
      </c>
      <c r="J16" s="100">
        <v>0.04</v>
      </c>
      <c r="K16" s="100">
        <v>264.8</v>
      </c>
      <c r="L16" s="100">
        <v>18.68</v>
      </c>
      <c r="M16" s="100">
        <v>28.69</v>
      </c>
      <c r="N16" s="100">
        <v>1.3</v>
      </c>
      <c r="O16" s="100">
        <v>0</v>
      </c>
      <c r="P16" s="100">
        <v>0.75</v>
      </c>
      <c r="Q16" s="100">
        <v>10.02</v>
      </c>
      <c r="R16" s="6"/>
      <c r="S16" s="6"/>
      <c r="T16" s="156"/>
      <c r="U16" s="6"/>
    </row>
    <row r="17" spans="1:21" customFormat="1">
      <c r="A17" s="201" t="s">
        <v>2172</v>
      </c>
      <c r="B17" s="100">
        <v>20.93</v>
      </c>
      <c r="C17" s="100">
        <v>15.19</v>
      </c>
      <c r="D17" s="100">
        <v>24.72</v>
      </c>
      <c r="E17" s="100">
        <v>4.96</v>
      </c>
      <c r="F17" s="100">
        <v>0</v>
      </c>
      <c r="G17" s="100">
        <v>38.03</v>
      </c>
      <c r="H17" s="100">
        <v>15.76</v>
      </c>
      <c r="I17" s="100">
        <v>13.88</v>
      </c>
      <c r="J17" s="100">
        <v>0.13</v>
      </c>
      <c r="K17" s="100">
        <v>153.38999999999999</v>
      </c>
      <c r="L17" s="100">
        <v>16.54</v>
      </c>
      <c r="M17" s="100">
        <v>22.6</v>
      </c>
      <c r="N17" s="100">
        <v>1.2</v>
      </c>
      <c r="O17" s="100">
        <v>0</v>
      </c>
      <c r="P17" s="100">
        <v>0.75</v>
      </c>
      <c r="Q17" s="100">
        <v>10.07</v>
      </c>
      <c r="R17" s="6"/>
      <c r="S17" s="6"/>
      <c r="T17" s="156"/>
      <c r="U17" s="6"/>
    </row>
    <row r="18" spans="1:21" customFormat="1">
      <c r="A18" s="201" t="s">
        <v>2173</v>
      </c>
      <c r="B18" s="100">
        <v>22.96</v>
      </c>
      <c r="C18" s="100">
        <v>15.48</v>
      </c>
      <c r="D18" s="100">
        <v>26.5</v>
      </c>
      <c r="E18" s="100">
        <v>6.19</v>
      </c>
      <c r="F18" s="100">
        <v>0</v>
      </c>
      <c r="G18" s="100">
        <v>38.03</v>
      </c>
      <c r="H18" s="100">
        <v>15.76</v>
      </c>
      <c r="I18" s="100">
        <v>13.87</v>
      </c>
      <c r="J18" s="100">
        <v>0.12</v>
      </c>
      <c r="K18" s="100">
        <v>165.01</v>
      </c>
      <c r="L18" s="100">
        <v>17.440000000000001</v>
      </c>
      <c r="M18" s="100">
        <v>25.53</v>
      </c>
      <c r="N18" s="100">
        <v>1.1000000000000001</v>
      </c>
      <c r="O18" s="100">
        <v>0</v>
      </c>
      <c r="P18" s="100">
        <v>0.75</v>
      </c>
      <c r="Q18" s="100">
        <v>10.039999999999999</v>
      </c>
      <c r="R18" s="6"/>
      <c r="S18" s="6"/>
      <c r="T18" s="156"/>
      <c r="U18" s="6"/>
    </row>
    <row r="19" spans="1:21" customFormat="1">
      <c r="A19" s="201" t="s">
        <v>2174</v>
      </c>
      <c r="B19" s="100">
        <v>24.74</v>
      </c>
      <c r="C19" s="100">
        <v>15.86</v>
      </c>
      <c r="D19" s="100">
        <v>28.12</v>
      </c>
      <c r="E19" s="100">
        <v>3.63</v>
      </c>
      <c r="F19" s="100">
        <v>0</v>
      </c>
      <c r="G19" s="100">
        <v>38.65</v>
      </c>
      <c r="H19" s="100">
        <v>15.73</v>
      </c>
      <c r="I19" s="100">
        <v>13.94</v>
      </c>
      <c r="J19" s="100">
        <v>0.15</v>
      </c>
      <c r="K19" s="100">
        <v>192.98</v>
      </c>
      <c r="L19" s="100">
        <v>18.09</v>
      </c>
      <c r="M19" s="100">
        <v>27.25</v>
      </c>
      <c r="N19" s="100">
        <v>1.3</v>
      </c>
      <c r="O19" s="100">
        <v>0</v>
      </c>
      <c r="P19" s="100">
        <v>0.77</v>
      </c>
      <c r="Q19" s="100">
        <v>10.050000000000001</v>
      </c>
      <c r="R19" s="6"/>
      <c r="S19" s="6"/>
      <c r="T19" s="156"/>
      <c r="U19" s="6"/>
    </row>
    <row r="20" spans="1:21" customFormat="1">
      <c r="A20" s="201" t="s">
        <v>2175</v>
      </c>
      <c r="B20" s="100">
        <v>25.79</v>
      </c>
      <c r="C20" s="100">
        <v>16</v>
      </c>
      <c r="D20" s="100">
        <v>29.04</v>
      </c>
      <c r="E20" s="100">
        <v>5.82</v>
      </c>
      <c r="F20" s="100">
        <v>0</v>
      </c>
      <c r="G20" s="100">
        <v>44.23</v>
      </c>
      <c r="H20" s="100">
        <v>15.47</v>
      </c>
      <c r="I20" s="100">
        <v>14.08</v>
      </c>
      <c r="J20" s="100">
        <v>0.15</v>
      </c>
      <c r="K20" s="100">
        <v>189.73</v>
      </c>
      <c r="L20" s="100">
        <v>17.75</v>
      </c>
      <c r="M20" s="100">
        <v>26.39</v>
      </c>
      <c r="N20" s="100">
        <v>1.4</v>
      </c>
      <c r="O20" s="100">
        <v>0</v>
      </c>
      <c r="P20" s="100">
        <v>0.77</v>
      </c>
      <c r="Q20" s="100">
        <v>9.89</v>
      </c>
      <c r="R20" s="6"/>
      <c r="S20" s="6"/>
      <c r="T20" s="156"/>
      <c r="U20" s="6"/>
    </row>
    <row r="21" spans="1:21" customFormat="1">
      <c r="A21" s="201" t="s">
        <v>2176</v>
      </c>
      <c r="B21" s="100">
        <v>26.28</v>
      </c>
      <c r="C21" s="100">
        <v>15.84</v>
      </c>
      <c r="D21" s="100">
        <v>29.35</v>
      </c>
      <c r="E21" s="100">
        <v>5.94</v>
      </c>
      <c r="F21" s="100">
        <v>0</v>
      </c>
      <c r="G21" s="100">
        <v>44.23</v>
      </c>
      <c r="H21" s="100">
        <v>15.47</v>
      </c>
      <c r="I21" s="100">
        <v>14.2</v>
      </c>
      <c r="J21" s="100">
        <v>0.14000000000000001</v>
      </c>
      <c r="K21" s="100">
        <v>168.28</v>
      </c>
      <c r="L21" s="100">
        <v>15.55</v>
      </c>
      <c r="M21" s="100">
        <v>20.93</v>
      </c>
      <c r="N21" s="100">
        <v>1.5</v>
      </c>
      <c r="O21" s="100">
        <v>0</v>
      </c>
      <c r="P21" s="100">
        <v>0.77</v>
      </c>
      <c r="Q21" s="100">
        <v>9.92</v>
      </c>
      <c r="R21" s="6"/>
      <c r="S21" s="6"/>
      <c r="T21" s="156"/>
      <c r="U21" s="6"/>
    </row>
    <row r="22" spans="1:21" customFormat="1">
      <c r="A22" s="201" t="s">
        <v>2177</v>
      </c>
      <c r="B22" s="100">
        <v>26.9</v>
      </c>
      <c r="C22" s="100">
        <v>15.8</v>
      </c>
      <c r="D22" s="100">
        <v>29.83</v>
      </c>
      <c r="E22" s="100">
        <v>5.97</v>
      </c>
      <c r="F22" s="100">
        <v>0</v>
      </c>
      <c r="G22" s="100">
        <v>44.23</v>
      </c>
      <c r="H22" s="100">
        <v>15.47</v>
      </c>
      <c r="I22" s="100">
        <v>14.36</v>
      </c>
      <c r="J22" s="100">
        <v>0.13</v>
      </c>
      <c r="K22" s="100">
        <v>209.83</v>
      </c>
      <c r="L22" s="100">
        <v>19.2</v>
      </c>
      <c r="M22" s="100">
        <v>29.97</v>
      </c>
      <c r="N22" s="100">
        <v>1.4</v>
      </c>
      <c r="O22" s="100">
        <v>0</v>
      </c>
      <c r="P22" s="100">
        <v>0.77</v>
      </c>
      <c r="Q22" s="100">
        <v>9.81</v>
      </c>
      <c r="R22" s="6"/>
      <c r="S22" s="6"/>
      <c r="T22" s="156"/>
      <c r="U22" s="6"/>
    </row>
    <row r="23" spans="1:21" customFormat="1">
      <c r="A23" s="201" t="s">
        <v>2178</v>
      </c>
      <c r="B23" s="100">
        <v>27.27</v>
      </c>
      <c r="C23" s="100">
        <v>15.69</v>
      </c>
      <c r="D23" s="100">
        <v>30.07</v>
      </c>
      <c r="E23" s="100">
        <v>6</v>
      </c>
      <c r="F23" s="100">
        <v>0</v>
      </c>
      <c r="G23" s="100">
        <v>43.84</v>
      </c>
      <c r="H23" s="100">
        <v>15.5</v>
      </c>
      <c r="I23" s="100">
        <v>14.5</v>
      </c>
      <c r="J23" s="100">
        <v>0.14000000000000001</v>
      </c>
      <c r="K23" s="100">
        <v>170.27</v>
      </c>
      <c r="L23" s="100">
        <v>16.27</v>
      </c>
      <c r="M23" s="100">
        <v>22.71</v>
      </c>
      <c r="N23" s="100">
        <v>1.6</v>
      </c>
      <c r="O23" s="100">
        <v>0</v>
      </c>
      <c r="P23" s="100">
        <v>0.78</v>
      </c>
      <c r="Q23" s="100">
        <v>9.65</v>
      </c>
      <c r="R23" s="6"/>
      <c r="S23" s="6"/>
      <c r="T23" s="156"/>
      <c r="U23" s="6"/>
    </row>
    <row r="24" spans="1:21" customFormat="1">
      <c r="A24" s="201" t="s">
        <v>2179</v>
      </c>
      <c r="B24" s="100">
        <v>27.9</v>
      </c>
      <c r="C24" s="100">
        <v>15.77</v>
      </c>
      <c r="D24" s="100">
        <v>30.61</v>
      </c>
      <c r="E24" s="100">
        <v>6.35</v>
      </c>
      <c r="F24" s="100">
        <v>0</v>
      </c>
      <c r="G24" s="100">
        <v>40.35</v>
      </c>
      <c r="H24" s="100">
        <v>15.7</v>
      </c>
      <c r="I24" s="100">
        <v>14.62</v>
      </c>
      <c r="J24" s="100">
        <v>0.13</v>
      </c>
      <c r="K24" s="100">
        <v>187.63</v>
      </c>
      <c r="L24" s="100">
        <v>17.170000000000002</v>
      </c>
      <c r="M24" s="100">
        <v>24.97</v>
      </c>
      <c r="N24" s="100">
        <v>1.6</v>
      </c>
      <c r="O24" s="100">
        <v>0</v>
      </c>
      <c r="P24" s="100">
        <v>0.78</v>
      </c>
      <c r="Q24" s="100">
        <v>9.42</v>
      </c>
      <c r="R24" s="6"/>
      <c r="S24" s="6"/>
      <c r="T24" s="156"/>
      <c r="U24" s="6"/>
    </row>
    <row r="25" spans="1:21" customFormat="1">
      <c r="A25" s="201" t="s">
        <v>2180</v>
      </c>
      <c r="B25" s="100">
        <v>28.91</v>
      </c>
      <c r="C25" s="100">
        <v>15.73</v>
      </c>
      <c r="D25" s="100">
        <v>31.4</v>
      </c>
      <c r="E25" s="100">
        <v>5.8</v>
      </c>
      <c r="F25" s="100">
        <v>0</v>
      </c>
      <c r="G25" s="100">
        <v>40.35</v>
      </c>
      <c r="H25" s="100">
        <v>15.7</v>
      </c>
      <c r="I25" s="100">
        <v>14.77</v>
      </c>
      <c r="J25" s="100">
        <v>0.16</v>
      </c>
      <c r="K25" s="100">
        <v>222.36</v>
      </c>
      <c r="L25" s="100">
        <v>19.27</v>
      </c>
      <c r="M25" s="100">
        <v>30.12</v>
      </c>
      <c r="N25" s="100">
        <v>1.5</v>
      </c>
      <c r="O25" s="100">
        <v>0</v>
      </c>
      <c r="P25" s="100">
        <v>0.79</v>
      </c>
      <c r="Q25" s="100">
        <v>9.32</v>
      </c>
      <c r="R25" s="6"/>
      <c r="S25" s="6"/>
      <c r="T25" s="156"/>
      <c r="U25" s="6"/>
    </row>
    <row r="26" spans="1:21" customFormat="1">
      <c r="A26" s="201" t="s">
        <v>2181</v>
      </c>
      <c r="B26" s="100">
        <v>30.51</v>
      </c>
      <c r="C26" s="100">
        <v>16</v>
      </c>
      <c r="D26" s="100">
        <v>32.83</v>
      </c>
      <c r="E26" s="100">
        <v>5.81</v>
      </c>
      <c r="F26" s="100">
        <v>0</v>
      </c>
      <c r="G26" s="100">
        <v>40.35</v>
      </c>
      <c r="H26" s="100">
        <v>15.7</v>
      </c>
      <c r="I26" s="100">
        <v>14.98</v>
      </c>
      <c r="J26" s="100">
        <v>0.12</v>
      </c>
      <c r="K26" s="100">
        <v>167.28</v>
      </c>
      <c r="L26" s="100">
        <v>15.31</v>
      </c>
      <c r="M26" s="100">
        <v>20.32</v>
      </c>
      <c r="N26" s="100">
        <v>1.5</v>
      </c>
      <c r="O26" s="100">
        <v>0</v>
      </c>
      <c r="P26" s="100">
        <v>0.8</v>
      </c>
      <c r="Q26" s="100">
        <v>9.32</v>
      </c>
      <c r="R26" s="6"/>
      <c r="S26" s="6"/>
      <c r="T26" s="156"/>
      <c r="U26" s="6"/>
    </row>
    <row r="27" spans="1:21" customFormat="1">
      <c r="A27" s="201" t="s">
        <v>2182</v>
      </c>
      <c r="B27" s="100">
        <v>32.35</v>
      </c>
      <c r="C27" s="100">
        <v>16.25</v>
      </c>
      <c r="D27" s="100">
        <v>34.43</v>
      </c>
      <c r="E27" s="100">
        <v>6.17</v>
      </c>
      <c r="F27" s="100">
        <v>0</v>
      </c>
      <c r="G27" s="100">
        <v>40.65</v>
      </c>
      <c r="H27" s="100">
        <v>15.77</v>
      </c>
      <c r="I27" s="100">
        <v>15.21</v>
      </c>
      <c r="J27" s="100">
        <v>0.18</v>
      </c>
      <c r="K27" s="100">
        <v>191.67</v>
      </c>
      <c r="L27" s="100">
        <v>17.760000000000002</v>
      </c>
      <c r="M27" s="100">
        <v>26.38</v>
      </c>
      <c r="N27" s="100">
        <v>1.3</v>
      </c>
      <c r="O27" s="100">
        <v>0</v>
      </c>
      <c r="P27" s="100">
        <v>0.82</v>
      </c>
      <c r="Q27" s="100">
        <v>9.32</v>
      </c>
      <c r="R27" s="6"/>
      <c r="S27" s="6"/>
      <c r="T27" s="156"/>
      <c r="U27" s="6"/>
    </row>
    <row r="28" spans="1:21" customFormat="1">
      <c r="A28" s="201" t="s">
        <v>2183</v>
      </c>
      <c r="B28" s="100">
        <v>33.14</v>
      </c>
      <c r="C28" s="100">
        <v>16.37</v>
      </c>
      <c r="D28" s="100">
        <v>35.130000000000003</v>
      </c>
      <c r="E28" s="100">
        <v>5.98</v>
      </c>
      <c r="F28" s="151" t="s">
        <v>8</v>
      </c>
      <c r="G28" s="100">
        <v>43.31</v>
      </c>
      <c r="H28" s="100">
        <v>16.309999999999999</v>
      </c>
      <c r="I28" s="100">
        <v>15.45</v>
      </c>
      <c r="J28" s="100">
        <v>0.1</v>
      </c>
      <c r="K28" s="100">
        <v>80.27</v>
      </c>
      <c r="L28" s="100">
        <v>12.05</v>
      </c>
      <c r="M28" s="100">
        <v>12.11</v>
      </c>
      <c r="N28" s="100">
        <v>1.5</v>
      </c>
      <c r="O28" s="100">
        <v>0</v>
      </c>
      <c r="P28" s="100">
        <v>0.83</v>
      </c>
      <c r="Q28" s="100">
        <v>9.32</v>
      </c>
      <c r="R28" s="6"/>
      <c r="S28" s="6"/>
      <c r="T28" s="156"/>
      <c r="U28" s="6"/>
    </row>
    <row r="29" spans="1:21" customFormat="1">
      <c r="A29" s="201" t="s">
        <v>2184</v>
      </c>
      <c r="B29" s="100">
        <v>33.99</v>
      </c>
      <c r="C29" s="100">
        <v>16.46</v>
      </c>
      <c r="D29" s="100">
        <v>35.86</v>
      </c>
      <c r="E29" s="100">
        <v>5.95</v>
      </c>
      <c r="F29" s="151" t="s">
        <v>8</v>
      </c>
      <c r="G29" s="100">
        <v>43.31</v>
      </c>
      <c r="H29" s="100">
        <v>16.309999999999999</v>
      </c>
      <c r="I29" s="100">
        <v>15.67</v>
      </c>
      <c r="J29" s="100">
        <v>0.26</v>
      </c>
      <c r="K29" s="100">
        <v>66.39</v>
      </c>
      <c r="L29" s="100">
        <v>8.74</v>
      </c>
      <c r="M29" s="100">
        <v>3.86</v>
      </c>
      <c r="N29" s="100">
        <v>1</v>
      </c>
      <c r="O29" s="100">
        <v>0</v>
      </c>
      <c r="P29" s="100">
        <v>0.84</v>
      </c>
      <c r="Q29" s="100">
        <v>9.32</v>
      </c>
      <c r="R29" s="6"/>
      <c r="S29" s="6"/>
      <c r="T29" s="156"/>
      <c r="U29" s="6"/>
    </row>
    <row r="30" spans="1:21" customFormat="1">
      <c r="A30" s="201" t="s">
        <v>2185</v>
      </c>
      <c r="B30" s="100">
        <v>34.049999999999997</v>
      </c>
      <c r="C30" s="100">
        <v>16.579999999999998</v>
      </c>
      <c r="D30" s="100">
        <v>35.97</v>
      </c>
      <c r="E30" s="100">
        <v>6.26</v>
      </c>
      <c r="F30" s="151" t="s">
        <v>8</v>
      </c>
      <c r="G30" s="100">
        <v>43.31</v>
      </c>
      <c r="H30" s="100">
        <v>16.309999999999999</v>
      </c>
      <c r="I30" s="100">
        <v>15.87</v>
      </c>
      <c r="J30" s="100">
        <v>0.25</v>
      </c>
      <c r="K30" s="100">
        <v>52.58</v>
      </c>
      <c r="L30" s="100">
        <v>9.3699999999999992</v>
      </c>
      <c r="M30" s="100">
        <v>5.39</v>
      </c>
      <c r="N30" s="100">
        <v>1.1000000000000001</v>
      </c>
      <c r="O30" s="100">
        <v>0</v>
      </c>
      <c r="P30" s="100">
        <v>0.86</v>
      </c>
      <c r="Q30" s="100">
        <v>9.32</v>
      </c>
      <c r="R30" s="6"/>
      <c r="S30" s="6"/>
      <c r="T30" s="156"/>
      <c r="U30" s="6"/>
    </row>
    <row r="31" spans="1:21" customFormat="1">
      <c r="A31" s="201" t="s">
        <v>2186</v>
      </c>
      <c r="B31" s="100">
        <v>34</v>
      </c>
      <c r="C31" s="100">
        <v>16.71</v>
      </c>
      <c r="D31" s="100">
        <v>35.99</v>
      </c>
      <c r="E31" s="100">
        <v>6.13</v>
      </c>
      <c r="F31" s="151" t="s">
        <v>8</v>
      </c>
      <c r="G31" s="100">
        <v>44.42</v>
      </c>
      <c r="H31" s="100">
        <v>16.399999999999999</v>
      </c>
      <c r="I31" s="100">
        <v>16.03</v>
      </c>
      <c r="J31" s="100">
        <v>0.2</v>
      </c>
      <c r="K31" s="100">
        <v>46.35</v>
      </c>
      <c r="L31" s="100">
        <v>9.4600000000000009</v>
      </c>
      <c r="M31" s="100">
        <v>5.65</v>
      </c>
      <c r="N31" s="100">
        <v>1.1000000000000001</v>
      </c>
      <c r="O31" s="100">
        <v>0</v>
      </c>
      <c r="P31" s="100">
        <v>0.88</v>
      </c>
      <c r="Q31" s="100">
        <v>9.32</v>
      </c>
      <c r="R31" s="6"/>
      <c r="S31" s="6"/>
      <c r="T31" s="156"/>
      <c r="U31" s="6"/>
    </row>
    <row r="32" spans="1:21" customFormat="1">
      <c r="A32" s="201" t="s">
        <v>2187</v>
      </c>
      <c r="B32" s="100">
        <v>33.99</v>
      </c>
      <c r="C32" s="100">
        <v>16.739999999999998</v>
      </c>
      <c r="D32" s="100">
        <v>36</v>
      </c>
      <c r="E32" s="100">
        <v>6</v>
      </c>
      <c r="F32" s="151" t="s">
        <v>8</v>
      </c>
      <c r="G32" s="100">
        <v>54.42</v>
      </c>
      <c r="H32" s="100">
        <v>17.11</v>
      </c>
      <c r="I32" s="100">
        <v>16.12</v>
      </c>
      <c r="J32" s="100">
        <v>7.0000000000000007E-2</v>
      </c>
      <c r="K32" s="100">
        <v>100.08</v>
      </c>
      <c r="L32" s="100">
        <v>12.72</v>
      </c>
      <c r="M32" s="100">
        <v>13.86</v>
      </c>
      <c r="N32" s="100">
        <v>1.4</v>
      </c>
      <c r="O32" s="100">
        <v>0</v>
      </c>
      <c r="P32" s="100">
        <v>0.89</v>
      </c>
      <c r="Q32" s="100">
        <v>9.32</v>
      </c>
      <c r="R32" s="6"/>
      <c r="S32" s="6"/>
      <c r="T32" s="156"/>
      <c r="U32" s="6"/>
    </row>
    <row r="33" spans="1:21" customFormat="1">
      <c r="A33" s="201" t="s">
        <v>2188</v>
      </c>
      <c r="B33" s="100">
        <v>33.93</v>
      </c>
      <c r="C33" s="100">
        <v>16.809999999999999</v>
      </c>
      <c r="D33" s="100">
        <v>36</v>
      </c>
      <c r="E33" s="100">
        <v>5.92</v>
      </c>
      <c r="F33" s="151" t="s">
        <v>8</v>
      </c>
      <c r="G33" s="100">
        <v>54.42</v>
      </c>
      <c r="H33" s="100">
        <v>17.11</v>
      </c>
      <c r="I33" s="100">
        <v>16.25</v>
      </c>
      <c r="J33" s="100">
        <v>0.19</v>
      </c>
      <c r="K33" s="100">
        <v>73.59</v>
      </c>
      <c r="L33" s="100">
        <v>9.66</v>
      </c>
      <c r="M33" s="100">
        <v>6.2</v>
      </c>
      <c r="N33" s="100">
        <v>2.4</v>
      </c>
      <c r="O33" s="100">
        <v>0</v>
      </c>
      <c r="P33" s="100">
        <v>0.9</v>
      </c>
      <c r="Q33" s="100">
        <v>9.32</v>
      </c>
      <c r="R33" s="6"/>
      <c r="S33" s="6"/>
      <c r="T33" s="156"/>
      <c r="U33" s="6"/>
    </row>
    <row r="34" spans="1:21" customFormat="1">
      <c r="A34" s="201" t="s">
        <v>2189</v>
      </c>
      <c r="B34" s="100">
        <v>33.86</v>
      </c>
      <c r="C34" s="100">
        <v>16.579999999999998</v>
      </c>
      <c r="D34" s="100">
        <v>35.82</v>
      </c>
      <c r="E34" s="100">
        <v>6.02</v>
      </c>
      <c r="F34" s="151" t="s">
        <v>8</v>
      </c>
      <c r="G34" s="100">
        <v>54.42</v>
      </c>
      <c r="H34" s="100">
        <v>17.11</v>
      </c>
      <c r="I34" s="100">
        <v>16.43</v>
      </c>
      <c r="J34" s="100">
        <v>0.08</v>
      </c>
      <c r="K34" s="100">
        <v>154.30000000000001</v>
      </c>
      <c r="L34" s="100">
        <v>14.86</v>
      </c>
      <c r="M34" s="100">
        <v>19.190000000000001</v>
      </c>
      <c r="N34" s="100">
        <v>6.8</v>
      </c>
      <c r="O34" s="100">
        <v>0</v>
      </c>
      <c r="P34" s="100">
        <v>0.91</v>
      </c>
      <c r="Q34" s="100">
        <v>9.32</v>
      </c>
      <c r="R34" s="6"/>
      <c r="S34" s="6"/>
      <c r="T34" s="156"/>
      <c r="U34" s="6"/>
    </row>
    <row r="35" spans="1:21" customFormat="1">
      <c r="A35" s="201" t="s">
        <v>2190</v>
      </c>
      <c r="B35" s="100">
        <v>33.81</v>
      </c>
      <c r="C35" s="100">
        <v>16.57</v>
      </c>
      <c r="D35" s="100">
        <v>35.770000000000003</v>
      </c>
      <c r="E35" s="100">
        <v>5.59</v>
      </c>
      <c r="F35" s="151" t="s">
        <v>8</v>
      </c>
      <c r="G35" s="100">
        <v>54.98</v>
      </c>
      <c r="H35" s="100">
        <v>18.309999999999999</v>
      </c>
      <c r="I35" s="100">
        <v>16.62</v>
      </c>
      <c r="J35" s="100">
        <v>0.08</v>
      </c>
      <c r="K35" s="100">
        <v>152.53</v>
      </c>
      <c r="L35" s="100">
        <v>14.94</v>
      </c>
      <c r="M35" s="100">
        <v>19.2</v>
      </c>
      <c r="N35" s="100">
        <v>15.1</v>
      </c>
      <c r="O35" s="100">
        <v>0</v>
      </c>
      <c r="P35" s="100">
        <v>0.93</v>
      </c>
      <c r="Q35" s="100">
        <v>9.32</v>
      </c>
      <c r="R35" s="6"/>
      <c r="S35" s="6"/>
      <c r="T35" s="156"/>
      <c r="U35" s="6"/>
    </row>
    <row r="36" spans="1:21" customFormat="1">
      <c r="A36" s="201" t="s">
        <v>2191</v>
      </c>
      <c r="B36" s="100">
        <v>33.950000000000003</v>
      </c>
      <c r="C36" s="100">
        <v>16.649999999999999</v>
      </c>
      <c r="D36" s="100">
        <v>35.92</v>
      </c>
      <c r="E36" s="100">
        <v>6.03</v>
      </c>
      <c r="F36" s="151" t="s">
        <v>8</v>
      </c>
      <c r="G36" s="100">
        <v>59.99</v>
      </c>
      <c r="H36" s="100">
        <v>19.34</v>
      </c>
      <c r="I36" s="100">
        <v>16.77</v>
      </c>
      <c r="J36" s="100">
        <v>0.44</v>
      </c>
      <c r="K36" s="100">
        <v>37.090000000000003</v>
      </c>
      <c r="L36" s="100">
        <v>8.4</v>
      </c>
      <c r="M36" s="100">
        <v>2.37</v>
      </c>
      <c r="N36" s="100">
        <v>25.2</v>
      </c>
      <c r="O36" s="100">
        <v>0</v>
      </c>
      <c r="P36" s="100">
        <v>0.93</v>
      </c>
      <c r="Q36" s="100">
        <v>9.33</v>
      </c>
      <c r="R36" s="6"/>
      <c r="S36" s="6"/>
      <c r="T36" s="156"/>
      <c r="U36" s="6"/>
    </row>
    <row r="37" spans="1:21" customFormat="1">
      <c r="A37" s="201" t="s">
        <v>2192</v>
      </c>
      <c r="B37" s="100">
        <v>33.99</v>
      </c>
      <c r="C37" s="100">
        <v>16.73</v>
      </c>
      <c r="D37" s="100">
        <v>36</v>
      </c>
      <c r="E37" s="100">
        <v>5.95</v>
      </c>
      <c r="F37" s="151" t="s">
        <v>8</v>
      </c>
      <c r="G37" s="100">
        <v>59.99</v>
      </c>
      <c r="H37" s="100">
        <v>19.34</v>
      </c>
      <c r="I37" s="100">
        <v>16.86</v>
      </c>
      <c r="J37" s="100">
        <v>0.28000000000000003</v>
      </c>
      <c r="K37" s="100">
        <v>21.26</v>
      </c>
      <c r="L37" s="100">
        <v>13.76</v>
      </c>
      <c r="M37" s="100">
        <v>15.52</v>
      </c>
      <c r="N37" s="100">
        <v>36.1</v>
      </c>
      <c r="O37" s="100">
        <v>0</v>
      </c>
      <c r="P37" s="100">
        <v>0.95</v>
      </c>
      <c r="Q37" s="100">
        <v>9.3800000000000008</v>
      </c>
      <c r="R37" s="6"/>
      <c r="S37" s="6"/>
      <c r="T37" s="156"/>
      <c r="U37" s="6"/>
    </row>
    <row r="38" spans="1:21" customFormat="1">
      <c r="A38" s="201" t="s">
        <v>2193</v>
      </c>
      <c r="B38" s="100">
        <v>33.4</v>
      </c>
      <c r="C38" s="100">
        <v>16.739999999999998</v>
      </c>
      <c r="D38" s="100">
        <v>35.53</v>
      </c>
      <c r="E38" s="100">
        <v>5.84</v>
      </c>
      <c r="F38" s="151" t="s">
        <v>8</v>
      </c>
      <c r="G38" s="100">
        <v>59.99</v>
      </c>
      <c r="H38" s="100">
        <v>19.34</v>
      </c>
      <c r="I38" s="100">
        <v>16.940000000000001</v>
      </c>
      <c r="J38" s="100">
        <v>0.42</v>
      </c>
      <c r="K38" s="100">
        <v>32.619999999999997</v>
      </c>
      <c r="L38" s="100">
        <v>12.03</v>
      </c>
      <c r="M38" s="100">
        <v>10.95</v>
      </c>
      <c r="N38" s="100">
        <v>46.6</v>
      </c>
      <c r="O38" s="100">
        <v>0</v>
      </c>
      <c r="P38" s="100">
        <v>0.95</v>
      </c>
      <c r="Q38" s="100">
        <v>9.4600000000000009</v>
      </c>
      <c r="R38" s="6"/>
      <c r="S38" s="6"/>
      <c r="T38" s="156"/>
      <c r="U38" s="6"/>
    </row>
    <row r="39" spans="1:21" customFormat="1">
      <c r="A39" s="201" t="s">
        <v>2194</v>
      </c>
      <c r="B39" s="100">
        <v>32.93</v>
      </c>
      <c r="C39" s="100">
        <v>17.239999999999998</v>
      </c>
      <c r="D39" s="100">
        <v>35.42</v>
      </c>
      <c r="E39" s="100">
        <v>5.69</v>
      </c>
      <c r="F39" s="151" t="s">
        <v>8</v>
      </c>
      <c r="G39" s="100">
        <v>60.3</v>
      </c>
      <c r="H39" s="100">
        <v>19.41</v>
      </c>
      <c r="I39" s="100">
        <v>16.97</v>
      </c>
      <c r="J39" s="100">
        <v>0.27</v>
      </c>
      <c r="K39" s="100">
        <v>60.16</v>
      </c>
      <c r="L39" s="100">
        <v>11.43</v>
      </c>
      <c r="M39" s="100">
        <v>9.27</v>
      </c>
      <c r="N39" s="100">
        <v>58.4</v>
      </c>
      <c r="O39" s="100">
        <v>0</v>
      </c>
      <c r="P39" s="100">
        <v>0.94</v>
      </c>
      <c r="Q39" s="100">
        <v>9.4</v>
      </c>
      <c r="R39" s="6"/>
      <c r="S39" s="6"/>
      <c r="T39" s="156"/>
      <c r="U39" s="6"/>
    </row>
    <row r="40" spans="1:21" customFormat="1">
      <c r="A40" s="201" t="s">
        <v>2195</v>
      </c>
      <c r="B40" s="100">
        <v>32.299999999999997</v>
      </c>
      <c r="C40" s="100">
        <v>17.68</v>
      </c>
      <c r="D40" s="100">
        <v>35.14</v>
      </c>
      <c r="E40" s="100">
        <v>6.12</v>
      </c>
      <c r="F40" s="151" t="s">
        <v>8</v>
      </c>
      <c r="G40" s="100">
        <v>63.04</v>
      </c>
      <c r="H40" s="100">
        <v>19.899999999999999</v>
      </c>
      <c r="I40" s="100">
        <v>16.940000000000001</v>
      </c>
      <c r="J40" s="100">
        <v>0.18</v>
      </c>
      <c r="K40" s="100">
        <v>73.67</v>
      </c>
      <c r="L40" s="100">
        <v>13.59</v>
      </c>
      <c r="M40" s="100">
        <v>12.61</v>
      </c>
      <c r="N40" s="100">
        <v>147.5</v>
      </c>
      <c r="O40" s="100">
        <v>0</v>
      </c>
      <c r="P40" s="100">
        <v>0.94</v>
      </c>
      <c r="Q40" s="100">
        <v>9.42</v>
      </c>
      <c r="R40" s="6"/>
      <c r="S40" s="6"/>
      <c r="T40" s="156"/>
      <c r="U40" s="6"/>
    </row>
    <row r="41" spans="1:21" customFormat="1">
      <c r="A41" s="201" t="s">
        <v>2196</v>
      </c>
      <c r="B41" s="100">
        <v>31.54</v>
      </c>
      <c r="C41" s="100">
        <v>18.21</v>
      </c>
      <c r="D41" s="100">
        <v>34.81</v>
      </c>
      <c r="E41" s="100">
        <v>5.78</v>
      </c>
      <c r="F41" s="151" t="s">
        <v>8</v>
      </c>
      <c r="G41" s="100">
        <v>63.04</v>
      </c>
      <c r="H41" s="100">
        <v>19.899999999999999</v>
      </c>
      <c r="I41" s="100">
        <v>16.93</v>
      </c>
      <c r="J41" s="100">
        <v>0.31</v>
      </c>
      <c r="K41" s="100">
        <v>59.99</v>
      </c>
      <c r="L41" s="100">
        <v>12.3</v>
      </c>
      <c r="M41" s="100">
        <v>8.1300000000000008</v>
      </c>
      <c r="N41" s="100">
        <v>202.5</v>
      </c>
      <c r="O41" s="100">
        <v>0</v>
      </c>
      <c r="P41" s="100">
        <v>0.94</v>
      </c>
      <c r="Q41" s="100">
        <v>9.34</v>
      </c>
      <c r="R41" s="6"/>
      <c r="S41" s="6"/>
      <c r="T41" s="156"/>
      <c r="U41" s="6"/>
    </row>
    <row r="42" spans="1:21" customFormat="1">
      <c r="A42" s="201" t="s">
        <v>2197</v>
      </c>
      <c r="B42" s="100">
        <v>30.38</v>
      </c>
      <c r="C42" s="100">
        <v>18.260000000000002</v>
      </c>
      <c r="D42" s="100">
        <v>33.9</v>
      </c>
      <c r="E42" s="100">
        <v>5.86</v>
      </c>
      <c r="F42" s="151" t="s">
        <v>8</v>
      </c>
      <c r="G42" s="100">
        <v>63.04</v>
      </c>
      <c r="H42" s="100">
        <v>19.899999999999999</v>
      </c>
      <c r="I42" s="100">
        <v>16.91</v>
      </c>
      <c r="J42" s="100">
        <v>0.59</v>
      </c>
      <c r="K42" s="100">
        <v>46.34</v>
      </c>
      <c r="L42" s="100">
        <v>10.08</v>
      </c>
      <c r="M42" s="100">
        <v>1.66</v>
      </c>
      <c r="N42" s="100">
        <v>238.5</v>
      </c>
      <c r="O42" s="100">
        <v>0</v>
      </c>
      <c r="P42" s="100">
        <v>0.93</v>
      </c>
      <c r="Q42" s="100">
        <v>9.32</v>
      </c>
      <c r="R42" s="6"/>
      <c r="S42" s="6"/>
      <c r="T42" s="156"/>
      <c r="U42" s="6"/>
    </row>
    <row r="43" spans="1:21" customFormat="1">
      <c r="A43" s="201" t="s">
        <v>2198</v>
      </c>
      <c r="B43" s="100">
        <v>29.32</v>
      </c>
      <c r="C43" s="100">
        <v>18.22</v>
      </c>
      <c r="D43" s="100">
        <v>33.04</v>
      </c>
      <c r="E43" s="100">
        <v>5.81</v>
      </c>
      <c r="F43" s="151" t="s">
        <v>8</v>
      </c>
      <c r="G43" s="100">
        <v>62.9</v>
      </c>
      <c r="H43" s="100">
        <v>19.96</v>
      </c>
      <c r="I43" s="100">
        <v>16.809999999999999</v>
      </c>
      <c r="J43" s="100">
        <v>0.69</v>
      </c>
      <c r="K43" s="100">
        <v>44.82</v>
      </c>
      <c r="L43" s="100">
        <v>10.78</v>
      </c>
      <c r="M43" s="100">
        <v>2.54</v>
      </c>
      <c r="N43" s="100">
        <v>275.3</v>
      </c>
      <c r="O43" s="100">
        <v>0</v>
      </c>
      <c r="P43" s="100">
        <v>0.92</v>
      </c>
      <c r="Q43" s="100">
        <v>9.39</v>
      </c>
      <c r="R43" s="6"/>
      <c r="S43" s="6"/>
      <c r="T43" s="156"/>
      <c r="U43" s="6"/>
    </row>
    <row r="44" spans="1:21" customFormat="1">
      <c r="A44" s="201" t="s">
        <v>2199</v>
      </c>
      <c r="B44" s="100">
        <v>28.51</v>
      </c>
      <c r="C44" s="100">
        <v>18.09</v>
      </c>
      <c r="D44" s="100">
        <v>32.31</v>
      </c>
      <c r="E44" s="100">
        <v>6.01</v>
      </c>
      <c r="F44" s="151" t="s">
        <v>8</v>
      </c>
      <c r="G44" s="100">
        <v>61.66</v>
      </c>
      <c r="H44" s="100">
        <v>20.350000000000001</v>
      </c>
      <c r="I44" s="100">
        <v>16.68</v>
      </c>
      <c r="J44" s="100">
        <v>0.52</v>
      </c>
      <c r="K44" s="100">
        <v>55.67</v>
      </c>
      <c r="L44" s="100">
        <v>11.59</v>
      </c>
      <c r="M44" s="100">
        <v>3.81</v>
      </c>
      <c r="N44" s="100">
        <v>307.5</v>
      </c>
      <c r="O44" s="100">
        <v>0</v>
      </c>
      <c r="P44" s="100">
        <v>0.91</v>
      </c>
      <c r="Q44" s="100">
        <v>9.48</v>
      </c>
      <c r="R44" s="6"/>
      <c r="S44" s="6"/>
      <c r="T44" s="156"/>
      <c r="U44" s="6"/>
    </row>
    <row r="45" spans="1:21" customFormat="1">
      <c r="A45" s="201" t="s">
        <v>2200</v>
      </c>
      <c r="B45" s="100">
        <v>27.54</v>
      </c>
      <c r="C45" s="100">
        <v>17.88</v>
      </c>
      <c r="D45" s="100">
        <v>31.43</v>
      </c>
      <c r="E45" s="100">
        <v>6.21</v>
      </c>
      <c r="F45" s="151" t="s">
        <v>8</v>
      </c>
      <c r="G45" s="100">
        <v>61.66</v>
      </c>
      <c r="H45" s="100">
        <v>20.350000000000001</v>
      </c>
      <c r="I45" s="100">
        <v>16.559999999999999</v>
      </c>
      <c r="J45" s="100">
        <v>0.45</v>
      </c>
      <c r="K45" s="100">
        <v>77.010000000000005</v>
      </c>
      <c r="L45" s="100">
        <v>13.93</v>
      </c>
      <c r="M45" s="100">
        <v>9.16</v>
      </c>
      <c r="N45" s="100">
        <v>334.1</v>
      </c>
      <c r="O45" s="100">
        <v>0</v>
      </c>
      <c r="P45" s="100">
        <v>0.9</v>
      </c>
      <c r="Q45" s="100">
        <v>9.4499999999999993</v>
      </c>
      <c r="R45" s="6"/>
      <c r="S45" s="6"/>
      <c r="T45" s="156"/>
      <c r="U45" s="6"/>
    </row>
    <row r="46" spans="1:21" customFormat="1">
      <c r="A46" s="201" t="s">
        <v>2201</v>
      </c>
      <c r="B46" s="100">
        <v>26.1</v>
      </c>
      <c r="C46" s="100">
        <v>17.989999999999998</v>
      </c>
      <c r="D46" s="100">
        <v>30.33</v>
      </c>
      <c r="E46" s="100">
        <v>6.65</v>
      </c>
      <c r="F46" s="151" t="s">
        <v>8</v>
      </c>
      <c r="G46" s="100">
        <v>61.66</v>
      </c>
      <c r="H46" s="100">
        <v>20.350000000000001</v>
      </c>
      <c r="I46" s="100">
        <v>16.420000000000002</v>
      </c>
      <c r="J46" s="100">
        <v>0.52</v>
      </c>
      <c r="K46" s="100">
        <v>58.43</v>
      </c>
      <c r="L46" s="100">
        <v>13.89</v>
      </c>
      <c r="M46" s="100">
        <v>8</v>
      </c>
      <c r="N46" s="100">
        <v>375.6</v>
      </c>
      <c r="O46" s="100">
        <v>0</v>
      </c>
      <c r="P46" s="100">
        <v>0.87</v>
      </c>
      <c r="Q46" s="100">
        <v>9.32</v>
      </c>
      <c r="R46" s="6"/>
      <c r="S46" s="6"/>
      <c r="T46" s="156"/>
      <c r="U46" s="6"/>
    </row>
    <row r="47" spans="1:21" customFormat="1">
      <c r="A47" s="201" t="s">
        <v>2202</v>
      </c>
      <c r="B47" s="100">
        <v>22.04</v>
      </c>
      <c r="C47" s="100">
        <v>19.649999999999999</v>
      </c>
      <c r="D47" s="100">
        <v>27.94</v>
      </c>
      <c r="E47" s="100">
        <v>8.86</v>
      </c>
      <c r="F47" s="151" t="s">
        <v>8</v>
      </c>
      <c r="G47" s="100">
        <v>60.9</v>
      </c>
      <c r="H47" s="100">
        <v>20.07</v>
      </c>
      <c r="I47" s="100">
        <v>16.239999999999998</v>
      </c>
      <c r="J47" s="100">
        <v>0.42</v>
      </c>
      <c r="K47" s="100">
        <v>68.42</v>
      </c>
      <c r="L47" s="100">
        <v>12.69</v>
      </c>
      <c r="M47" s="100">
        <v>7.83</v>
      </c>
      <c r="N47" s="100">
        <v>255.2</v>
      </c>
      <c r="O47" s="100">
        <v>0</v>
      </c>
      <c r="P47" s="100">
        <v>0.83</v>
      </c>
      <c r="Q47" s="100">
        <v>9.3699999999999992</v>
      </c>
      <c r="R47" s="6"/>
      <c r="S47" s="6"/>
      <c r="T47" s="156"/>
      <c r="U47" s="6"/>
    </row>
    <row r="48" spans="1:21" customFormat="1">
      <c r="A48" s="201" t="s">
        <v>2203</v>
      </c>
      <c r="B48" s="100">
        <v>16.52</v>
      </c>
      <c r="C48" s="100">
        <v>21.89</v>
      </c>
      <c r="D48" s="100">
        <v>24.68</v>
      </c>
      <c r="E48" s="100">
        <v>9.42</v>
      </c>
      <c r="F48" s="100">
        <v>0.53</v>
      </c>
      <c r="G48" s="100">
        <v>54.05</v>
      </c>
      <c r="H48" s="100">
        <v>18.010000000000002</v>
      </c>
      <c r="I48" s="100">
        <v>15.83</v>
      </c>
      <c r="J48" s="100">
        <v>0.8</v>
      </c>
      <c r="K48" s="100">
        <v>37.950000000000003</v>
      </c>
      <c r="L48" s="100">
        <v>12.25</v>
      </c>
      <c r="M48" s="100">
        <v>4.3099999999999996</v>
      </c>
      <c r="N48" s="100">
        <v>353.2</v>
      </c>
      <c r="O48" s="100">
        <v>0</v>
      </c>
      <c r="P48" s="100">
        <v>0.79</v>
      </c>
      <c r="Q48" s="100">
        <v>9.44</v>
      </c>
      <c r="R48" s="6"/>
      <c r="S48" s="6"/>
      <c r="T48" s="156"/>
      <c r="U48" s="6"/>
    </row>
    <row r="49" spans="1:21" customFormat="1">
      <c r="A49" s="201" t="s">
        <v>2204</v>
      </c>
      <c r="B49" s="100">
        <v>12.49</v>
      </c>
      <c r="C49" s="100">
        <v>23.32</v>
      </c>
      <c r="D49" s="100">
        <v>22.2</v>
      </c>
      <c r="E49" s="100">
        <v>6.33</v>
      </c>
      <c r="F49" s="100">
        <v>0.56999999999999995</v>
      </c>
      <c r="G49" s="100">
        <v>54.05</v>
      </c>
      <c r="H49" s="100">
        <v>18.010000000000002</v>
      </c>
      <c r="I49" s="100">
        <v>13.66</v>
      </c>
      <c r="J49" s="100">
        <v>0.66</v>
      </c>
      <c r="K49" s="100">
        <v>46.91</v>
      </c>
      <c r="L49" s="100">
        <v>12.48</v>
      </c>
      <c r="M49" s="100">
        <v>2.19</v>
      </c>
      <c r="N49" s="100">
        <v>467.2</v>
      </c>
      <c r="O49" s="100">
        <v>0</v>
      </c>
      <c r="P49" s="100">
        <v>0.76</v>
      </c>
      <c r="Q49" s="100">
        <v>9.49</v>
      </c>
      <c r="R49" s="6"/>
      <c r="S49" s="6"/>
      <c r="T49" s="156"/>
      <c r="U49" s="6"/>
    </row>
    <row r="50" spans="1:21" customFormat="1">
      <c r="A50" s="201" t="s">
        <v>2205</v>
      </c>
      <c r="B50" s="100">
        <v>9.48</v>
      </c>
      <c r="C50" s="100">
        <v>23.25</v>
      </c>
      <c r="D50" s="100">
        <v>19.75</v>
      </c>
      <c r="E50" s="100">
        <v>6.62</v>
      </c>
      <c r="F50" s="100">
        <v>4.33</v>
      </c>
      <c r="G50" s="100">
        <v>54.05</v>
      </c>
      <c r="H50" s="100">
        <v>18.010000000000002</v>
      </c>
      <c r="I50" s="100">
        <v>11.48</v>
      </c>
      <c r="J50" s="100">
        <v>0.3</v>
      </c>
      <c r="K50" s="100">
        <v>96.13</v>
      </c>
      <c r="L50" s="100">
        <v>15.51</v>
      </c>
      <c r="M50" s="100">
        <v>9.16</v>
      </c>
      <c r="N50" s="100">
        <v>496.7</v>
      </c>
      <c r="O50" s="100">
        <v>0</v>
      </c>
      <c r="P50" s="100">
        <v>0.73</v>
      </c>
      <c r="Q50" s="100">
        <v>9.56</v>
      </c>
      <c r="R50" s="6"/>
      <c r="S50" s="6"/>
      <c r="T50" s="156"/>
      <c r="U50" s="6"/>
    </row>
    <row r="51" spans="1:21" customFormat="1">
      <c r="A51" s="201" t="s">
        <v>2206</v>
      </c>
      <c r="B51" s="100">
        <v>7.08</v>
      </c>
      <c r="C51" s="100">
        <v>22.29</v>
      </c>
      <c r="D51" s="100">
        <v>17.329999999999998</v>
      </c>
      <c r="E51" s="100">
        <v>7.06</v>
      </c>
      <c r="F51" s="100">
        <v>8.7799999999999994</v>
      </c>
      <c r="G51" s="100">
        <v>53.2</v>
      </c>
      <c r="H51" s="100">
        <v>17.82</v>
      </c>
      <c r="I51" s="100">
        <v>11.13</v>
      </c>
      <c r="J51" s="100">
        <v>0.35</v>
      </c>
      <c r="K51" s="100">
        <v>168.49</v>
      </c>
      <c r="L51" s="100">
        <v>21.12</v>
      </c>
      <c r="M51" s="100">
        <v>22.89</v>
      </c>
      <c r="N51" s="100">
        <v>517.4</v>
      </c>
      <c r="O51" s="100">
        <v>0</v>
      </c>
      <c r="P51" s="100">
        <v>0.69</v>
      </c>
      <c r="Q51" s="100">
        <v>9.39</v>
      </c>
      <c r="R51" s="6"/>
      <c r="S51" s="6"/>
      <c r="T51" s="156"/>
      <c r="U51" s="6"/>
    </row>
    <row r="52" spans="1:21" customFormat="1">
      <c r="A52" s="201" t="s">
        <v>2207</v>
      </c>
      <c r="B52" s="100">
        <v>5.37</v>
      </c>
      <c r="C52" s="100">
        <v>21.06</v>
      </c>
      <c r="D52" s="100">
        <v>15.31</v>
      </c>
      <c r="E52" s="100">
        <v>7.12</v>
      </c>
      <c r="F52" s="100">
        <v>77.27</v>
      </c>
      <c r="G52" s="100">
        <v>45.47</v>
      </c>
      <c r="H52" s="100">
        <v>16.45</v>
      </c>
      <c r="I52" s="100">
        <v>10.72</v>
      </c>
      <c r="J52" s="100">
        <v>0.1</v>
      </c>
      <c r="K52" s="100">
        <v>62.93</v>
      </c>
      <c r="L52" s="100">
        <v>19.43</v>
      </c>
      <c r="M52" s="100">
        <v>19.16</v>
      </c>
      <c r="N52" s="100">
        <v>488.8</v>
      </c>
      <c r="O52" s="100">
        <v>0</v>
      </c>
      <c r="P52" s="100">
        <v>0.67</v>
      </c>
      <c r="Q52" s="100">
        <v>9.33</v>
      </c>
      <c r="R52" s="6"/>
      <c r="S52" s="6"/>
      <c r="T52" s="156"/>
      <c r="U52" s="6"/>
    </row>
    <row r="53" spans="1:21" customFormat="1">
      <c r="A53" s="201" t="s">
        <v>2208</v>
      </c>
      <c r="B53" s="100">
        <v>4.37</v>
      </c>
      <c r="C53" s="100">
        <v>20.13</v>
      </c>
      <c r="D53" s="100">
        <v>14.03</v>
      </c>
      <c r="E53" s="100">
        <v>6.83</v>
      </c>
      <c r="F53" s="100">
        <v>131.28</v>
      </c>
      <c r="G53" s="100">
        <v>45.47</v>
      </c>
      <c r="H53" s="100">
        <v>16.45</v>
      </c>
      <c r="I53" s="100">
        <v>10.220000000000001</v>
      </c>
      <c r="J53" s="100">
        <v>0.75</v>
      </c>
      <c r="K53" s="100">
        <v>23.22</v>
      </c>
      <c r="L53" s="100">
        <v>16.899999999999999</v>
      </c>
      <c r="M53" s="100">
        <v>12.06</v>
      </c>
      <c r="N53" s="100">
        <v>515.1</v>
      </c>
      <c r="O53" s="100">
        <v>0</v>
      </c>
      <c r="P53" s="100">
        <v>0.63</v>
      </c>
      <c r="Q53" s="100">
        <v>9.41</v>
      </c>
      <c r="R53" s="6"/>
      <c r="S53" s="6"/>
      <c r="T53" s="156"/>
      <c r="U53" s="6"/>
    </row>
    <row r="54" spans="1:21" customFormat="1">
      <c r="A54" s="201" t="s">
        <v>2209</v>
      </c>
      <c r="B54" s="100">
        <v>3.83</v>
      </c>
      <c r="C54" s="100">
        <v>19.14</v>
      </c>
      <c r="D54" s="100">
        <v>13.07</v>
      </c>
      <c r="E54" s="100">
        <v>6.38</v>
      </c>
      <c r="F54" s="100">
        <v>0.8</v>
      </c>
      <c r="G54" s="100">
        <v>45.47</v>
      </c>
      <c r="H54" s="100">
        <v>16.45</v>
      </c>
      <c r="I54" s="100">
        <v>9.81</v>
      </c>
      <c r="J54" s="100">
        <v>0.15</v>
      </c>
      <c r="K54" s="100">
        <v>286.69</v>
      </c>
      <c r="L54" s="100">
        <v>25.53</v>
      </c>
      <c r="M54" s="100">
        <v>33.28</v>
      </c>
      <c r="N54" s="100">
        <v>528.79999999999995</v>
      </c>
      <c r="O54" s="100">
        <v>0</v>
      </c>
      <c r="P54" s="100">
        <v>0.59</v>
      </c>
      <c r="Q54" s="100">
        <v>9.32</v>
      </c>
      <c r="R54" s="6"/>
      <c r="S54" s="6"/>
      <c r="T54" s="156"/>
      <c r="U54" s="6"/>
    </row>
    <row r="55" spans="1:21" customFormat="1">
      <c r="A55" s="201" t="s">
        <v>2210</v>
      </c>
      <c r="B55" s="100">
        <v>3.44</v>
      </c>
      <c r="C55" s="100">
        <v>17.63</v>
      </c>
      <c r="D55" s="100">
        <v>11.97</v>
      </c>
      <c r="E55" s="100">
        <v>4.37</v>
      </c>
      <c r="F55" s="100">
        <v>7.01</v>
      </c>
      <c r="G55" s="100">
        <v>44.26</v>
      </c>
      <c r="H55" s="100">
        <v>16.05</v>
      </c>
      <c r="I55" s="100">
        <v>9.41</v>
      </c>
      <c r="J55" s="100">
        <v>0.37</v>
      </c>
      <c r="K55" s="100">
        <v>266.22000000000003</v>
      </c>
      <c r="L55" s="100">
        <v>26.95</v>
      </c>
      <c r="M55" s="100">
        <v>36.130000000000003</v>
      </c>
      <c r="N55" s="100">
        <v>563</v>
      </c>
      <c r="O55" s="100">
        <v>0</v>
      </c>
      <c r="P55" s="100">
        <v>0.54</v>
      </c>
      <c r="Q55" s="100">
        <v>9.32</v>
      </c>
      <c r="R55" s="6"/>
      <c r="S55" s="6"/>
      <c r="T55" s="156"/>
      <c r="U55" s="6"/>
    </row>
    <row r="56" spans="1:21" customFormat="1">
      <c r="A56" s="201" t="s">
        <v>2211</v>
      </c>
      <c r="B56" s="100">
        <v>3.21</v>
      </c>
      <c r="C56" s="100">
        <v>16.22</v>
      </c>
      <c r="D56" s="100">
        <v>11.04</v>
      </c>
      <c r="E56" s="100">
        <v>4.28</v>
      </c>
      <c r="F56" s="100">
        <v>7.79</v>
      </c>
      <c r="G56" s="100">
        <v>33.43</v>
      </c>
      <c r="H56" s="100">
        <v>13.16</v>
      </c>
      <c r="I56" s="100">
        <v>8.92</v>
      </c>
      <c r="J56" s="100">
        <v>0.37</v>
      </c>
      <c r="K56" s="100">
        <v>297.16000000000003</v>
      </c>
      <c r="L56" s="100">
        <v>27.58</v>
      </c>
      <c r="M56" s="100">
        <v>37.43</v>
      </c>
      <c r="N56" s="100">
        <v>574.5</v>
      </c>
      <c r="O56" s="100">
        <v>0</v>
      </c>
      <c r="P56" s="100">
        <v>0.5</v>
      </c>
      <c r="Q56" s="100">
        <v>9.32</v>
      </c>
      <c r="R56" s="6"/>
      <c r="S56" s="6"/>
      <c r="T56" s="156"/>
      <c r="U56" s="6"/>
    </row>
    <row r="57" spans="1:21" customFormat="1">
      <c r="A57" s="201" t="s">
        <v>2212</v>
      </c>
      <c r="B57" s="100">
        <v>3.28</v>
      </c>
      <c r="C57" s="100">
        <v>16.2</v>
      </c>
      <c r="D57" s="100">
        <v>11.09</v>
      </c>
      <c r="E57" s="100">
        <v>3.84</v>
      </c>
      <c r="F57" s="100">
        <v>3.98</v>
      </c>
      <c r="G57" s="100">
        <v>33.43</v>
      </c>
      <c r="H57" s="100">
        <v>13.16</v>
      </c>
      <c r="I57" s="100">
        <v>8.4600000000000009</v>
      </c>
      <c r="J57" s="100">
        <v>0.34</v>
      </c>
      <c r="K57" s="100">
        <v>337.85</v>
      </c>
      <c r="L57" s="100">
        <v>22.97</v>
      </c>
      <c r="M57" s="100">
        <v>25.78</v>
      </c>
      <c r="N57" s="100">
        <v>577</v>
      </c>
      <c r="O57" s="100">
        <v>0</v>
      </c>
      <c r="P57" s="100">
        <v>0.42</v>
      </c>
      <c r="Q57" s="100">
        <v>9.32</v>
      </c>
      <c r="R57" s="6"/>
      <c r="S57" s="6"/>
      <c r="T57" s="156"/>
      <c r="U57" s="6"/>
    </row>
    <row r="58" spans="1:21" customFormat="1">
      <c r="A58" s="201" t="s">
        <v>2213</v>
      </c>
      <c r="B58" s="100">
        <v>3.18</v>
      </c>
      <c r="C58" s="100">
        <v>16.14</v>
      </c>
      <c r="D58" s="100">
        <v>10.98</v>
      </c>
      <c r="E58" s="100">
        <v>3.95</v>
      </c>
      <c r="F58" s="100">
        <v>7.5</v>
      </c>
      <c r="G58" s="100">
        <v>33.43</v>
      </c>
      <c r="H58" s="100">
        <v>13.16</v>
      </c>
      <c r="I58" s="100">
        <v>7.8</v>
      </c>
      <c r="J58" s="100">
        <v>0.44</v>
      </c>
      <c r="K58" s="100">
        <v>224.99</v>
      </c>
      <c r="L58" s="100">
        <v>25.38</v>
      </c>
      <c r="M58" s="100">
        <v>31.89</v>
      </c>
      <c r="N58" s="100">
        <v>576.6</v>
      </c>
      <c r="O58" s="100">
        <v>0</v>
      </c>
      <c r="P58" s="100">
        <v>0.37</v>
      </c>
      <c r="Q58" s="100">
        <v>9.32</v>
      </c>
      <c r="R58" s="6"/>
      <c r="S58" s="6"/>
      <c r="T58" s="156"/>
      <c r="U58" s="6"/>
    </row>
    <row r="59" spans="1:21" customFormat="1">
      <c r="A59" s="201" t="s">
        <v>2214</v>
      </c>
      <c r="B59" s="100">
        <v>2.94</v>
      </c>
      <c r="C59" s="100">
        <v>14.45</v>
      </c>
      <c r="D59" s="100">
        <v>9.91</v>
      </c>
      <c r="E59" s="100">
        <v>3.99</v>
      </c>
      <c r="F59" s="100">
        <v>5.57</v>
      </c>
      <c r="G59" s="100">
        <v>32.909999999999997</v>
      </c>
      <c r="H59" s="100">
        <v>12.76</v>
      </c>
      <c r="I59" s="100">
        <v>7.04</v>
      </c>
      <c r="J59" s="100">
        <v>0.42</v>
      </c>
      <c r="K59" s="100">
        <v>281.07</v>
      </c>
      <c r="L59" s="100">
        <v>27.78</v>
      </c>
      <c r="M59" s="100">
        <v>38.08</v>
      </c>
      <c r="N59" s="100">
        <v>561.5</v>
      </c>
      <c r="O59" s="100">
        <v>0</v>
      </c>
      <c r="P59" s="100">
        <v>0.34</v>
      </c>
      <c r="Q59" s="100">
        <v>9.32</v>
      </c>
      <c r="R59" s="6"/>
      <c r="S59" s="6"/>
      <c r="T59" s="156"/>
      <c r="U59" s="6"/>
    </row>
    <row r="60" spans="1:21" customFormat="1">
      <c r="A60" s="201" t="s">
        <v>2215</v>
      </c>
      <c r="B60" s="100">
        <v>3.01</v>
      </c>
      <c r="C60" s="100">
        <v>14.47</v>
      </c>
      <c r="D60" s="100">
        <v>9.9700000000000006</v>
      </c>
      <c r="E60" s="100">
        <v>3.9</v>
      </c>
      <c r="F60" s="100">
        <v>38.67</v>
      </c>
      <c r="G60" s="100">
        <v>28.22</v>
      </c>
      <c r="H60" s="100">
        <v>9.92</v>
      </c>
      <c r="I60" s="100">
        <v>6.44</v>
      </c>
      <c r="J60" s="100">
        <v>0.53</v>
      </c>
      <c r="K60" s="100">
        <v>31.16</v>
      </c>
      <c r="L60" s="100">
        <v>19.739999999999998</v>
      </c>
      <c r="M60" s="100">
        <v>18.78</v>
      </c>
      <c r="N60" s="100">
        <v>529.79999999999995</v>
      </c>
      <c r="O60" s="100">
        <v>0</v>
      </c>
      <c r="P60" s="100">
        <v>0.35</v>
      </c>
      <c r="Q60" s="100">
        <v>9.32</v>
      </c>
      <c r="R60" s="6"/>
      <c r="S60" s="6"/>
      <c r="T60" s="156"/>
      <c r="U60" s="6"/>
    </row>
    <row r="61" spans="1:21" customFormat="1">
      <c r="A61" s="201" t="s">
        <v>2216</v>
      </c>
      <c r="B61" s="100">
        <v>2.96</v>
      </c>
      <c r="C61" s="100">
        <v>15.63</v>
      </c>
      <c r="D61" s="100">
        <v>10.54</v>
      </c>
      <c r="E61" s="100">
        <v>4.01</v>
      </c>
      <c r="F61" s="100">
        <v>79.510000000000005</v>
      </c>
      <c r="G61" s="100">
        <v>28.22</v>
      </c>
      <c r="H61" s="100">
        <v>9.92</v>
      </c>
      <c r="I61" s="100">
        <v>6.07</v>
      </c>
      <c r="J61" s="100">
        <v>0.56999999999999995</v>
      </c>
      <c r="K61" s="100">
        <v>240.52</v>
      </c>
      <c r="L61" s="100">
        <v>25.36</v>
      </c>
      <c r="M61" s="100">
        <v>35.33</v>
      </c>
      <c r="N61" s="100">
        <v>436.5</v>
      </c>
      <c r="O61" s="100">
        <v>0</v>
      </c>
      <c r="P61" s="100">
        <v>0.31</v>
      </c>
      <c r="Q61" s="100">
        <v>9.32</v>
      </c>
      <c r="R61" s="6"/>
      <c r="S61" s="6"/>
      <c r="T61" s="156"/>
      <c r="U61" s="6"/>
    </row>
    <row r="62" spans="1:21" customFormat="1">
      <c r="A62" s="201" t="s">
        <v>2217</v>
      </c>
      <c r="B62" s="100">
        <v>2.83</v>
      </c>
      <c r="C62" s="100">
        <v>14.2</v>
      </c>
      <c r="D62" s="100">
        <v>9.69</v>
      </c>
      <c r="E62" s="100">
        <v>3.94</v>
      </c>
      <c r="F62" s="100">
        <v>37.92</v>
      </c>
      <c r="G62" s="100">
        <v>28.22</v>
      </c>
      <c r="H62" s="100">
        <v>9.92</v>
      </c>
      <c r="I62" s="100">
        <v>6.64</v>
      </c>
      <c r="J62" s="100">
        <v>0.41</v>
      </c>
      <c r="K62" s="100">
        <v>255.46</v>
      </c>
      <c r="L62" s="100">
        <v>23.32</v>
      </c>
      <c r="M62" s="100">
        <v>35.69</v>
      </c>
      <c r="N62" s="100">
        <v>194.4</v>
      </c>
      <c r="O62" s="100">
        <v>0</v>
      </c>
      <c r="P62" s="100">
        <v>0.3</v>
      </c>
      <c r="Q62" s="100">
        <v>9.32</v>
      </c>
      <c r="R62" s="6"/>
      <c r="S62" s="6"/>
      <c r="T62" s="156"/>
      <c r="U62" s="6"/>
    </row>
    <row r="63" spans="1:21" customFormat="1">
      <c r="A63" s="201" t="s">
        <v>2218</v>
      </c>
      <c r="B63" s="100">
        <v>2.82</v>
      </c>
      <c r="C63" s="100">
        <v>13.15</v>
      </c>
      <c r="D63" s="100">
        <v>9.1300000000000008</v>
      </c>
      <c r="E63" s="100">
        <v>3.87</v>
      </c>
      <c r="F63" s="100">
        <v>16.43</v>
      </c>
      <c r="G63" s="100">
        <v>27.5</v>
      </c>
      <c r="H63" s="100">
        <v>9.5399999999999991</v>
      </c>
      <c r="I63" s="100">
        <v>7.21</v>
      </c>
      <c r="J63" s="100">
        <v>0.43</v>
      </c>
      <c r="K63" s="100">
        <v>182.43</v>
      </c>
      <c r="L63" s="100">
        <v>19.57</v>
      </c>
      <c r="M63" s="100">
        <v>25.37</v>
      </c>
      <c r="N63" s="100">
        <v>248.3</v>
      </c>
      <c r="O63" s="100">
        <v>0</v>
      </c>
      <c r="P63" s="100">
        <v>0.28000000000000003</v>
      </c>
      <c r="Q63" s="100">
        <v>9.32</v>
      </c>
      <c r="R63" s="6"/>
      <c r="S63" s="6"/>
      <c r="T63" s="156"/>
      <c r="U63" s="6"/>
    </row>
    <row r="64" spans="1:21" customFormat="1">
      <c r="A64" s="201" t="s">
        <v>2219</v>
      </c>
      <c r="B64" s="100">
        <v>2.78</v>
      </c>
      <c r="C64" s="100">
        <v>12.19</v>
      </c>
      <c r="D64" s="100">
        <v>8.6</v>
      </c>
      <c r="E64" s="100">
        <v>3.94</v>
      </c>
      <c r="F64" s="100">
        <v>16.43</v>
      </c>
      <c r="G64" s="100">
        <v>21.08</v>
      </c>
      <c r="H64" s="100">
        <v>6.74</v>
      </c>
      <c r="I64" s="100">
        <v>7.06</v>
      </c>
      <c r="J64" s="100">
        <v>0.39</v>
      </c>
      <c r="K64" s="100">
        <v>207.95</v>
      </c>
      <c r="L64" s="100">
        <v>19.37</v>
      </c>
      <c r="M64" s="100">
        <v>27.23</v>
      </c>
      <c r="N64" s="100">
        <v>144.4</v>
      </c>
      <c r="O64" s="100">
        <v>0</v>
      </c>
      <c r="P64" s="100">
        <v>0.26</v>
      </c>
      <c r="Q64" s="100">
        <v>9.32</v>
      </c>
      <c r="R64" s="6"/>
      <c r="S64" s="6"/>
      <c r="T64" s="156"/>
      <c r="U64" s="6"/>
    </row>
    <row r="65" spans="1:21" customFormat="1">
      <c r="A65" s="201" t="s">
        <v>2220</v>
      </c>
      <c r="B65" s="100">
        <v>2.8</v>
      </c>
      <c r="C65" s="100">
        <v>11.77</v>
      </c>
      <c r="D65" s="100">
        <v>8.39</v>
      </c>
      <c r="E65" s="100">
        <v>4.28</v>
      </c>
      <c r="F65" s="100">
        <v>16.43</v>
      </c>
      <c r="G65" s="100">
        <v>21.08</v>
      </c>
      <c r="H65" s="100">
        <v>6.74</v>
      </c>
      <c r="I65" s="100">
        <v>6.95</v>
      </c>
      <c r="J65" s="100">
        <v>0.4</v>
      </c>
      <c r="K65" s="100">
        <v>181.95</v>
      </c>
      <c r="L65" s="100">
        <v>18.39</v>
      </c>
      <c r="M65" s="100">
        <v>25.47</v>
      </c>
      <c r="N65" s="100">
        <v>116.4</v>
      </c>
      <c r="O65" s="100">
        <v>0</v>
      </c>
      <c r="P65" s="100">
        <v>0.33</v>
      </c>
      <c r="Q65" s="100">
        <v>9.32</v>
      </c>
      <c r="R65" s="6"/>
      <c r="S65" s="6"/>
      <c r="T65" s="156"/>
      <c r="U65" s="6"/>
    </row>
    <row r="66" spans="1:21" customFormat="1">
      <c r="A66" s="201" t="s">
        <v>2221</v>
      </c>
      <c r="B66" s="100">
        <v>2.84</v>
      </c>
      <c r="C66" s="100">
        <v>11.71</v>
      </c>
      <c r="D66" s="100">
        <v>8.39</v>
      </c>
      <c r="E66" s="100">
        <v>3.98</v>
      </c>
      <c r="F66" s="100">
        <v>16.43</v>
      </c>
      <c r="G66" s="100">
        <v>21.08</v>
      </c>
      <c r="H66" s="100">
        <v>6.74</v>
      </c>
      <c r="I66" s="100">
        <v>5.96</v>
      </c>
      <c r="J66" s="100">
        <v>0.34</v>
      </c>
      <c r="K66" s="100">
        <v>188.9</v>
      </c>
      <c r="L66" s="100">
        <v>18.62</v>
      </c>
      <c r="M66" s="100">
        <v>26.28</v>
      </c>
      <c r="N66" s="100">
        <v>107</v>
      </c>
      <c r="O66" s="100">
        <v>0</v>
      </c>
      <c r="P66" s="100">
        <v>0.36</v>
      </c>
      <c r="Q66" s="100">
        <v>9.32</v>
      </c>
      <c r="R66" s="6"/>
      <c r="S66" s="6"/>
      <c r="T66" s="156"/>
      <c r="U66" s="6"/>
    </row>
    <row r="67" spans="1:21" customFormat="1">
      <c r="A67" s="201" t="s">
        <v>2222</v>
      </c>
      <c r="B67" s="100">
        <v>2.87</v>
      </c>
      <c r="C67" s="100">
        <v>11.7</v>
      </c>
      <c r="D67" s="100">
        <v>8.42</v>
      </c>
      <c r="E67" s="100">
        <v>3.69</v>
      </c>
      <c r="F67" s="100">
        <v>16.43</v>
      </c>
      <c r="G67" s="100">
        <v>21.3</v>
      </c>
      <c r="H67" s="100">
        <v>6.92</v>
      </c>
      <c r="I67" s="100">
        <v>5.09</v>
      </c>
      <c r="J67" s="100">
        <v>0.31</v>
      </c>
      <c r="K67" s="100">
        <v>243.33</v>
      </c>
      <c r="L67" s="100">
        <v>20.88</v>
      </c>
      <c r="M67" s="100">
        <v>31.5</v>
      </c>
      <c r="N67" s="100">
        <v>110.9</v>
      </c>
      <c r="O67" s="100">
        <v>0</v>
      </c>
      <c r="P67" s="100">
        <v>0.36</v>
      </c>
      <c r="Q67" s="100">
        <v>9.32</v>
      </c>
      <c r="R67" s="6"/>
      <c r="S67" s="6"/>
      <c r="T67" s="156"/>
      <c r="U67" s="6"/>
    </row>
    <row r="68" spans="1:21" customFormat="1">
      <c r="A68" s="201" t="s">
        <v>2223</v>
      </c>
      <c r="B68" s="100">
        <v>2.91</v>
      </c>
      <c r="C68" s="100">
        <v>11.77</v>
      </c>
      <c r="D68" s="100">
        <v>8.48</v>
      </c>
      <c r="E68" s="100">
        <v>3.67</v>
      </c>
      <c r="F68" s="100">
        <v>16.43</v>
      </c>
      <c r="G68" s="100">
        <v>23.25</v>
      </c>
      <c r="H68" s="100">
        <v>8.2200000000000006</v>
      </c>
      <c r="I68" s="100">
        <v>5.15</v>
      </c>
      <c r="J68" s="100">
        <v>0.4</v>
      </c>
      <c r="K68" s="100">
        <v>190.24</v>
      </c>
      <c r="L68" s="100">
        <v>18.32</v>
      </c>
      <c r="M68" s="100">
        <v>25.83</v>
      </c>
      <c r="N68" s="100">
        <v>91.8</v>
      </c>
      <c r="O68" s="100">
        <v>0</v>
      </c>
      <c r="P68" s="100">
        <v>0.37</v>
      </c>
      <c r="Q68" s="100">
        <v>9.32</v>
      </c>
      <c r="R68" s="6"/>
      <c r="S68" s="6"/>
      <c r="T68" s="156"/>
      <c r="U68" s="6"/>
    </row>
    <row r="69" spans="1:21" customFormat="1">
      <c r="A69" s="201" t="s">
        <v>2224</v>
      </c>
      <c r="B69" s="100">
        <v>2.92</v>
      </c>
      <c r="C69" s="100">
        <v>11.74</v>
      </c>
      <c r="D69" s="100">
        <v>8.48</v>
      </c>
      <c r="E69" s="100">
        <v>4.0199999999999996</v>
      </c>
      <c r="F69" s="100">
        <v>16.43</v>
      </c>
      <c r="G69" s="100">
        <v>23.25</v>
      </c>
      <c r="H69" s="100">
        <v>8.2200000000000006</v>
      </c>
      <c r="I69" s="100">
        <v>5.19</v>
      </c>
      <c r="J69" s="100">
        <v>0.28000000000000003</v>
      </c>
      <c r="K69" s="100">
        <v>156.66</v>
      </c>
      <c r="L69" s="100">
        <v>15.93</v>
      </c>
      <c r="M69" s="100">
        <v>20.190000000000001</v>
      </c>
      <c r="N69" s="100">
        <v>78.8</v>
      </c>
      <c r="O69" s="100">
        <v>0</v>
      </c>
      <c r="P69" s="100">
        <v>0.39</v>
      </c>
      <c r="Q69" s="100">
        <v>9.32</v>
      </c>
      <c r="R69" s="6"/>
      <c r="S69" s="6"/>
      <c r="T69" s="156"/>
      <c r="U69" s="6"/>
    </row>
    <row r="70" spans="1:21" customFormat="1">
      <c r="A70" s="201" t="s">
        <v>2225</v>
      </c>
      <c r="B70" s="100">
        <v>3.05</v>
      </c>
      <c r="C70" s="100">
        <v>13.77</v>
      </c>
      <c r="D70" s="100">
        <v>9.64</v>
      </c>
      <c r="E70" s="100">
        <v>11.26</v>
      </c>
      <c r="F70" s="100">
        <v>16.43</v>
      </c>
      <c r="G70" s="100">
        <v>23.25</v>
      </c>
      <c r="H70" s="100">
        <v>8.2200000000000006</v>
      </c>
      <c r="I70" s="100">
        <v>6.01</v>
      </c>
      <c r="J70" s="100">
        <v>0.14000000000000001</v>
      </c>
      <c r="K70" s="100">
        <v>303.01</v>
      </c>
      <c r="L70" s="100">
        <v>20.51</v>
      </c>
      <c r="M70" s="100">
        <v>31.55</v>
      </c>
      <c r="N70" s="100">
        <v>70</v>
      </c>
      <c r="O70" s="100">
        <v>0</v>
      </c>
      <c r="P70" s="100">
        <v>0.49</v>
      </c>
      <c r="Q70" s="100">
        <v>9.32</v>
      </c>
      <c r="R70" s="6"/>
      <c r="S70" s="6"/>
      <c r="T70" s="156"/>
      <c r="U70" s="6"/>
    </row>
    <row r="71" spans="1:21" customFormat="1">
      <c r="A71" s="201" t="s">
        <v>2226</v>
      </c>
      <c r="B71" s="100">
        <v>3.05</v>
      </c>
      <c r="C71" s="100">
        <v>15.05</v>
      </c>
      <c r="D71" s="100">
        <v>10.31</v>
      </c>
      <c r="E71" s="100">
        <v>15</v>
      </c>
      <c r="F71" s="100">
        <v>16.43</v>
      </c>
      <c r="G71" s="100">
        <v>23.56</v>
      </c>
      <c r="H71" s="100">
        <v>8.23</v>
      </c>
      <c r="I71" s="100">
        <v>6.57</v>
      </c>
      <c r="J71" s="100">
        <v>0.43</v>
      </c>
      <c r="K71" s="100">
        <v>286.14999999999998</v>
      </c>
      <c r="L71" s="100">
        <v>24.08</v>
      </c>
      <c r="M71" s="100">
        <v>40.86</v>
      </c>
      <c r="N71" s="100">
        <v>61.7</v>
      </c>
      <c r="O71" s="100">
        <v>0</v>
      </c>
      <c r="P71" s="100">
        <v>0.53</v>
      </c>
      <c r="Q71" s="100">
        <v>9.32</v>
      </c>
      <c r="R71" s="6"/>
      <c r="S71" s="6"/>
      <c r="T71" s="156"/>
      <c r="U71" s="6"/>
    </row>
    <row r="72" spans="1:21" customFormat="1">
      <c r="A72" s="201" t="s">
        <v>2227</v>
      </c>
      <c r="B72" s="100">
        <v>3.07</v>
      </c>
      <c r="C72" s="100">
        <v>17.350000000000001</v>
      </c>
      <c r="D72" s="100">
        <v>11.53</v>
      </c>
      <c r="E72" s="100">
        <v>15.62</v>
      </c>
      <c r="F72" s="100">
        <v>16.43</v>
      </c>
      <c r="G72" s="100">
        <v>26.38</v>
      </c>
      <c r="H72" s="100">
        <v>8.31</v>
      </c>
      <c r="I72" s="100">
        <v>7.56</v>
      </c>
      <c r="J72" s="100">
        <v>0.27</v>
      </c>
      <c r="K72" s="100">
        <v>297.20999999999998</v>
      </c>
      <c r="L72" s="100">
        <v>23.94</v>
      </c>
      <c r="M72" s="100">
        <v>40.67</v>
      </c>
      <c r="N72" s="100">
        <v>52.5</v>
      </c>
      <c r="O72" s="100">
        <v>0</v>
      </c>
      <c r="P72" s="100">
        <v>0.59</v>
      </c>
      <c r="Q72" s="100">
        <v>9.32</v>
      </c>
      <c r="R72" s="6"/>
      <c r="S72" s="6"/>
      <c r="T72" s="156"/>
      <c r="U72" s="6"/>
    </row>
    <row r="73" spans="1:21" customFormat="1">
      <c r="A73" s="201" t="s">
        <v>2228</v>
      </c>
      <c r="B73" s="100">
        <v>3.14</v>
      </c>
      <c r="C73" s="100">
        <v>20.36</v>
      </c>
      <c r="D73" s="100">
        <v>13.15</v>
      </c>
      <c r="E73" s="100">
        <v>17.28</v>
      </c>
      <c r="F73" s="100">
        <v>16.43</v>
      </c>
      <c r="G73" s="100">
        <v>26.38</v>
      </c>
      <c r="H73" s="100">
        <v>8.31</v>
      </c>
      <c r="I73" s="100">
        <v>9.65</v>
      </c>
      <c r="J73" s="100">
        <v>0.03</v>
      </c>
      <c r="K73" s="100">
        <v>286.76</v>
      </c>
      <c r="L73" s="100">
        <v>18.45</v>
      </c>
      <c r="M73" s="100">
        <v>27.21</v>
      </c>
      <c r="N73" s="100">
        <v>42.2</v>
      </c>
      <c r="O73" s="100">
        <v>0</v>
      </c>
      <c r="P73" s="100">
        <v>0.57999999999999996</v>
      </c>
      <c r="Q73" s="100">
        <v>9.32</v>
      </c>
      <c r="R73" s="6"/>
      <c r="S73" s="6"/>
      <c r="T73" s="156"/>
      <c r="U73" s="6"/>
    </row>
    <row r="74" spans="1:21" customFormat="1">
      <c r="A74" s="201" t="s">
        <v>2229</v>
      </c>
      <c r="B74" s="100">
        <v>3.26</v>
      </c>
      <c r="C74" s="100">
        <v>21.73</v>
      </c>
      <c r="D74" s="100">
        <v>13.97</v>
      </c>
      <c r="E74" s="100">
        <v>16.18</v>
      </c>
      <c r="F74" s="100">
        <v>16.43</v>
      </c>
      <c r="G74" s="100">
        <v>26.38</v>
      </c>
      <c r="H74" s="100">
        <v>8.31</v>
      </c>
      <c r="I74" s="100">
        <v>10.33</v>
      </c>
      <c r="J74" s="100">
        <v>0.11</v>
      </c>
      <c r="K74" s="100">
        <v>17.27</v>
      </c>
      <c r="L74" s="100">
        <v>16.96</v>
      </c>
      <c r="M74" s="100">
        <v>23.64</v>
      </c>
      <c r="N74" s="100">
        <v>31.4</v>
      </c>
      <c r="O74" s="100">
        <v>0</v>
      </c>
      <c r="P74" s="100">
        <v>0.59</v>
      </c>
      <c r="Q74" s="100">
        <v>9.32</v>
      </c>
      <c r="R74" s="6"/>
      <c r="S74" s="6"/>
      <c r="T74" s="156"/>
      <c r="U74" s="6"/>
    </row>
    <row r="75" spans="1:21" customFormat="1">
      <c r="A75" s="201" t="s">
        <v>2230</v>
      </c>
      <c r="B75" s="100">
        <v>3.5</v>
      </c>
      <c r="C75" s="100">
        <v>22.84</v>
      </c>
      <c r="D75" s="100">
        <v>14.74</v>
      </c>
      <c r="E75" s="100">
        <v>11.69</v>
      </c>
      <c r="F75" s="100">
        <v>16.43</v>
      </c>
      <c r="G75" s="100">
        <v>27.3</v>
      </c>
      <c r="H75" s="100">
        <v>8.65</v>
      </c>
      <c r="I75" s="100">
        <v>10.26</v>
      </c>
      <c r="J75" s="100">
        <v>0.19</v>
      </c>
      <c r="K75" s="100">
        <v>63.25</v>
      </c>
      <c r="L75" s="100">
        <v>11.3</v>
      </c>
      <c r="M75" s="100">
        <v>9.7100000000000009</v>
      </c>
      <c r="N75" s="100">
        <v>23.4</v>
      </c>
      <c r="O75" s="100">
        <v>0</v>
      </c>
      <c r="P75" s="100">
        <v>0.61</v>
      </c>
      <c r="Q75" s="100">
        <v>9.32</v>
      </c>
      <c r="R75" s="6"/>
      <c r="S75" s="6"/>
      <c r="T75" s="156"/>
      <c r="U75" s="6"/>
    </row>
    <row r="76" spans="1:21" customFormat="1">
      <c r="A76" s="201" t="s">
        <v>2231</v>
      </c>
      <c r="B76" s="100">
        <v>3.29</v>
      </c>
      <c r="C76" s="100">
        <v>20.22</v>
      </c>
      <c r="D76" s="100">
        <v>13.2</v>
      </c>
      <c r="E76" s="100">
        <v>5.93</v>
      </c>
      <c r="F76" s="100">
        <v>20.350000000000001</v>
      </c>
      <c r="G76" s="100">
        <v>35.619999999999997</v>
      </c>
      <c r="H76" s="100">
        <v>11.14</v>
      </c>
      <c r="I76" s="100">
        <v>10.27</v>
      </c>
      <c r="J76" s="100">
        <v>0.1</v>
      </c>
      <c r="K76" s="100">
        <v>124.08</v>
      </c>
      <c r="L76" s="100">
        <v>14.29</v>
      </c>
      <c r="M76" s="100">
        <v>17.45</v>
      </c>
      <c r="N76" s="100">
        <v>15.2</v>
      </c>
      <c r="O76" s="100">
        <v>0</v>
      </c>
      <c r="P76" s="100">
        <v>0.59</v>
      </c>
      <c r="Q76" s="100">
        <v>9.32</v>
      </c>
      <c r="R76" s="6"/>
      <c r="S76" s="6"/>
      <c r="T76" s="156"/>
      <c r="U76" s="6"/>
    </row>
    <row r="77" spans="1:21" customFormat="1">
      <c r="A77" s="201" t="s">
        <v>2232</v>
      </c>
      <c r="B77" s="100">
        <v>3.43</v>
      </c>
      <c r="C77" s="100">
        <v>18.82</v>
      </c>
      <c r="D77" s="100">
        <v>12.58</v>
      </c>
      <c r="E77" s="100">
        <v>5.04</v>
      </c>
      <c r="F77" s="100">
        <v>20.350000000000001</v>
      </c>
      <c r="G77" s="100">
        <v>35.619999999999997</v>
      </c>
      <c r="H77" s="100">
        <v>11.14</v>
      </c>
      <c r="I77" s="100">
        <v>10.38</v>
      </c>
      <c r="J77" s="100">
        <v>0.15</v>
      </c>
      <c r="K77" s="100">
        <v>125.42</v>
      </c>
      <c r="L77" s="100">
        <v>13.24</v>
      </c>
      <c r="M77" s="100">
        <v>15.09</v>
      </c>
      <c r="N77" s="100">
        <v>7.6</v>
      </c>
      <c r="O77" s="100">
        <v>0</v>
      </c>
      <c r="P77" s="100">
        <v>0.6</v>
      </c>
      <c r="Q77" s="100">
        <v>9.32</v>
      </c>
      <c r="R77" s="6"/>
      <c r="S77" s="6"/>
      <c r="T77" s="156"/>
      <c r="U77" s="6"/>
    </row>
    <row r="78" spans="1:21" customFormat="1">
      <c r="A78" s="201" t="s">
        <v>2233</v>
      </c>
      <c r="B78" s="100">
        <v>4.32</v>
      </c>
      <c r="C78" s="100">
        <v>19.29</v>
      </c>
      <c r="D78" s="100">
        <v>13.54</v>
      </c>
      <c r="E78" s="100">
        <v>4.49</v>
      </c>
      <c r="F78" s="100">
        <v>20.350000000000001</v>
      </c>
      <c r="G78" s="100">
        <v>35.619999999999997</v>
      </c>
      <c r="H78" s="100">
        <v>11.14</v>
      </c>
      <c r="I78" s="100">
        <v>10.45</v>
      </c>
      <c r="J78" s="100">
        <v>0.21</v>
      </c>
      <c r="K78" s="100">
        <v>62.25</v>
      </c>
      <c r="L78" s="100">
        <v>11.64</v>
      </c>
      <c r="M78" s="100">
        <v>11.09</v>
      </c>
      <c r="N78" s="100">
        <v>3</v>
      </c>
      <c r="O78" s="100">
        <v>0</v>
      </c>
      <c r="P78" s="100">
        <v>0.61</v>
      </c>
      <c r="Q78" s="100">
        <v>9.32</v>
      </c>
      <c r="R78" s="6"/>
      <c r="S78" s="6"/>
      <c r="T78" s="156"/>
      <c r="U78" s="6"/>
    </row>
    <row r="79" spans="1:21" customFormat="1">
      <c r="A79" s="201" t="s">
        <v>2234</v>
      </c>
      <c r="B79" s="100">
        <v>4.42</v>
      </c>
      <c r="C79" s="100">
        <v>17.77</v>
      </c>
      <c r="D79" s="100">
        <v>12.83</v>
      </c>
      <c r="E79" s="100">
        <v>4.1900000000000004</v>
      </c>
      <c r="F79" s="100">
        <v>20.350000000000001</v>
      </c>
      <c r="G79" s="100">
        <v>36.270000000000003</v>
      </c>
      <c r="H79" s="100">
        <v>11.17</v>
      </c>
      <c r="I79" s="100">
        <v>10.56</v>
      </c>
      <c r="J79" s="100">
        <v>0.2</v>
      </c>
      <c r="K79" s="100">
        <v>65.739999999999995</v>
      </c>
      <c r="L79" s="100">
        <v>11.56</v>
      </c>
      <c r="M79" s="100">
        <v>10.91</v>
      </c>
      <c r="N79" s="100">
        <v>2.1</v>
      </c>
      <c r="O79" s="100">
        <v>0</v>
      </c>
      <c r="P79" s="100">
        <v>0.61</v>
      </c>
      <c r="Q79" s="100">
        <v>9.32</v>
      </c>
      <c r="R79" s="6"/>
      <c r="S79" s="6"/>
      <c r="T79" s="156"/>
      <c r="U79" s="6"/>
    </row>
    <row r="80" spans="1:21" customFormat="1">
      <c r="A80" s="201" t="s">
        <v>2235</v>
      </c>
      <c r="B80" s="100">
        <v>5.24</v>
      </c>
      <c r="C80" s="100">
        <v>18.079999999999998</v>
      </c>
      <c r="D80" s="100">
        <v>13.64</v>
      </c>
      <c r="E80" s="100">
        <v>3.97</v>
      </c>
      <c r="F80" s="100">
        <v>20.350000000000001</v>
      </c>
      <c r="G80" s="100">
        <v>42.19</v>
      </c>
      <c r="H80" s="100">
        <v>11.41</v>
      </c>
      <c r="I80" s="100">
        <v>10.67</v>
      </c>
      <c r="J80" s="100">
        <v>0.33</v>
      </c>
      <c r="K80" s="100">
        <v>60.22</v>
      </c>
      <c r="L80" s="100">
        <v>8.0399999999999991</v>
      </c>
      <c r="M80" s="100">
        <v>2.1</v>
      </c>
      <c r="N80" s="100">
        <v>1.5</v>
      </c>
      <c r="O80" s="100">
        <v>0</v>
      </c>
      <c r="P80" s="100">
        <v>0.62</v>
      </c>
      <c r="Q80" s="100">
        <v>9.32</v>
      </c>
      <c r="R80" s="6"/>
      <c r="S80" s="6"/>
      <c r="T80" s="156"/>
      <c r="U80" s="6"/>
    </row>
    <row r="81" spans="1:21" customFormat="1">
      <c r="A81" s="201" t="s">
        <v>2236</v>
      </c>
      <c r="B81" s="100">
        <v>5.86</v>
      </c>
      <c r="C81" s="100">
        <v>17.22</v>
      </c>
      <c r="D81" s="100">
        <v>13.7</v>
      </c>
      <c r="E81" s="100">
        <v>4.17</v>
      </c>
      <c r="F81" s="100">
        <v>20.350000000000001</v>
      </c>
      <c r="G81" s="100">
        <v>42.19</v>
      </c>
      <c r="H81" s="100">
        <v>11.41</v>
      </c>
      <c r="I81" s="100">
        <v>9.48</v>
      </c>
      <c r="J81" s="100">
        <v>0.32</v>
      </c>
      <c r="K81" s="100">
        <v>56.61</v>
      </c>
      <c r="L81" s="100">
        <v>8.59</v>
      </c>
      <c r="M81" s="100">
        <v>3.48</v>
      </c>
      <c r="N81" s="100">
        <v>1.7</v>
      </c>
      <c r="O81" s="100">
        <v>0</v>
      </c>
      <c r="P81" s="100">
        <v>0.63</v>
      </c>
      <c r="Q81" s="100">
        <v>9.32</v>
      </c>
      <c r="R81" s="6"/>
      <c r="S81" s="6"/>
      <c r="T81" s="156"/>
      <c r="U81" s="6"/>
    </row>
    <row r="82" spans="1:21" customFormat="1">
      <c r="A82" s="201" t="s">
        <v>2237</v>
      </c>
      <c r="B82" s="100">
        <v>6.5</v>
      </c>
      <c r="C82" s="100">
        <v>17.28</v>
      </c>
      <c r="D82" s="100">
        <v>14.24</v>
      </c>
      <c r="E82" s="100">
        <v>5.04</v>
      </c>
      <c r="F82" s="100">
        <v>20.350000000000001</v>
      </c>
      <c r="G82" s="100">
        <v>42.19</v>
      </c>
      <c r="H82" s="100">
        <v>11.41</v>
      </c>
      <c r="I82" s="100">
        <v>8.07</v>
      </c>
      <c r="J82" s="100">
        <v>0.27</v>
      </c>
      <c r="K82" s="100">
        <v>58.22</v>
      </c>
      <c r="L82" s="100">
        <v>7.55</v>
      </c>
      <c r="M82" s="100">
        <v>0.87</v>
      </c>
      <c r="N82" s="100">
        <v>1.7</v>
      </c>
      <c r="O82" s="100">
        <v>0</v>
      </c>
      <c r="P82" s="100">
        <v>0.64</v>
      </c>
      <c r="Q82" s="100">
        <v>9.32</v>
      </c>
      <c r="R82" s="6"/>
      <c r="S82" s="6"/>
      <c r="T82" s="156"/>
      <c r="U82" s="6"/>
    </row>
    <row r="83" spans="1:21" customFormat="1">
      <c r="A83" s="201" t="s">
        <v>2238</v>
      </c>
      <c r="B83" s="100">
        <v>7.37</v>
      </c>
      <c r="C83" s="100">
        <v>17.79</v>
      </c>
      <c r="D83" s="100">
        <v>15.21</v>
      </c>
      <c r="E83" s="100">
        <v>5.0599999999999996</v>
      </c>
      <c r="F83" s="100">
        <v>20.350000000000001</v>
      </c>
      <c r="G83" s="100">
        <v>43.07</v>
      </c>
      <c r="H83" s="100">
        <v>11.41</v>
      </c>
      <c r="I83" s="100">
        <v>8.07</v>
      </c>
      <c r="J83" s="100">
        <v>0.13</v>
      </c>
      <c r="K83" s="100">
        <v>67.099999999999994</v>
      </c>
      <c r="L83" s="100">
        <v>9.9700000000000006</v>
      </c>
      <c r="M83" s="100">
        <v>7</v>
      </c>
      <c r="N83" s="100">
        <v>2</v>
      </c>
      <c r="O83" s="100">
        <v>0</v>
      </c>
      <c r="P83" s="100">
        <v>0.65</v>
      </c>
      <c r="Q83" s="100">
        <v>9.32</v>
      </c>
      <c r="R83" s="6"/>
      <c r="S83" s="6"/>
      <c r="T83" s="156"/>
      <c r="U83" s="6"/>
    </row>
    <row r="84" spans="1:21" customFormat="1">
      <c r="A84" s="201" t="s">
        <v>2239</v>
      </c>
      <c r="B84" s="100">
        <v>8.2100000000000009</v>
      </c>
      <c r="C84" s="100">
        <v>17.46</v>
      </c>
      <c r="D84" s="100">
        <v>15.71</v>
      </c>
      <c r="E84" s="100">
        <v>4.9000000000000004</v>
      </c>
      <c r="F84" s="100">
        <v>20.350000000000001</v>
      </c>
      <c r="G84" s="100">
        <v>50.95</v>
      </c>
      <c r="H84" s="100">
        <v>11.45</v>
      </c>
      <c r="I84" s="100">
        <v>8.11</v>
      </c>
      <c r="J84" s="100">
        <v>0.27</v>
      </c>
      <c r="K84" s="100">
        <v>155.41999999999999</v>
      </c>
      <c r="L84" s="100">
        <v>14.7</v>
      </c>
      <c r="M84" s="100">
        <v>18.96</v>
      </c>
      <c r="N84" s="100">
        <v>2.2999999999999998</v>
      </c>
      <c r="O84" s="100">
        <v>0</v>
      </c>
      <c r="P84" s="100">
        <v>0.65</v>
      </c>
      <c r="Q84" s="100">
        <v>9.32</v>
      </c>
      <c r="R84" s="6"/>
      <c r="S84" s="6"/>
      <c r="T84" s="156"/>
      <c r="U84" s="6"/>
    </row>
    <row r="85" spans="1:21" customFormat="1">
      <c r="A85" s="201" t="s">
        <v>2240</v>
      </c>
      <c r="B85" s="100">
        <v>8.0299999999999994</v>
      </c>
      <c r="C85" s="100">
        <v>16.12</v>
      </c>
      <c r="D85" s="100">
        <v>14.86</v>
      </c>
      <c r="E85" s="100">
        <v>5.13</v>
      </c>
      <c r="F85" s="100">
        <v>20.350000000000001</v>
      </c>
      <c r="G85" s="100">
        <v>50.95</v>
      </c>
      <c r="H85" s="100">
        <v>11.45</v>
      </c>
      <c r="I85" s="100">
        <v>8.15</v>
      </c>
      <c r="J85" s="100">
        <v>0.31</v>
      </c>
      <c r="K85" s="100">
        <v>147.51</v>
      </c>
      <c r="L85" s="100">
        <v>14.17</v>
      </c>
      <c r="M85" s="100">
        <v>17.64</v>
      </c>
      <c r="N85" s="100">
        <v>2.2000000000000002</v>
      </c>
      <c r="O85" s="100">
        <v>0</v>
      </c>
      <c r="P85" s="100">
        <v>0.67</v>
      </c>
      <c r="Q85" s="100">
        <v>9.32</v>
      </c>
      <c r="R85" s="6"/>
      <c r="S85" s="6"/>
      <c r="T85" s="156"/>
      <c r="U85" s="6"/>
    </row>
    <row r="86" spans="1:21" customFormat="1">
      <c r="A86" s="201" t="s">
        <v>2241</v>
      </c>
      <c r="B86" s="100">
        <v>8.3000000000000007</v>
      </c>
      <c r="C86" s="100">
        <v>15.63</v>
      </c>
      <c r="D86" s="100">
        <v>14.82</v>
      </c>
      <c r="E86" s="100">
        <v>5.19</v>
      </c>
      <c r="F86" s="100">
        <v>20.350000000000001</v>
      </c>
      <c r="G86" s="100">
        <v>50.95</v>
      </c>
      <c r="H86" s="100">
        <v>11.45</v>
      </c>
      <c r="I86" s="100">
        <v>9.41</v>
      </c>
      <c r="J86" s="100">
        <v>0.25</v>
      </c>
      <c r="K86" s="100">
        <v>168.02</v>
      </c>
      <c r="L86" s="100">
        <v>15.8</v>
      </c>
      <c r="M86" s="100">
        <v>21.78</v>
      </c>
      <c r="N86" s="100">
        <v>2</v>
      </c>
      <c r="O86" s="100">
        <v>0</v>
      </c>
      <c r="P86" s="100">
        <v>0.69</v>
      </c>
      <c r="Q86" s="100">
        <v>9.32</v>
      </c>
      <c r="R86" s="6"/>
      <c r="S86" s="6"/>
      <c r="T86" s="156"/>
      <c r="U86" s="6"/>
    </row>
    <row r="87" spans="1:21" customFormat="1">
      <c r="A87" s="201" t="s">
        <v>2242</v>
      </c>
      <c r="B87" s="100">
        <v>8.8699999999999992</v>
      </c>
      <c r="C87" s="100">
        <v>15.43</v>
      </c>
      <c r="D87" s="100">
        <v>15.18</v>
      </c>
      <c r="E87" s="100">
        <v>5.28</v>
      </c>
      <c r="F87" s="100">
        <v>20.350000000000001</v>
      </c>
      <c r="G87" s="100">
        <v>51.58</v>
      </c>
      <c r="H87" s="100">
        <v>11.52</v>
      </c>
      <c r="I87" s="100">
        <v>10.85</v>
      </c>
      <c r="J87" s="100">
        <v>0.14000000000000001</v>
      </c>
      <c r="K87" s="100">
        <v>150.55000000000001</v>
      </c>
      <c r="L87" s="100">
        <v>14.44</v>
      </c>
      <c r="M87" s="100">
        <v>18.38</v>
      </c>
      <c r="N87" s="100">
        <v>1.7</v>
      </c>
      <c r="O87" s="100">
        <v>0</v>
      </c>
      <c r="P87" s="100">
        <v>0.71</v>
      </c>
      <c r="Q87" s="100">
        <v>9.32</v>
      </c>
      <c r="R87" s="6"/>
      <c r="S87" s="6"/>
      <c r="T87" s="156"/>
      <c r="U87" s="6"/>
    </row>
    <row r="88" spans="1:21" customFormat="1">
      <c r="A88" s="201" t="s">
        <v>2243</v>
      </c>
      <c r="B88" s="100">
        <v>9.4700000000000006</v>
      </c>
      <c r="C88" s="100">
        <v>15.44</v>
      </c>
      <c r="D88" s="100">
        <v>15.66</v>
      </c>
      <c r="E88" s="100">
        <v>5.14</v>
      </c>
      <c r="F88" s="100">
        <v>20.350000000000001</v>
      </c>
      <c r="G88" s="100">
        <v>57.26</v>
      </c>
      <c r="H88" s="100">
        <v>12.04</v>
      </c>
      <c r="I88" s="100">
        <v>11.15</v>
      </c>
      <c r="J88" s="100">
        <v>0.19</v>
      </c>
      <c r="K88" s="100">
        <v>134.56</v>
      </c>
      <c r="L88" s="100">
        <v>13.73</v>
      </c>
      <c r="M88" s="100">
        <v>16.46</v>
      </c>
      <c r="N88" s="100">
        <v>1.8</v>
      </c>
      <c r="O88" s="100">
        <v>0</v>
      </c>
      <c r="P88" s="100">
        <v>0.71</v>
      </c>
      <c r="Q88" s="100">
        <v>9.32</v>
      </c>
      <c r="R88" s="6"/>
      <c r="S88" s="6"/>
      <c r="T88" s="156"/>
      <c r="U88" s="6"/>
    </row>
    <row r="89" spans="1:21" customFormat="1">
      <c r="A89" s="201" t="s">
        <v>2244</v>
      </c>
      <c r="B89" s="100">
        <v>9.82</v>
      </c>
      <c r="C89" s="100">
        <v>15.29</v>
      </c>
      <c r="D89" s="100">
        <v>15.87</v>
      </c>
      <c r="E89" s="100">
        <v>5.18</v>
      </c>
      <c r="F89" s="100">
        <v>20.350000000000001</v>
      </c>
      <c r="G89" s="100">
        <v>57.26</v>
      </c>
      <c r="H89" s="100">
        <v>12.04</v>
      </c>
      <c r="I89" s="100">
        <v>11.49</v>
      </c>
      <c r="J89" s="100">
        <v>0.28000000000000003</v>
      </c>
      <c r="K89" s="100">
        <v>163.76</v>
      </c>
      <c r="L89" s="100">
        <v>15.34</v>
      </c>
      <c r="M89" s="100">
        <v>20.64</v>
      </c>
      <c r="N89" s="100">
        <v>1.8</v>
      </c>
      <c r="O89" s="100">
        <v>0</v>
      </c>
      <c r="P89" s="100">
        <v>0.71</v>
      </c>
      <c r="Q89" s="100">
        <v>9.32</v>
      </c>
      <c r="R89" s="6"/>
      <c r="S89" s="6"/>
      <c r="T89" s="156"/>
      <c r="U89" s="6"/>
    </row>
    <row r="90" spans="1:21" customFormat="1">
      <c r="A90" s="201" t="s">
        <v>2245</v>
      </c>
      <c r="B90" s="100">
        <v>9.85</v>
      </c>
      <c r="C90" s="100">
        <v>15.27</v>
      </c>
      <c r="D90" s="100">
        <v>15.88</v>
      </c>
      <c r="E90" s="100">
        <v>5.27</v>
      </c>
      <c r="F90" s="100">
        <v>20.350000000000001</v>
      </c>
      <c r="G90" s="100">
        <v>57.26</v>
      </c>
      <c r="H90" s="100">
        <v>12.04</v>
      </c>
      <c r="I90" s="100">
        <v>11.81</v>
      </c>
      <c r="J90" s="100">
        <v>0.22</v>
      </c>
      <c r="K90" s="100">
        <v>177.36</v>
      </c>
      <c r="L90" s="100">
        <v>16.63</v>
      </c>
      <c r="M90" s="100">
        <v>23.88</v>
      </c>
      <c r="N90" s="100">
        <v>1.7</v>
      </c>
      <c r="O90" s="100">
        <v>0</v>
      </c>
      <c r="P90" s="100">
        <v>0.72</v>
      </c>
      <c r="Q90" s="100">
        <v>9.32</v>
      </c>
      <c r="R90" s="6"/>
      <c r="S90" s="6"/>
      <c r="T90" s="156"/>
      <c r="U90" s="6"/>
    </row>
    <row r="91" spans="1:21" customFormat="1">
      <c r="A91" s="201" t="s">
        <v>2246</v>
      </c>
      <c r="B91" s="100">
        <v>9.92</v>
      </c>
      <c r="C91" s="100">
        <v>15.41</v>
      </c>
      <c r="D91" s="100">
        <v>16</v>
      </c>
      <c r="E91" s="100">
        <v>5.59</v>
      </c>
      <c r="F91" s="100">
        <v>20.350000000000001</v>
      </c>
      <c r="G91" s="100">
        <v>57.04</v>
      </c>
      <c r="H91" s="100">
        <v>12.13</v>
      </c>
      <c r="I91" s="100">
        <v>12.16</v>
      </c>
      <c r="J91" s="100">
        <v>0.21</v>
      </c>
      <c r="K91" s="100">
        <v>192.44</v>
      </c>
      <c r="L91" s="100">
        <v>17.579999999999998</v>
      </c>
      <c r="M91" s="100">
        <v>26.24</v>
      </c>
      <c r="N91" s="100">
        <v>1.7</v>
      </c>
      <c r="O91" s="100">
        <v>0</v>
      </c>
      <c r="P91" s="100">
        <v>0.74</v>
      </c>
      <c r="Q91" s="100">
        <v>9.32</v>
      </c>
      <c r="R91" s="6"/>
      <c r="S91" s="6"/>
      <c r="T91" s="156"/>
      <c r="U91" s="6"/>
    </row>
    <row r="92" spans="1:21" customFormat="1">
      <c r="A92" s="201" t="s">
        <v>2247</v>
      </c>
      <c r="B92" s="100">
        <v>9.99</v>
      </c>
      <c r="C92" s="100">
        <v>15.56</v>
      </c>
      <c r="D92" s="100">
        <v>16.14</v>
      </c>
      <c r="E92" s="100">
        <v>5.32</v>
      </c>
      <c r="F92" s="100">
        <v>20.350000000000001</v>
      </c>
      <c r="G92" s="100">
        <v>55.08</v>
      </c>
      <c r="H92" s="100">
        <v>12.8</v>
      </c>
      <c r="I92" s="100">
        <v>11.17</v>
      </c>
      <c r="J92" s="100">
        <v>0.23</v>
      </c>
      <c r="K92" s="100">
        <v>188.76</v>
      </c>
      <c r="L92" s="100">
        <v>17.309999999999999</v>
      </c>
      <c r="M92" s="100">
        <v>25.52</v>
      </c>
      <c r="N92" s="100">
        <v>1.8</v>
      </c>
      <c r="O92" s="100">
        <v>0</v>
      </c>
      <c r="P92" s="100">
        <v>0.74</v>
      </c>
      <c r="Q92" s="100">
        <v>9.32</v>
      </c>
      <c r="R92" s="6"/>
      <c r="S92" s="6"/>
      <c r="T92" s="156"/>
      <c r="U92" s="6"/>
    </row>
    <row r="93" spans="1:21" customFormat="1">
      <c r="A93" s="201" t="s">
        <v>2248</v>
      </c>
      <c r="B93" s="100">
        <v>9.89</v>
      </c>
      <c r="C93" s="100">
        <v>15.3</v>
      </c>
      <c r="D93" s="100">
        <v>15.93</v>
      </c>
      <c r="E93" s="100">
        <v>5.26</v>
      </c>
      <c r="F93" s="100">
        <v>20.350000000000001</v>
      </c>
      <c r="G93" s="100">
        <v>55.08</v>
      </c>
      <c r="H93" s="100">
        <v>12.8</v>
      </c>
      <c r="I93" s="100">
        <v>11.28</v>
      </c>
      <c r="J93" s="100">
        <v>0.15</v>
      </c>
      <c r="K93" s="100">
        <v>198.85</v>
      </c>
      <c r="L93" s="100">
        <v>17.73</v>
      </c>
      <c r="M93" s="100">
        <v>26.65</v>
      </c>
      <c r="N93" s="100">
        <v>1.9</v>
      </c>
      <c r="O93" s="100">
        <v>0</v>
      </c>
      <c r="P93" s="100">
        <v>0.74</v>
      </c>
      <c r="Q93" s="100">
        <v>9.32</v>
      </c>
      <c r="R93" s="6"/>
      <c r="S93" s="6"/>
      <c r="T93" s="156"/>
      <c r="U93" s="6"/>
    </row>
    <row r="94" spans="1:21" customFormat="1">
      <c r="A94" s="201" t="s">
        <v>2249</v>
      </c>
      <c r="B94" s="100">
        <v>9.7200000000000006</v>
      </c>
      <c r="C94" s="100">
        <v>14.96</v>
      </c>
      <c r="D94" s="100">
        <v>15.61</v>
      </c>
      <c r="E94" s="100">
        <v>5.3</v>
      </c>
      <c r="F94" s="100">
        <v>20.350000000000001</v>
      </c>
      <c r="G94" s="100">
        <v>55.08</v>
      </c>
      <c r="H94" s="100">
        <v>12.8</v>
      </c>
      <c r="I94" s="100">
        <v>12.9</v>
      </c>
      <c r="J94" s="100">
        <v>0.22</v>
      </c>
      <c r="K94" s="100">
        <v>177.09</v>
      </c>
      <c r="L94" s="100">
        <v>16.260000000000002</v>
      </c>
      <c r="M94" s="100">
        <v>22.99</v>
      </c>
      <c r="N94" s="100">
        <v>1.5</v>
      </c>
      <c r="O94" s="100">
        <v>0</v>
      </c>
      <c r="P94" s="100">
        <v>0.75</v>
      </c>
      <c r="Q94" s="100">
        <v>9.32</v>
      </c>
      <c r="R94" s="6"/>
      <c r="S94" s="6"/>
      <c r="T94" s="156"/>
      <c r="U94" s="6"/>
    </row>
    <row r="95" spans="1:21" customFormat="1">
      <c r="A95" s="201" t="s">
        <v>2250</v>
      </c>
      <c r="B95" s="100">
        <v>9.52</v>
      </c>
      <c r="C95" s="100">
        <v>14.68</v>
      </c>
      <c r="D95" s="100">
        <v>15.3</v>
      </c>
      <c r="E95" s="100">
        <v>3.8</v>
      </c>
      <c r="F95" s="100">
        <v>20.350000000000001</v>
      </c>
      <c r="G95" s="100">
        <v>54.31</v>
      </c>
      <c r="H95" s="100">
        <v>12.81</v>
      </c>
      <c r="I95" s="100">
        <v>12.98</v>
      </c>
      <c r="J95" s="100">
        <v>0.18</v>
      </c>
      <c r="K95" s="100">
        <v>189.31</v>
      </c>
      <c r="L95" s="100">
        <v>17.37</v>
      </c>
      <c r="M95" s="100">
        <v>25.74</v>
      </c>
      <c r="N95" s="100">
        <v>1.7</v>
      </c>
      <c r="O95" s="100">
        <v>0</v>
      </c>
      <c r="P95" s="100">
        <v>0.75</v>
      </c>
      <c r="Q95" s="100">
        <v>9.32</v>
      </c>
      <c r="R95" s="6"/>
      <c r="S95" s="6"/>
      <c r="T95" s="156"/>
      <c r="U95" s="6"/>
    </row>
    <row r="96" spans="1:21" customFormat="1">
      <c r="A96" s="201" t="s">
        <v>2251</v>
      </c>
      <c r="B96" s="100">
        <v>9.41</v>
      </c>
      <c r="C96" s="100">
        <v>14.38</v>
      </c>
      <c r="D96" s="100">
        <v>15.06</v>
      </c>
      <c r="E96" s="100">
        <v>5.05</v>
      </c>
      <c r="F96" s="100">
        <v>20.350000000000001</v>
      </c>
      <c r="G96" s="100">
        <v>47.38</v>
      </c>
      <c r="H96" s="100">
        <v>12.86</v>
      </c>
      <c r="I96" s="100">
        <v>12.96</v>
      </c>
      <c r="J96" s="100">
        <v>0.2</v>
      </c>
      <c r="K96" s="100">
        <v>217.05</v>
      </c>
      <c r="L96" s="100">
        <v>19.350000000000001</v>
      </c>
      <c r="M96" s="100">
        <v>30.7</v>
      </c>
      <c r="N96" s="100">
        <v>1.6</v>
      </c>
      <c r="O96" s="100">
        <v>0</v>
      </c>
      <c r="P96" s="100">
        <v>0.76</v>
      </c>
      <c r="Q96" s="100">
        <v>9.32</v>
      </c>
      <c r="R96" s="6"/>
      <c r="S96" s="6"/>
      <c r="T96" s="156"/>
      <c r="U96" s="6"/>
    </row>
    <row r="97" spans="1:28" customFormat="1">
      <c r="A97" s="201" t="s">
        <v>2252</v>
      </c>
      <c r="B97" s="100">
        <v>9.24</v>
      </c>
      <c r="C97" s="100">
        <v>14.27</v>
      </c>
      <c r="D97" s="100">
        <v>14.86</v>
      </c>
      <c r="E97" s="100">
        <v>5.43</v>
      </c>
      <c r="F97" s="100">
        <v>14.3</v>
      </c>
      <c r="G97" s="100">
        <v>47.38</v>
      </c>
      <c r="H97" s="100">
        <v>12.86</v>
      </c>
      <c r="I97" s="100">
        <v>12.96</v>
      </c>
      <c r="J97" s="100">
        <v>0.18</v>
      </c>
      <c r="K97" s="100">
        <v>195.33</v>
      </c>
      <c r="L97" s="100">
        <v>17.64</v>
      </c>
      <c r="M97" s="100">
        <v>26.38</v>
      </c>
      <c r="N97" s="100">
        <v>1.7</v>
      </c>
      <c r="O97" s="100">
        <v>0</v>
      </c>
      <c r="P97" s="100">
        <v>0.76</v>
      </c>
      <c r="Q97" s="100">
        <v>9.32</v>
      </c>
      <c r="R97" s="6"/>
      <c r="S97" s="6"/>
      <c r="T97" s="156"/>
      <c r="U97" s="6"/>
    </row>
    <row r="98" spans="1:28" customFormat="1">
      <c r="A98" s="201" t="s">
        <v>2253</v>
      </c>
      <c r="B98" s="100">
        <v>9.1</v>
      </c>
      <c r="C98" s="100">
        <v>14.05</v>
      </c>
      <c r="D98" s="100">
        <v>14.64</v>
      </c>
      <c r="E98" s="100">
        <v>5.6</v>
      </c>
      <c r="F98" s="100">
        <v>14.3</v>
      </c>
      <c r="G98" s="100">
        <v>47.38</v>
      </c>
      <c r="H98" s="100">
        <v>12.86</v>
      </c>
      <c r="I98" s="100">
        <v>12.95</v>
      </c>
      <c r="J98" s="100">
        <v>0.18</v>
      </c>
      <c r="K98" s="100">
        <v>183.74</v>
      </c>
      <c r="L98" s="100">
        <v>16.77</v>
      </c>
      <c r="M98" s="100">
        <v>24.26</v>
      </c>
      <c r="N98" s="100">
        <v>1.5</v>
      </c>
      <c r="O98" s="100">
        <v>0</v>
      </c>
      <c r="P98" s="100">
        <v>0.76</v>
      </c>
      <c r="Q98" s="100">
        <v>9.32</v>
      </c>
      <c r="R98" s="6"/>
      <c r="S98" s="6"/>
      <c r="T98" s="156"/>
      <c r="U98" s="6"/>
    </row>
    <row r="99" spans="1:28" customFormat="1">
      <c r="A99" s="201" t="s">
        <v>2254</v>
      </c>
      <c r="B99" s="100">
        <v>9.3000000000000007</v>
      </c>
      <c r="C99" s="100">
        <v>13.94</v>
      </c>
      <c r="D99" s="100">
        <v>14.75</v>
      </c>
      <c r="E99" s="100">
        <v>5.52</v>
      </c>
      <c r="F99" s="100">
        <v>14.3</v>
      </c>
      <c r="G99" s="100">
        <v>46.95</v>
      </c>
      <c r="H99" s="100">
        <v>12.96</v>
      </c>
      <c r="I99" s="100">
        <v>12.87</v>
      </c>
      <c r="J99" s="100">
        <v>0.2</v>
      </c>
      <c r="K99" s="100">
        <v>228.67</v>
      </c>
      <c r="L99" s="100">
        <v>20.190000000000001</v>
      </c>
      <c r="M99" s="100">
        <v>32.799999999999997</v>
      </c>
      <c r="N99" s="100">
        <v>1.5</v>
      </c>
      <c r="O99" s="100">
        <v>0</v>
      </c>
      <c r="P99" s="100">
        <v>0.76</v>
      </c>
      <c r="Q99" s="100">
        <v>9.32</v>
      </c>
      <c r="R99" s="6"/>
      <c r="S99" s="6"/>
      <c r="T99" s="156"/>
      <c r="U99" s="6"/>
    </row>
    <row r="100" spans="1:28" customFormat="1">
      <c r="A100" s="201" t="s">
        <v>2255</v>
      </c>
      <c r="B100" s="100">
        <v>10.26</v>
      </c>
      <c r="C100" s="100">
        <v>14.06</v>
      </c>
      <c r="D100" s="100">
        <v>15.57</v>
      </c>
      <c r="E100" s="100">
        <v>5.35</v>
      </c>
      <c r="F100" s="100">
        <v>14.3</v>
      </c>
      <c r="G100" s="100">
        <v>43.13</v>
      </c>
      <c r="H100" s="100">
        <v>13.74</v>
      </c>
      <c r="I100" s="100">
        <v>12.8</v>
      </c>
      <c r="J100" s="100">
        <v>0.2</v>
      </c>
      <c r="K100" s="100">
        <v>180.62</v>
      </c>
      <c r="L100" s="100">
        <v>16.61</v>
      </c>
      <c r="M100" s="100">
        <v>23.86</v>
      </c>
      <c r="N100" s="100">
        <v>1.4</v>
      </c>
      <c r="O100" s="100">
        <v>0</v>
      </c>
      <c r="P100" s="100">
        <v>0.78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2256</v>
      </c>
      <c r="B101" s="100">
        <v>11.54</v>
      </c>
      <c r="C101" s="100">
        <v>14.27</v>
      </c>
      <c r="D101" s="100">
        <v>16.71</v>
      </c>
      <c r="E101" s="100">
        <v>5.55</v>
      </c>
      <c r="F101" s="100">
        <v>14.3</v>
      </c>
      <c r="G101" s="100">
        <v>43.13</v>
      </c>
      <c r="H101" s="100">
        <v>13.74</v>
      </c>
      <c r="I101" s="100">
        <v>12.81</v>
      </c>
      <c r="J101" s="100">
        <v>0.17</v>
      </c>
      <c r="K101" s="100">
        <v>195.85</v>
      </c>
      <c r="L101" s="100">
        <v>17.77</v>
      </c>
      <c r="M101" s="100">
        <v>26.78</v>
      </c>
      <c r="N101" s="100">
        <v>1.6</v>
      </c>
      <c r="O101" s="100">
        <v>0</v>
      </c>
      <c r="P101" s="100">
        <v>0.78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2257</v>
      </c>
      <c r="B102" s="100">
        <v>12.05</v>
      </c>
      <c r="C102" s="100">
        <v>14.16</v>
      </c>
      <c r="D102" s="100">
        <v>17.059999999999999</v>
      </c>
      <c r="E102" s="100">
        <v>5.45</v>
      </c>
      <c r="F102" s="100">
        <v>14.3</v>
      </c>
      <c r="G102" s="100">
        <v>43.13</v>
      </c>
      <c r="H102" s="100">
        <v>13.74</v>
      </c>
      <c r="I102" s="100">
        <v>12.88</v>
      </c>
      <c r="J102" s="100">
        <v>0.14000000000000001</v>
      </c>
      <c r="K102" s="100">
        <v>198.89</v>
      </c>
      <c r="L102" s="100">
        <v>18.13</v>
      </c>
      <c r="M102" s="100">
        <v>27.69</v>
      </c>
      <c r="N102" s="100">
        <v>1.6</v>
      </c>
      <c r="O102" s="100">
        <v>0</v>
      </c>
      <c r="P102" s="100">
        <v>0.78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2258</v>
      </c>
      <c r="B103" s="100">
        <v>12.15</v>
      </c>
      <c r="C103" s="100">
        <v>14.13</v>
      </c>
      <c r="D103" s="100">
        <v>17.12</v>
      </c>
      <c r="E103" s="100">
        <v>5.91</v>
      </c>
      <c r="F103" s="100">
        <v>14.3</v>
      </c>
      <c r="G103" s="100">
        <v>43.4</v>
      </c>
      <c r="H103" s="100">
        <v>13.66</v>
      </c>
      <c r="I103" s="100">
        <v>12.97</v>
      </c>
      <c r="J103" s="100">
        <v>0.12</v>
      </c>
      <c r="K103" s="100">
        <v>184.56</v>
      </c>
      <c r="L103" s="100">
        <v>16.09</v>
      </c>
      <c r="M103" s="100">
        <v>22.58</v>
      </c>
      <c r="N103" s="100">
        <v>1.6</v>
      </c>
      <c r="O103" s="100">
        <v>0</v>
      </c>
      <c r="P103" s="100">
        <v>0.78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2259</v>
      </c>
      <c r="B104" s="100">
        <v>12.34</v>
      </c>
      <c r="C104" s="100">
        <v>14.04</v>
      </c>
      <c r="D104" s="100">
        <v>17.23</v>
      </c>
      <c r="E104" s="100">
        <v>5.76</v>
      </c>
      <c r="F104" s="100">
        <v>14.3</v>
      </c>
      <c r="G104" s="100">
        <v>45.89</v>
      </c>
      <c r="H104" s="100">
        <v>13.07</v>
      </c>
      <c r="I104" s="100">
        <v>13</v>
      </c>
      <c r="J104" s="100">
        <v>0.19</v>
      </c>
      <c r="K104" s="100">
        <v>217.66</v>
      </c>
      <c r="L104" s="100">
        <v>19.28</v>
      </c>
      <c r="M104" s="100">
        <v>30.66</v>
      </c>
      <c r="N104" s="100">
        <v>1.5</v>
      </c>
      <c r="O104" s="100">
        <v>0</v>
      </c>
      <c r="P104" s="100">
        <v>0.79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2.78</v>
      </c>
      <c r="C106" s="158">
        <f>MIN(C9:C104)</f>
        <v>11.7</v>
      </c>
      <c r="D106" s="158">
        <f t="shared" ref="D106:Q106" si="0">MIN(D9:D104)</f>
        <v>8.39</v>
      </c>
      <c r="E106" s="158">
        <f t="shared" si="0"/>
        <v>3.63</v>
      </c>
      <c r="F106" s="158">
        <f t="shared" si="0"/>
        <v>0</v>
      </c>
      <c r="G106" s="158">
        <f t="shared" si="0"/>
        <v>21.08</v>
      </c>
      <c r="H106" s="158">
        <f t="shared" si="0"/>
        <v>6.74</v>
      </c>
      <c r="I106" s="158">
        <f t="shared" si="0"/>
        <v>5.09</v>
      </c>
      <c r="J106" s="158">
        <f t="shared" si="0"/>
        <v>0.03</v>
      </c>
      <c r="K106" s="158">
        <f t="shared" si="0"/>
        <v>17.27</v>
      </c>
      <c r="L106" s="158">
        <f t="shared" si="0"/>
        <v>7.55</v>
      </c>
      <c r="M106" s="158">
        <f t="shared" si="0"/>
        <v>0.87</v>
      </c>
      <c r="N106" s="158">
        <f t="shared" si="0"/>
        <v>1</v>
      </c>
      <c r="O106" s="158">
        <f t="shared" si="0"/>
        <v>0</v>
      </c>
      <c r="P106" s="158">
        <f t="shared" si="0"/>
        <v>0.26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34.049999999999997</v>
      </c>
      <c r="C107" s="157">
        <f t="shared" ref="C107:Q107" si="1">MAX(C9:C104)</f>
        <v>23.32</v>
      </c>
      <c r="D107" s="157">
        <f t="shared" si="1"/>
        <v>36</v>
      </c>
      <c r="E107" s="157">
        <f t="shared" si="1"/>
        <v>17.28</v>
      </c>
      <c r="F107" s="157">
        <f t="shared" si="1"/>
        <v>131.28</v>
      </c>
      <c r="G107" s="157">
        <f t="shared" si="1"/>
        <v>63.04</v>
      </c>
      <c r="H107" s="157">
        <f t="shared" si="1"/>
        <v>20.350000000000001</v>
      </c>
      <c r="I107" s="157">
        <f t="shared" si="1"/>
        <v>16.97</v>
      </c>
      <c r="J107" s="157">
        <f t="shared" si="1"/>
        <v>0.8</v>
      </c>
      <c r="K107" s="157">
        <f t="shared" si="1"/>
        <v>337.85</v>
      </c>
      <c r="L107" s="157">
        <f t="shared" si="1"/>
        <v>27.78</v>
      </c>
      <c r="M107" s="157">
        <f t="shared" si="1"/>
        <v>40.86</v>
      </c>
      <c r="N107" s="157">
        <f t="shared" si="1"/>
        <v>577</v>
      </c>
      <c r="O107" s="157">
        <f t="shared" si="1"/>
        <v>0</v>
      </c>
      <c r="P107" s="157">
        <f t="shared" si="1"/>
        <v>0.95</v>
      </c>
      <c r="Q107" s="157">
        <f t="shared" si="1"/>
        <v>10.08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15.307916666666655</v>
      </c>
      <c r="C108" s="158">
        <f t="shared" ref="C108:Q108" si="2">AVERAGE(C9:C104)</f>
        <v>16.437500000000004</v>
      </c>
      <c r="D108" s="158">
        <f t="shared" si="2"/>
        <v>20.863750000000003</v>
      </c>
      <c r="E108" s="158">
        <f t="shared" si="2"/>
        <v>6.0562499999999977</v>
      </c>
      <c r="F108" s="158">
        <f t="shared" si="2"/>
        <v>15.353289473684207</v>
      </c>
      <c r="G108" s="158">
        <f t="shared" si="2"/>
        <v>44.466562499999988</v>
      </c>
      <c r="H108" s="158">
        <f t="shared" si="2"/>
        <v>14.064374999999998</v>
      </c>
      <c r="I108" s="158">
        <f t="shared" si="2"/>
        <v>12.069999999999999</v>
      </c>
      <c r="J108" s="158">
        <f t="shared" si="2"/>
        <v>0.26104166666666662</v>
      </c>
      <c r="K108" s="158">
        <f t="shared" si="2"/>
        <v>152.68489583333331</v>
      </c>
      <c r="L108" s="158">
        <f t="shared" si="2"/>
        <v>16.336874999999999</v>
      </c>
      <c r="M108" s="158">
        <f t="shared" si="2"/>
        <v>20.267291666666669</v>
      </c>
      <c r="N108" s="158">
        <f t="shared" si="2"/>
        <v>114.47187500000003</v>
      </c>
      <c r="O108" s="158">
        <f t="shared" si="2"/>
        <v>0</v>
      </c>
      <c r="P108" s="158">
        <f t="shared" si="2"/>
        <v>0.69614583333333346</v>
      </c>
      <c r="Q108" s="158">
        <f t="shared" si="2"/>
        <v>9.4017708333333534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11.48815993847275</v>
      </c>
      <c r="C109" s="158">
        <f t="shared" ref="C109:Q109" si="3">STDEV(C9:C104)</f>
        <v>2.4837810734951167</v>
      </c>
      <c r="D109" s="158">
        <f t="shared" si="3"/>
        <v>9.4116439919696795</v>
      </c>
      <c r="E109" s="158">
        <f t="shared" si="3"/>
        <v>2.4888675294091898</v>
      </c>
      <c r="F109" s="158">
        <f t="shared" si="3"/>
        <v>19.560858766980399</v>
      </c>
      <c r="G109" s="158">
        <f t="shared" si="3"/>
        <v>11.796758950805987</v>
      </c>
      <c r="H109" s="158">
        <f t="shared" si="3"/>
        <v>3.6713556402018783</v>
      </c>
      <c r="I109" s="158">
        <f t="shared" si="3"/>
        <v>3.4475892416219476</v>
      </c>
      <c r="J109" s="158">
        <f t="shared" si="3"/>
        <v>0.16048268748514941</v>
      </c>
      <c r="K109" s="158">
        <f t="shared" si="3"/>
        <v>79.460504919704064</v>
      </c>
      <c r="L109" s="158">
        <f t="shared" si="3"/>
        <v>4.4924758881115006</v>
      </c>
      <c r="M109" s="158">
        <f t="shared" si="3"/>
        <v>10.13612097289654</v>
      </c>
      <c r="N109" s="158">
        <f t="shared" si="3"/>
        <v>185.96321068150451</v>
      </c>
      <c r="O109" s="158">
        <f t="shared" si="3"/>
        <v>0</v>
      </c>
      <c r="P109" s="158">
        <f t="shared" si="3"/>
        <v>0.17676847653992431</v>
      </c>
      <c r="Q109" s="158">
        <f t="shared" si="3"/>
        <v>0.19337443793225087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COUNT(F9:F104)+20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H94" sqref="H9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2260</v>
      </c>
      <c r="B9" s="100">
        <v>12.59</v>
      </c>
      <c r="C9" s="100">
        <v>13.65</v>
      </c>
      <c r="D9" s="100">
        <v>17.23</v>
      </c>
      <c r="E9" s="100">
        <v>5.99</v>
      </c>
      <c r="F9" s="100">
        <v>2</v>
      </c>
      <c r="G9" s="100">
        <v>45.89</v>
      </c>
      <c r="H9" s="100">
        <v>13.07</v>
      </c>
      <c r="I9" s="100">
        <v>13.03</v>
      </c>
      <c r="J9" s="100">
        <v>0.2</v>
      </c>
      <c r="K9" s="100">
        <v>231.02</v>
      </c>
      <c r="L9" s="100">
        <v>20.309999999999999</v>
      </c>
      <c r="M9" s="100">
        <v>33.11</v>
      </c>
      <c r="N9" s="100">
        <v>1.7</v>
      </c>
      <c r="O9" s="100">
        <v>0</v>
      </c>
      <c r="P9" s="100">
        <v>0.79</v>
      </c>
      <c r="Q9" s="100">
        <v>9.32</v>
      </c>
      <c r="R9" s="6"/>
      <c r="S9" s="6"/>
      <c r="T9" s="156"/>
      <c r="U9" s="6"/>
    </row>
    <row r="10" spans="1:21" customFormat="1">
      <c r="A10" s="201" t="s">
        <v>2261</v>
      </c>
      <c r="B10" s="100">
        <v>12.59</v>
      </c>
      <c r="C10" s="100">
        <v>13.6</v>
      </c>
      <c r="D10" s="100">
        <v>17.2</v>
      </c>
      <c r="E10" s="100">
        <v>5.81</v>
      </c>
      <c r="F10" s="100">
        <v>2</v>
      </c>
      <c r="G10" s="100">
        <v>45.89</v>
      </c>
      <c r="H10" s="100">
        <v>13.07</v>
      </c>
      <c r="I10" s="100">
        <v>13.08</v>
      </c>
      <c r="J10" s="100">
        <v>0.19</v>
      </c>
      <c r="K10" s="100">
        <v>222.1</v>
      </c>
      <c r="L10" s="100">
        <v>19.63</v>
      </c>
      <c r="M10" s="100">
        <v>31.43</v>
      </c>
      <c r="N10" s="100">
        <v>1.7</v>
      </c>
      <c r="O10" s="100">
        <v>0</v>
      </c>
      <c r="P10" s="100">
        <v>0.8</v>
      </c>
      <c r="Q10" s="100">
        <v>9.32</v>
      </c>
      <c r="R10" s="6"/>
      <c r="S10" s="6"/>
      <c r="T10" s="156"/>
      <c r="U10" s="6"/>
    </row>
    <row r="11" spans="1:21" customFormat="1">
      <c r="A11" s="201" t="s">
        <v>2262</v>
      </c>
      <c r="B11" s="100">
        <v>12.47</v>
      </c>
      <c r="C11" s="100">
        <v>13.49</v>
      </c>
      <c r="D11" s="100">
        <v>17.05</v>
      </c>
      <c r="E11" s="100">
        <v>5.92</v>
      </c>
      <c r="F11" s="100">
        <v>2</v>
      </c>
      <c r="G11" s="100">
        <v>45.46</v>
      </c>
      <c r="H11" s="100">
        <v>13.45</v>
      </c>
      <c r="I11" s="100">
        <v>13.09</v>
      </c>
      <c r="J11" s="100">
        <v>0.16</v>
      </c>
      <c r="K11" s="100">
        <v>218.37</v>
      </c>
      <c r="L11" s="100">
        <v>19.350000000000001</v>
      </c>
      <c r="M11" s="100">
        <v>30.73</v>
      </c>
      <c r="N11" s="100">
        <v>1.5</v>
      </c>
      <c r="O11" s="100">
        <v>0</v>
      </c>
      <c r="P11" s="100">
        <v>0.79</v>
      </c>
      <c r="Q11" s="100">
        <v>9.32</v>
      </c>
      <c r="R11" s="6"/>
      <c r="S11" s="6"/>
      <c r="T11" s="156"/>
      <c r="U11" s="6"/>
    </row>
    <row r="12" spans="1:21" customFormat="1">
      <c r="A12" s="201" t="s">
        <v>2263</v>
      </c>
      <c r="B12" s="100">
        <v>12.34</v>
      </c>
      <c r="C12" s="100">
        <v>13.28</v>
      </c>
      <c r="D12" s="100">
        <v>16.84</v>
      </c>
      <c r="E12" s="100">
        <v>6.05</v>
      </c>
      <c r="F12" s="100">
        <v>2</v>
      </c>
      <c r="G12" s="100">
        <v>41.57</v>
      </c>
      <c r="H12" s="100">
        <v>13.98</v>
      </c>
      <c r="I12" s="100">
        <v>13.06</v>
      </c>
      <c r="J12" s="100">
        <v>0.13</v>
      </c>
      <c r="K12" s="100">
        <v>226.84</v>
      </c>
      <c r="L12" s="100">
        <v>20.149999999999999</v>
      </c>
      <c r="M12" s="100">
        <v>32.729999999999997</v>
      </c>
      <c r="N12" s="100">
        <v>1.7</v>
      </c>
      <c r="O12" s="100">
        <v>0</v>
      </c>
      <c r="P12" s="100">
        <v>0.79</v>
      </c>
      <c r="Q12" s="100">
        <v>9.32</v>
      </c>
      <c r="R12" s="6"/>
      <c r="S12" s="6"/>
      <c r="T12" s="156"/>
      <c r="U12" s="6"/>
    </row>
    <row r="13" spans="1:21" customFormat="1">
      <c r="A13" s="201" t="s">
        <v>2264</v>
      </c>
      <c r="B13" s="100">
        <v>12.34</v>
      </c>
      <c r="C13" s="100">
        <v>12.97</v>
      </c>
      <c r="D13" s="100">
        <v>16.670000000000002</v>
      </c>
      <c r="E13" s="100">
        <v>5.98</v>
      </c>
      <c r="F13" s="100">
        <v>2</v>
      </c>
      <c r="G13" s="100">
        <v>41.57</v>
      </c>
      <c r="H13" s="100">
        <v>13.98</v>
      </c>
      <c r="I13" s="100">
        <v>13.05</v>
      </c>
      <c r="J13" s="100">
        <v>0.16</v>
      </c>
      <c r="K13" s="100">
        <v>231.16</v>
      </c>
      <c r="L13" s="100">
        <v>20.350000000000001</v>
      </c>
      <c r="M13" s="100">
        <v>33.18</v>
      </c>
      <c r="N13" s="100">
        <v>1.5</v>
      </c>
      <c r="O13" s="100">
        <v>0</v>
      </c>
      <c r="P13" s="100">
        <v>0.8</v>
      </c>
      <c r="Q13" s="100">
        <v>9.32</v>
      </c>
      <c r="R13" s="6"/>
      <c r="S13" s="6"/>
      <c r="T13" s="156"/>
      <c r="U13" s="6"/>
    </row>
    <row r="14" spans="1:21" customFormat="1">
      <c r="A14" s="201" t="s">
        <v>2265</v>
      </c>
      <c r="B14" s="100">
        <v>12.5</v>
      </c>
      <c r="C14" s="100">
        <v>12.68</v>
      </c>
      <c r="D14" s="100">
        <v>16.64</v>
      </c>
      <c r="E14" s="100">
        <v>6.07</v>
      </c>
      <c r="F14" s="100">
        <v>2</v>
      </c>
      <c r="G14" s="100">
        <v>41.57</v>
      </c>
      <c r="H14" s="100">
        <v>13.98</v>
      </c>
      <c r="I14" s="100">
        <v>13.03</v>
      </c>
      <c r="J14" s="100">
        <v>0.17</v>
      </c>
      <c r="K14" s="100">
        <v>245.39</v>
      </c>
      <c r="L14" s="100">
        <v>19.760000000000002</v>
      </c>
      <c r="M14" s="100">
        <v>31.64</v>
      </c>
      <c r="N14" s="100">
        <v>1.6</v>
      </c>
      <c r="O14" s="100">
        <v>0</v>
      </c>
      <c r="P14" s="100">
        <v>0.81</v>
      </c>
      <c r="Q14" s="100">
        <v>9.32</v>
      </c>
      <c r="R14" s="6"/>
      <c r="S14" s="6"/>
      <c r="T14" s="156"/>
      <c r="U14" s="6"/>
    </row>
    <row r="15" spans="1:21" customFormat="1">
      <c r="A15" s="201" t="s">
        <v>2266</v>
      </c>
      <c r="B15" s="100">
        <v>13.34</v>
      </c>
      <c r="C15" s="100">
        <v>12.76</v>
      </c>
      <c r="D15" s="100">
        <v>17.36</v>
      </c>
      <c r="E15" s="100">
        <v>5.85</v>
      </c>
      <c r="F15" s="100">
        <v>2</v>
      </c>
      <c r="G15" s="100">
        <v>41.32</v>
      </c>
      <c r="H15" s="100">
        <v>13.89</v>
      </c>
      <c r="I15" s="100">
        <v>13.01</v>
      </c>
      <c r="J15" s="100">
        <v>0.1</v>
      </c>
      <c r="K15" s="100">
        <v>148.5</v>
      </c>
      <c r="L15" s="100">
        <v>15.22</v>
      </c>
      <c r="M15" s="100">
        <v>20.27</v>
      </c>
      <c r="N15" s="100">
        <v>1.4</v>
      </c>
      <c r="O15" s="100">
        <v>0</v>
      </c>
      <c r="P15" s="100">
        <v>0.82</v>
      </c>
      <c r="Q15" s="100">
        <v>9.32</v>
      </c>
      <c r="R15" s="6"/>
      <c r="S15" s="6"/>
      <c r="T15" s="156"/>
      <c r="U15" s="6"/>
    </row>
    <row r="16" spans="1:21" customFormat="1">
      <c r="A16" s="201" t="s">
        <v>2267</v>
      </c>
      <c r="B16" s="100">
        <v>14.99</v>
      </c>
      <c r="C16" s="100">
        <v>13.07</v>
      </c>
      <c r="D16" s="100">
        <v>18.86</v>
      </c>
      <c r="E16" s="100">
        <v>5.85</v>
      </c>
      <c r="F16" s="100">
        <v>2</v>
      </c>
      <c r="G16" s="100">
        <v>39.020000000000003</v>
      </c>
      <c r="H16" s="100">
        <v>13.24</v>
      </c>
      <c r="I16" s="100">
        <v>13.03</v>
      </c>
      <c r="J16" s="100">
        <v>0.21</v>
      </c>
      <c r="K16" s="100">
        <v>168.17</v>
      </c>
      <c r="L16" s="100">
        <v>15.53</v>
      </c>
      <c r="M16" s="100">
        <v>21.07</v>
      </c>
      <c r="N16" s="100">
        <v>1.4</v>
      </c>
      <c r="O16" s="100">
        <v>0</v>
      </c>
      <c r="P16" s="100">
        <v>0.83</v>
      </c>
      <c r="Q16" s="100">
        <v>9.32</v>
      </c>
      <c r="R16" s="6"/>
      <c r="S16" s="6"/>
      <c r="T16" s="156"/>
      <c r="U16" s="6"/>
    </row>
    <row r="17" spans="1:21" customFormat="1">
      <c r="A17" s="201" t="s">
        <v>2268</v>
      </c>
      <c r="B17" s="100">
        <v>16.48</v>
      </c>
      <c r="C17" s="100">
        <v>13.49</v>
      </c>
      <c r="D17" s="100">
        <v>20.260000000000002</v>
      </c>
      <c r="E17" s="100">
        <v>4.97</v>
      </c>
      <c r="F17" s="100">
        <v>2</v>
      </c>
      <c r="G17" s="100">
        <v>39.020000000000003</v>
      </c>
      <c r="H17" s="100">
        <v>13.24</v>
      </c>
      <c r="I17" s="100">
        <v>13.23</v>
      </c>
      <c r="J17" s="100">
        <v>0.21</v>
      </c>
      <c r="K17" s="100">
        <v>162.85</v>
      </c>
      <c r="L17" s="100">
        <v>15.18</v>
      </c>
      <c r="M17" s="100">
        <v>20.2</v>
      </c>
      <c r="N17" s="100">
        <v>1.5</v>
      </c>
      <c r="O17" s="100">
        <v>0</v>
      </c>
      <c r="P17" s="100">
        <v>0.83</v>
      </c>
      <c r="Q17" s="100">
        <v>9.32</v>
      </c>
      <c r="R17" s="6"/>
      <c r="S17" s="6"/>
      <c r="T17" s="156"/>
      <c r="U17" s="6"/>
    </row>
    <row r="18" spans="1:21" customFormat="1">
      <c r="A18" s="201" t="s">
        <v>2269</v>
      </c>
      <c r="B18" s="100">
        <v>17.579999999999998</v>
      </c>
      <c r="C18" s="100">
        <v>13.69</v>
      </c>
      <c r="D18" s="100">
        <v>21.25</v>
      </c>
      <c r="E18" s="100">
        <v>5.65</v>
      </c>
      <c r="F18" s="100">
        <v>2</v>
      </c>
      <c r="G18" s="100">
        <v>39.020000000000003</v>
      </c>
      <c r="H18" s="100">
        <v>13.24</v>
      </c>
      <c r="I18" s="100">
        <v>13.55</v>
      </c>
      <c r="J18" s="100">
        <v>0.2</v>
      </c>
      <c r="K18" s="100">
        <v>193.3</v>
      </c>
      <c r="L18" s="100">
        <v>17.7</v>
      </c>
      <c r="M18" s="100">
        <v>26.56</v>
      </c>
      <c r="N18" s="100">
        <v>1.5</v>
      </c>
      <c r="O18" s="100">
        <v>0</v>
      </c>
      <c r="P18" s="100">
        <v>0.84</v>
      </c>
      <c r="Q18" s="100">
        <v>9.32</v>
      </c>
      <c r="R18" s="6"/>
      <c r="S18" s="6"/>
      <c r="T18" s="156"/>
      <c r="U18" s="6"/>
    </row>
    <row r="19" spans="1:21" customFormat="1">
      <c r="A19" s="201" t="s">
        <v>2270</v>
      </c>
      <c r="B19" s="100">
        <v>18.149999999999999</v>
      </c>
      <c r="C19" s="100">
        <v>13.67</v>
      </c>
      <c r="D19" s="100">
        <v>21.69</v>
      </c>
      <c r="E19" s="100">
        <v>5.45</v>
      </c>
      <c r="F19" s="100">
        <v>2</v>
      </c>
      <c r="G19" s="100">
        <v>39.340000000000003</v>
      </c>
      <c r="H19" s="100">
        <v>13.28</v>
      </c>
      <c r="I19" s="100">
        <v>13.8</v>
      </c>
      <c r="J19" s="100">
        <v>0.11</v>
      </c>
      <c r="K19" s="100">
        <v>141.30000000000001</v>
      </c>
      <c r="L19" s="100">
        <v>15.06</v>
      </c>
      <c r="M19" s="100">
        <v>19.89</v>
      </c>
      <c r="N19" s="100">
        <v>1.7</v>
      </c>
      <c r="O19" s="100">
        <v>0</v>
      </c>
      <c r="P19" s="100">
        <v>0.84</v>
      </c>
      <c r="Q19" s="100">
        <v>9.32</v>
      </c>
      <c r="R19" s="6"/>
      <c r="S19" s="6"/>
      <c r="T19" s="156"/>
      <c r="U19" s="6"/>
    </row>
    <row r="20" spans="1:21" customFormat="1">
      <c r="A20" s="201" t="s">
        <v>2271</v>
      </c>
      <c r="B20" s="100">
        <v>18.399999999999999</v>
      </c>
      <c r="C20" s="100">
        <v>13.59</v>
      </c>
      <c r="D20" s="100">
        <v>21.86</v>
      </c>
      <c r="E20" s="100">
        <v>5.43</v>
      </c>
      <c r="F20" s="100">
        <v>2</v>
      </c>
      <c r="G20" s="100">
        <v>42.24</v>
      </c>
      <c r="H20" s="100">
        <v>13.54</v>
      </c>
      <c r="I20" s="100">
        <v>13.98</v>
      </c>
      <c r="J20" s="100">
        <v>0.15</v>
      </c>
      <c r="K20" s="100">
        <v>127.11</v>
      </c>
      <c r="L20" s="100">
        <v>11.98</v>
      </c>
      <c r="M20" s="100">
        <v>12.14</v>
      </c>
      <c r="N20" s="100">
        <v>1.5</v>
      </c>
      <c r="O20" s="100">
        <v>0</v>
      </c>
      <c r="P20" s="100">
        <v>0.85</v>
      </c>
      <c r="Q20" s="100">
        <v>9.32</v>
      </c>
      <c r="R20" s="6"/>
      <c r="S20" s="6"/>
      <c r="T20" s="156"/>
      <c r="U20" s="6"/>
    </row>
    <row r="21" spans="1:21" customFormat="1">
      <c r="A21" s="201" t="s">
        <v>2272</v>
      </c>
      <c r="B21" s="100">
        <v>19.149999999999999</v>
      </c>
      <c r="C21" s="100">
        <v>13.69</v>
      </c>
      <c r="D21" s="100">
        <v>22.51</v>
      </c>
      <c r="E21" s="100">
        <v>5.55</v>
      </c>
      <c r="F21" s="100">
        <v>2</v>
      </c>
      <c r="G21" s="100">
        <v>42.24</v>
      </c>
      <c r="H21" s="100">
        <v>13.54</v>
      </c>
      <c r="I21" s="100">
        <v>14.12</v>
      </c>
      <c r="J21" s="100">
        <v>0.12</v>
      </c>
      <c r="K21" s="100">
        <v>135.28</v>
      </c>
      <c r="L21" s="100">
        <v>13.67</v>
      </c>
      <c r="M21" s="100">
        <v>16.420000000000002</v>
      </c>
      <c r="N21" s="100">
        <v>1.5</v>
      </c>
      <c r="O21" s="100">
        <v>0</v>
      </c>
      <c r="P21" s="100">
        <v>0.85</v>
      </c>
      <c r="Q21" s="100">
        <v>9.32</v>
      </c>
      <c r="R21" s="6"/>
      <c r="S21" s="6"/>
      <c r="T21" s="156"/>
      <c r="U21" s="6"/>
    </row>
    <row r="22" spans="1:21" customFormat="1">
      <c r="A22" s="201" t="s">
        <v>2273</v>
      </c>
      <c r="B22" s="100">
        <v>20.190000000000001</v>
      </c>
      <c r="C22" s="100">
        <v>13.8</v>
      </c>
      <c r="D22" s="100">
        <v>23.4</v>
      </c>
      <c r="E22" s="100">
        <v>5.55</v>
      </c>
      <c r="F22" s="100">
        <v>2</v>
      </c>
      <c r="G22" s="100">
        <v>42.24</v>
      </c>
      <c r="H22" s="100">
        <v>13.54</v>
      </c>
      <c r="I22" s="100">
        <v>14.2</v>
      </c>
      <c r="J22" s="100">
        <v>0.06</v>
      </c>
      <c r="K22" s="100">
        <v>140.44999999999999</v>
      </c>
      <c r="L22" s="100">
        <v>15.67</v>
      </c>
      <c r="M22" s="100">
        <v>21.41</v>
      </c>
      <c r="N22" s="100">
        <v>1.4</v>
      </c>
      <c r="O22" s="100">
        <v>0</v>
      </c>
      <c r="P22" s="100">
        <v>0.85</v>
      </c>
      <c r="Q22" s="100">
        <v>9.32</v>
      </c>
      <c r="R22" s="6"/>
      <c r="S22" s="6"/>
      <c r="T22" s="156"/>
      <c r="U22" s="6"/>
    </row>
    <row r="23" spans="1:21" customFormat="1">
      <c r="A23" s="201" t="s">
        <v>2274</v>
      </c>
      <c r="B23" s="100">
        <v>21.52</v>
      </c>
      <c r="C23" s="100">
        <v>14.03</v>
      </c>
      <c r="D23" s="100">
        <v>24.59</v>
      </c>
      <c r="E23" s="100">
        <v>5.84</v>
      </c>
      <c r="F23" s="100">
        <v>2</v>
      </c>
      <c r="G23" s="100">
        <v>42.45</v>
      </c>
      <c r="H23" s="100">
        <v>13.69</v>
      </c>
      <c r="I23" s="100">
        <v>14.26</v>
      </c>
      <c r="J23" s="100">
        <v>0.23</v>
      </c>
      <c r="K23" s="100">
        <v>58.33</v>
      </c>
      <c r="L23" s="100">
        <v>10.02</v>
      </c>
      <c r="M23" s="100">
        <v>7.15</v>
      </c>
      <c r="N23" s="100">
        <v>1.2</v>
      </c>
      <c r="O23" s="100">
        <v>0</v>
      </c>
      <c r="P23" s="100">
        <v>0.86</v>
      </c>
      <c r="Q23" s="100">
        <v>9.32</v>
      </c>
      <c r="R23" s="6"/>
      <c r="S23" s="6"/>
      <c r="T23" s="156"/>
      <c r="U23" s="6"/>
    </row>
    <row r="24" spans="1:21" customFormat="1">
      <c r="A24" s="201" t="s">
        <v>2275</v>
      </c>
      <c r="B24" s="100">
        <v>22.42</v>
      </c>
      <c r="C24" s="100">
        <v>14.25</v>
      </c>
      <c r="D24" s="100">
        <v>25.43</v>
      </c>
      <c r="E24" s="100">
        <v>5.69</v>
      </c>
      <c r="F24" s="100">
        <v>2</v>
      </c>
      <c r="G24" s="100">
        <v>44.28</v>
      </c>
      <c r="H24" s="100">
        <v>14.84</v>
      </c>
      <c r="I24" s="100">
        <v>14.41</v>
      </c>
      <c r="J24" s="100">
        <v>0.15</v>
      </c>
      <c r="K24" s="100">
        <v>160.38</v>
      </c>
      <c r="L24" s="100">
        <v>14.95</v>
      </c>
      <c r="M24" s="100">
        <v>19.670000000000002</v>
      </c>
      <c r="N24" s="100">
        <v>1.5</v>
      </c>
      <c r="O24" s="100">
        <v>0</v>
      </c>
      <c r="P24" s="100">
        <v>0.86</v>
      </c>
      <c r="Q24" s="100">
        <v>9.32</v>
      </c>
      <c r="R24" s="6"/>
      <c r="S24" s="6"/>
      <c r="T24" s="156"/>
      <c r="U24" s="6"/>
    </row>
    <row r="25" spans="1:21" customFormat="1">
      <c r="A25" s="201" t="s">
        <v>2276</v>
      </c>
      <c r="B25" s="100">
        <v>23.04</v>
      </c>
      <c r="C25" s="100">
        <v>14.38</v>
      </c>
      <c r="D25" s="100">
        <v>25.99</v>
      </c>
      <c r="E25" s="100">
        <v>5.81</v>
      </c>
      <c r="F25" s="100">
        <v>2</v>
      </c>
      <c r="G25" s="100">
        <v>44.28</v>
      </c>
      <c r="H25" s="100">
        <v>14.84</v>
      </c>
      <c r="I25" s="100">
        <v>14.59</v>
      </c>
      <c r="J25" s="100">
        <v>0.15</v>
      </c>
      <c r="K25" s="100">
        <v>171.29</v>
      </c>
      <c r="L25" s="100">
        <v>15.57</v>
      </c>
      <c r="M25" s="100">
        <v>21.23</v>
      </c>
      <c r="N25" s="100">
        <v>1.6</v>
      </c>
      <c r="O25" s="100">
        <v>0</v>
      </c>
      <c r="P25" s="100">
        <v>0.86</v>
      </c>
      <c r="Q25" s="100">
        <v>9.32</v>
      </c>
      <c r="R25" s="6"/>
      <c r="S25" s="6"/>
      <c r="T25" s="156"/>
      <c r="U25" s="6"/>
    </row>
    <row r="26" spans="1:21" customFormat="1">
      <c r="A26" s="201" t="s">
        <v>2277</v>
      </c>
      <c r="B26" s="100">
        <v>23.55</v>
      </c>
      <c r="C26" s="100">
        <v>14.56</v>
      </c>
      <c r="D26" s="100">
        <v>26.5</v>
      </c>
      <c r="E26" s="100">
        <v>5.5</v>
      </c>
      <c r="F26" s="100">
        <v>2</v>
      </c>
      <c r="G26" s="100">
        <v>44.28</v>
      </c>
      <c r="H26" s="100">
        <v>14.84</v>
      </c>
      <c r="I26" s="100">
        <v>14.75</v>
      </c>
      <c r="J26" s="100">
        <v>0.12</v>
      </c>
      <c r="K26" s="100">
        <v>213.29</v>
      </c>
      <c r="L26" s="100">
        <v>19.32</v>
      </c>
      <c r="M26" s="100">
        <v>30.59</v>
      </c>
      <c r="N26" s="100">
        <v>1.7</v>
      </c>
      <c r="O26" s="100">
        <v>0</v>
      </c>
      <c r="P26" s="100">
        <v>0.87</v>
      </c>
      <c r="Q26" s="100">
        <v>9.32</v>
      </c>
      <c r="R26" s="6"/>
      <c r="S26" s="6"/>
      <c r="T26" s="156"/>
      <c r="U26" s="6"/>
    </row>
    <row r="27" spans="1:21" customFormat="1">
      <c r="A27" s="201" t="s">
        <v>2278</v>
      </c>
      <c r="B27" s="100">
        <v>24.03</v>
      </c>
      <c r="C27" s="100">
        <v>14.53</v>
      </c>
      <c r="D27" s="100">
        <v>26.86</v>
      </c>
      <c r="E27" s="100">
        <v>5.78</v>
      </c>
      <c r="F27" s="100">
        <v>2</v>
      </c>
      <c r="G27" s="100">
        <v>44.7</v>
      </c>
      <c r="H27" s="100">
        <v>15.05</v>
      </c>
      <c r="I27" s="100">
        <v>14.93</v>
      </c>
      <c r="J27" s="100">
        <v>0.15</v>
      </c>
      <c r="K27" s="100">
        <v>200.02</v>
      </c>
      <c r="L27" s="100">
        <v>17.84</v>
      </c>
      <c r="M27" s="100">
        <v>26.92</v>
      </c>
      <c r="N27" s="100">
        <v>1.7</v>
      </c>
      <c r="O27" s="100">
        <v>0</v>
      </c>
      <c r="P27" s="100">
        <v>0.87</v>
      </c>
      <c r="Q27" s="100">
        <v>9.32</v>
      </c>
      <c r="R27" s="6"/>
      <c r="S27" s="6"/>
      <c r="T27" s="156"/>
      <c r="U27" s="6"/>
    </row>
    <row r="28" spans="1:21" customFormat="1">
      <c r="A28" s="201" t="s">
        <v>2279</v>
      </c>
      <c r="B28" s="100">
        <v>24.59</v>
      </c>
      <c r="C28" s="100">
        <v>14.53</v>
      </c>
      <c r="D28" s="100">
        <v>27.31</v>
      </c>
      <c r="E28" s="100">
        <v>5.77</v>
      </c>
      <c r="F28" s="100">
        <v>2</v>
      </c>
      <c r="G28" s="100">
        <v>48.48</v>
      </c>
      <c r="H28" s="100">
        <v>16.62</v>
      </c>
      <c r="I28" s="100">
        <v>15.09</v>
      </c>
      <c r="J28" s="100">
        <v>0.11</v>
      </c>
      <c r="K28" s="100">
        <v>213.47</v>
      </c>
      <c r="L28" s="100">
        <v>18.510000000000002</v>
      </c>
      <c r="M28" s="100">
        <v>28.56</v>
      </c>
      <c r="N28" s="100">
        <v>1.6</v>
      </c>
      <c r="O28" s="100">
        <v>0</v>
      </c>
      <c r="P28" s="100">
        <v>0.86</v>
      </c>
      <c r="Q28" s="100">
        <v>9.32</v>
      </c>
      <c r="R28" s="6"/>
      <c r="S28" s="6"/>
      <c r="T28" s="156"/>
      <c r="U28" s="6"/>
    </row>
    <row r="29" spans="1:21" customFormat="1">
      <c r="A29" s="201" t="s">
        <v>2280</v>
      </c>
      <c r="B29" s="100">
        <v>25.16</v>
      </c>
      <c r="C29" s="100">
        <v>14.54</v>
      </c>
      <c r="D29" s="100">
        <v>27.77</v>
      </c>
      <c r="E29" s="100">
        <v>5.59</v>
      </c>
      <c r="F29" s="100">
        <v>2</v>
      </c>
      <c r="G29" s="100">
        <v>48.48</v>
      </c>
      <c r="H29" s="100">
        <v>16.62</v>
      </c>
      <c r="I29" s="100">
        <v>15.18</v>
      </c>
      <c r="J29" s="100">
        <v>0.14000000000000001</v>
      </c>
      <c r="K29" s="100">
        <v>59.67</v>
      </c>
      <c r="L29" s="100">
        <v>12</v>
      </c>
      <c r="M29" s="100">
        <v>12.14</v>
      </c>
      <c r="N29" s="100">
        <v>1.4</v>
      </c>
      <c r="O29" s="100">
        <v>0</v>
      </c>
      <c r="P29" s="100">
        <v>0.87</v>
      </c>
      <c r="Q29" s="100">
        <v>9.32</v>
      </c>
      <c r="R29" s="6"/>
      <c r="S29" s="6"/>
      <c r="T29" s="156"/>
      <c r="U29" s="6"/>
    </row>
    <row r="30" spans="1:21" customFormat="1">
      <c r="A30" s="201" t="s">
        <v>2281</v>
      </c>
      <c r="B30" s="100">
        <v>25.55</v>
      </c>
      <c r="C30" s="100">
        <v>14.65</v>
      </c>
      <c r="D30" s="100">
        <v>28.14</v>
      </c>
      <c r="E30" s="100">
        <v>5.87</v>
      </c>
      <c r="F30" s="100">
        <v>2</v>
      </c>
      <c r="G30" s="100">
        <v>48.48</v>
      </c>
      <c r="H30" s="100">
        <v>16.62</v>
      </c>
      <c r="I30" s="100">
        <v>15.21</v>
      </c>
      <c r="J30" s="100">
        <v>0.05</v>
      </c>
      <c r="K30" s="100">
        <v>237.09</v>
      </c>
      <c r="L30" s="100">
        <v>17.989999999999998</v>
      </c>
      <c r="M30" s="100">
        <v>27.2</v>
      </c>
      <c r="N30" s="100">
        <v>1.5</v>
      </c>
      <c r="O30" s="100">
        <v>0</v>
      </c>
      <c r="P30" s="100">
        <v>0.87</v>
      </c>
      <c r="Q30" s="100">
        <v>9.32</v>
      </c>
      <c r="R30" s="6"/>
      <c r="S30" s="6"/>
      <c r="T30" s="156"/>
      <c r="U30" s="6"/>
    </row>
    <row r="31" spans="1:21" customFormat="1">
      <c r="A31" s="201" t="s">
        <v>2282</v>
      </c>
      <c r="B31" s="100">
        <v>25.8</v>
      </c>
      <c r="C31" s="100">
        <v>14.79</v>
      </c>
      <c r="D31" s="100">
        <v>28.42</v>
      </c>
      <c r="E31" s="100">
        <v>5.75</v>
      </c>
      <c r="F31" s="100">
        <v>2</v>
      </c>
      <c r="G31" s="100">
        <v>48.6</v>
      </c>
      <c r="H31" s="100">
        <v>16.59</v>
      </c>
      <c r="I31" s="100">
        <v>15.19</v>
      </c>
      <c r="J31" s="100">
        <v>0.1</v>
      </c>
      <c r="K31" s="100">
        <v>194.05</v>
      </c>
      <c r="L31" s="100">
        <v>17.86</v>
      </c>
      <c r="M31" s="100">
        <v>26.96</v>
      </c>
      <c r="N31" s="100">
        <v>1.7</v>
      </c>
      <c r="O31" s="100">
        <v>0</v>
      </c>
      <c r="P31" s="100">
        <v>0.86</v>
      </c>
      <c r="Q31" s="100">
        <v>9.32</v>
      </c>
      <c r="R31" s="6"/>
      <c r="S31" s="6"/>
      <c r="T31" s="156"/>
      <c r="U31" s="6"/>
    </row>
    <row r="32" spans="1:21" customFormat="1">
      <c r="A32" s="201" t="s">
        <v>2283</v>
      </c>
      <c r="B32" s="100">
        <v>25.99</v>
      </c>
      <c r="C32" s="100">
        <v>14.8</v>
      </c>
      <c r="D32" s="100">
        <v>28.58</v>
      </c>
      <c r="E32" s="100">
        <v>5.67</v>
      </c>
      <c r="F32" s="100">
        <v>2</v>
      </c>
      <c r="G32" s="100">
        <v>49.9</v>
      </c>
      <c r="H32" s="100">
        <v>16.329999999999998</v>
      </c>
      <c r="I32" s="100">
        <v>15.1</v>
      </c>
      <c r="J32" s="100">
        <v>0.08</v>
      </c>
      <c r="K32" s="100">
        <v>182.02</v>
      </c>
      <c r="L32" s="100">
        <v>15.83</v>
      </c>
      <c r="M32" s="100">
        <v>21.83</v>
      </c>
      <c r="N32" s="100">
        <v>1.6</v>
      </c>
      <c r="O32" s="100">
        <v>0</v>
      </c>
      <c r="P32" s="100">
        <v>0.85</v>
      </c>
      <c r="Q32" s="100">
        <v>9.32</v>
      </c>
      <c r="R32" s="6"/>
      <c r="S32" s="6"/>
      <c r="T32" s="156"/>
      <c r="U32" s="6"/>
    </row>
    <row r="33" spans="1:21" customFormat="1">
      <c r="A33" s="201" t="s">
        <v>2284</v>
      </c>
      <c r="B33" s="100">
        <v>25.91</v>
      </c>
      <c r="C33" s="100">
        <v>14.98</v>
      </c>
      <c r="D33" s="100">
        <v>28.61</v>
      </c>
      <c r="E33" s="100">
        <v>5.66</v>
      </c>
      <c r="F33" s="100">
        <v>2</v>
      </c>
      <c r="G33" s="100">
        <v>49.9</v>
      </c>
      <c r="H33" s="100">
        <v>16.329999999999998</v>
      </c>
      <c r="I33" s="100">
        <v>15.03</v>
      </c>
      <c r="J33" s="100">
        <v>0.16</v>
      </c>
      <c r="K33" s="100">
        <v>202.73</v>
      </c>
      <c r="L33" s="100">
        <v>18.41</v>
      </c>
      <c r="M33" s="100">
        <v>28.35</v>
      </c>
      <c r="N33" s="100">
        <v>2.5</v>
      </c>
      <c r="O33" s="100">
        <v>0</v>
      </c>
      <c r="P33" s="100">
        <v>0.84</v>
      </c>
      <c r="Q33" s="100">
        <v>9.32</v>
      </c>
      <c r="R33" s="6"/>
      <c r="S33" s="6"/>
      <c r="T33" s="156"/>
      <c r="U33" s="6"/>
    </row>
    <row r="34" spans="1:21" customFormat="1">
      <c r="A34" s="201" t="s">
        <v>2285</v>
      </c>
      <c r="B34" s="100">
        <v>25.68</v>
      </c>
      <c r="C34" s="100">
        <v>15.08</v>
      </c>
      <c r="D34" s="100">
        <v>28.47</v>
      </c>
      <c r="E34" s="100">
        <v>5.54</v>
      </c>
      <c r="F34" s="100">
        <v>2</v>
      </c>
      <c r="G34" s="100">
        <v>49.9</v>
      </c>
      <c r="H34" s="100">
        <v>16.329999999999998</v>
      </c>
      <c r="I34" s="100">
        <v>15</v>
      </c>
      <c r="J34" s="100">
        <v>0.13</v>
      </c>
      <c r="K34" s="100">
        <v>210.27</v>
      </c>
      <c r="L34" s="100">
        <v>18.78</v>
      </c>
      <c r="M34" s="100">
        <v>29.23</v>
      </c>
      <c r="N34" s="100">
        <v>6.4</v>
      </c>
      <c r="O34" s="100">
        <v>0</v>
      </c>
      <c r="P34" s="100">
        <v>0.84</v>
      </c>
      <c r="Q34" s="100">
        <v>9.32</v>
      </c>
      <c r="R34" s="6"/>
      <c r="S34" s="6"/>
      <c r="T34" s="156"/>
      <c r="U34" s="6"/>
    </row>
    <row r="35" spans="1:21" customFormat="1">
      <c r="A35" s="201" t="s">
        <v>2286</v>
      </c>
      <c r="B35" s="100">
        <v>25.85</v>
      </c>
      <c r="C35" s="100">
        <v>14.93</v>
      </c>
      <c r="D35" s="100">
        <v>28.53</v>
      </c>
      <c r="E35" s="100">
        <v>5.71</v>
      </c>
      <c r="F35" s="100">
        <v>2</v>
      </c>
      <c r="G35" s="100">
        <v>49.94</v>
      </c>
      <c r="H35" s="100">
        <v>16.440000000000001</v>
      </c>
      <c r="I35" s="100">
        <v>14.92</v>
      </c>
      <c r="J35" s="100">
        <v>0.12</v>
      </c>
      <c r="K35" s="100">
        <v>70.66</v>
      </c>
      <c r="L35" s="100">
        <v>11.91</v>
      </c>
      <c r="M35" s="100">
        <v>11.68</v>
      </c>
      <c r="N35" s="100">
        <v>14.3</v>
      </c>
      <c r="O35" s="100">
        <v>0</v>
      </c>
      <c r="P35" s="100">
        <v>0.85</v>
      </c>
      <c r="Q35" s="100">
        <v>9.32</v>
      </c>
      <c r="R35" s="6"/>
      <c r="S35" s="6"/>
      <c r="T35" s="156"/>
      <c r="U35" s="6"/>
    </row>
    <row r="36" spans="1:21" customFormat="1">
      <c r="A36" s="201" t="s">
        <v>2287</v>
      </c>
      <c r="B36" s="100">
        <v>26.24</v>
      </c>
      <c r="C36" s="100">
        <v>14.97</v>
      </c>
      <c r="D36" s="100">
        <v>28.86</v>
      </c>
      <c r="E36" s="100">
        <v>5.66</v>
      </c>
      <c r="F36" s="100">
        <v>2</v>
      </c>
      <c r="G36" s="100">
        <v>50.3</v>
      </c>
      <c r="H36" s="100">
        <v>17.03</v>
      </c>
      <c r="I36" s="100">
        <v>14.93</v>
      </c>
      <c r="J36" s="100">
        <v>0.28999999999999998</v>
      </c>
      <c r="K36" s="100">
        <v>66.84</v>
      </c>
      <c r="L36" s="100">
        <v>9.1</v>
      </c>
      <c r="M36" s="100">
        <v>4.32</v>
      </c>
      <c r="N36" s="100">
        <v>24.9</v>
      </c>
      <c r="O36" s="100">
        <v>0</v>
      </c>
      <c r="P36" s="100">
        <v>0.86</v>
      </c>
      <c r="Q36" s="100">
        <v>9.32</v>
      </c>
      <c r="R36" s="6"/>
      <c r="S36" s="6"/>
      <c r="T36" s="156"/>
      <c r="U36" s="6"/>
    </row>
    <row r="37" spans="1:21" customFormat="1">
      <c r="A37" s="201" t="s">
        <v>2288</v>
      </c>
      <c r="B37" s="100">
        <v>26.53</v>
      </c>
      <c r="C37" s="100">
        <v>15.04</v>
      </c>
      <c r="D37" s="100">
        <v>29.13</v>
      </c>
      <c r="E37" s="100">
        <v>5.71</v>
      </c>
      <c r="F37" s="100">
        <v>2</v>
      </c>
      <c r="G37" s="100">
        <v>50.3</v>
      </c>
      <c r="H37" s="100">
        <v>17.03</v>
      </c>
      <c r="I37" s="100">
        <v>15.04</v>
      </c>
      <c r="J37" s="100">
        <v>0.33</v>
      </c>
      <c r="K37" s="100">
        <v>37.200000000000003</v>
      </c>
      <c r="L37" s="100">
        <v>10.84</v>
      </c>
      <c r="M37" s="100">
        <v>8.73</v>
      </c>
      <c r="N37" s="100">
        <v>36.9</v>
      </c>
      <c r="O37" s="100">
        <v>0</v>
      </c>
      <c r="P37" s="100">
        <v>0.87</v>
      </c>
      <c r="Q37" s="100">
        <v>9.32</v>
      </c>
      <c r="R37" s="6"/>
      <c r="S37" s="6"/>
      <c r="T37" s="156"/>
      <c r="U37" s="6"/>
    </row>
    <row r="38" spans="1:21" customFormat="1">
      <c r="A38" s="201" t="s">
        <v>2289</v>
      </c>
      <c r="B38" s="100">
        <v>26.83</v>
      </c>
      <c r="C38" s="100">
        <v>15.29</v>
      </c>
      <c r="D38" s="100">
        <v>29.5</v>
      </c>
      <c r="E38" s="100">
        <v>5.76</v>
      </c>
      <c r="F38" s="100">
        <v>2</v>
      </c>
      <c r="G38" s="100">
        <v>50.3</v>
      </c>
      <c r="H38" s="100">
        <v>17.03</v>
      </c>
      <c r="I38" s="100">
        <v>15.16</v>
      </c>
      <c r="J38" s="100">
        <v>0.56999999999999995</v>
      </c>
      <c r="K38" s="100">
        <v>32.840000000000003</v>
      </c>
      <c r="L38" s="100">
        <v>8.7799999999999994</v>
      </c>
      <c r="M38" s="100">
        <v>2.86</v>
      </c>
      <c r="N38" s="100">
        <v>49.9</v>
      </c>
      <c r="O38" s="100">
        <v>0</v>
      </c>
      <c r="P38" s="100">
        <v>0.88</v>
      </c>
      <c r="Q38" s="100">
        <v>9.32</v>
      </c>
      <c r="R38" s="6"/>
      <c r="S38" s="6"/>
      <c r="T38" s="156"/>
      <c r="U38" s="6"/>
    </row>
    <row r="39" spans="1:21" customFormat="1">
      <c r="A39" s="201" t="s">
        <v>2290</v>
      </c>
      <c r="B39" s="100">
        <v>26.74</v>
      </c>
      <c r="C39" s="100">
        <v>15.94</v>
      </c>
      <c r="D39" s="100">
        <v>29.77</v>
      </c>
      <c r="E39" s="100">
        <v>6.01</v>
      </c>
      <c r="F39" s="100">
        <v>2</v>
      </c>
      <c r="G39" s="100">
        <v>50.98</v>
      </c>
      <c r="H39" s="100">
        <v>17.38</v>
      </c>
      <c r="I39" s="100">
        <v>15.25</v>
      </c>
      <c r="J39" s="100">
        <v>0.53</v>
      </c>
      <c r="K39" s="100">
        <v>40.17</v>
      </c>
      <c r="L39" s="100">
        <v>8.7200000000000006</v>
      </c>
      <c r="M39" s="100">
        <v>2.44</v>
      </c>
      <c r="N39" s="100">
        <v>63.2</v>
      </c>
      <c r="O39" s="100">
        <v>0</v>
      </c>
      <c r="P39" s="100">
        <v>0.9</v>
      </c>
      <c r="Q39" s="100">
        <v>9.32</v>
      </c>
      <c r="R39" s="6"/>
      <c r="S39" s="6"/>
      <c r="T39" s="156"/>
      <c r="U39" s="6"/>
    </row>
    <row r="40" spans="1:21" customFormat="1">
      <c r="A40" s="201" t="s">
        <v>2291</v>
      </c>
      <c r="B40" s="100">
        <v>26.5</v>
      </c>
      <c r="C40" s="100">
        <v>16.510000000000002</v>
      </c>
      <c r="D40" s="100">
        <v>29.87</v>
      </c>
      <c r="E40" s="100">
        <v>5.57</v>
      </c>
      <c r="F40" s="100">
        <v>2</v>
      </c>
      <c r="G40" s="100">
        <v>57.15</v>
      </c>
      <c r="H40" s="100">
        <v>19.89</v>
      </c>
      <c r="I40" s="100">
        <v>15.4</v>
      </c>
      <c r="J40" s="100">
        <v>0.6</v>
      </c>
      <c r="K40" s="100">
        <v>60.17</v>
      </c>
      <c r="L40" s="100">
        <v>9.44</v>
      </c>
      <c r="M40" s="100">
        <v>2.76</v>
      </c>
      <c r="N40" s="100">
        <v>129.69999999999999</v>
      </c>
      <c r="O40" s="100">
        <v>0</v>
      </c>
      <c r="P40" s="100">
        <v>0.92</v>
      </c>
      <c r="Q40" s="100">
        <v>9.32</v>
      </c>
      <c r="R40" s="6"/>
      <c r="S40" s="6"/>
      <c r="T40" s="156"/>
      <c r="U40" s="6"/>
    </row>
    <row r="41" spans="1:21" customFormat="1">
      <c r="A41" s="201" t="s">
        <v>2292</v>
      </c>
      <c r="B41" s="100">
        <v>25.91</v>
      </c>
      <c r="C41" s="100">
        <v>16.89</v>
      </c>
      <c r="D41" s="100">
        <v>29.6</v>
      </c>
      <c r="E41" s="100">
        <v>5.64</v>
      </c>
      <c r="F41" s="100">
        <v>2</v>
      </c>
      <c r="G41" s="100">
        <v>57.15</v>
      </c>
      <c r="H41" s="100">
        <v>19.89</v>
      </c>
      <c r="I41" s="100">
        <v>15.69</v>
      </c>
      <c r="J41" s="100">
        <v>0.81</v>
      </c>
      <c r="K41" s="100">
        <v>48.8</v>
      </c>
      <c r="L41" s="100">
        <v>8.44</v>
      </c>
      <c r="M41" s="100">
        <v>-1.06</v>
      </c>
      <c r="N41" s="100">
        <v>180.9</v>
      </c>
      <c r="O41" s="100">
        <v>0</v>
      </c>
      <c r="P41" s="100">
        <v>0.92</v>
      </c>
      <c r="Q41" s="100">
        <v>9.32</v>
      </c>
      <c r="R41" s="6"/>
      <c r="S41" s="6"/>
      <c r="T41" s="156"/>
      <c r="U41" s="6"/>
    </row>
    <row r="42" spans="1:21" customFormat="1">
      <c r="A42" s="201" t="s">
        <v>2293</v>
      </c>
      <c r="B42" s="100">
        <v>25.05</v>
      </c>
      <c r="C42" s="100">
        <v>16.93</v>
      </c>
      <c r="D42" s="100">
        <v>28.93</v>
      </c>
      <c r="E42" s="100">
        <v>5.9</v>
      </c>
      <c r="F42" s="100">
        <v>2</v>
      </c>
      <c r="G42" s="100">
        <v>57.15</v>
      </c>
      <c r="H42" s="100">
        <v>19.89</v>
      </c>
      <c r="I42" s="100">
        <v>15.89</v>
      </c>
      <c r="J42" s="100">
        <v>0.62</v>
      </c>
      <c r="K42" s="100">
        <v>39.299999999999997</v>
      </c>
      <c r="L42" s="100">
        <v>8.89</v>
      </c>
      <c r="M42" s="100">
        <v>-0.86</v>
      </c>
      <c r="N42" s="100">
        <v>217.4</v>
      </c>
      <c r="O42" s="100">
        <v>0</v>
      </c>
      <c r="P42" s="100">
        <v>0.92</v>
      </c>
      <c r="Q42" s="100">
        <v>9.32</v>
      </c>
      <c r="R42" s="6"/>
      <c r="S42" s="6"/>
      <c r="T42" s="156"/>
      <c r="U42" s="6"/>
    </row>
    <row r="43" spans="1:21" customFormat="1">
      <c r="A43" s="201" t="s">
        <v>2294</v>
      </c>
      <c r="B43" s="100">
        <v>24.46</v>
      </c>
      <c r="C43" s="100">
        <v>17.11</v>
      </c>
      <c r="D43" s="100">
        <v>28.55</v>
      </c>
      <c r="E43" s="100">
        <v>5.71</v>
      </c>
      <c r="F43" s="100">
        <v>2</v>
      </c>
      <c r="G43" s="100">
        <v>57.9</v>
      </c>
      <c r="H43" s="100">
        <v>19.920000000000002</v>
      </c>
      <c r="I43" s="100">
        <v>15.92</v>
      </c>
      <c r="J43" s="100">
        <v>0.76</v>
      </c>
      <c r="K43" s="100">
        <v>41.91</v>
      </c>
      <c r="L43" s="100">
        <v>8.49</v>
      </c>
      <c r="M43" s="100">
        <v>-2.65</v>
      </c>
      <c r="N43" s="100">
        <v>252.6</v>
      </c>
      <c r="O43" s="100">
        <v>0</v>
      </c>
      <c r="P43" s="100">
        <v>0.92</v>
      </c>
      <c r="Q43" s="100">
        <v>9.32</v>
      </c>
      <c r="R43" s="6"/>
      <c r="S43" s="6"/>
      <c r="T43" s="156"/>
      <c r="U43" s="6"/>
    </row>
    <row r="44" spans="1:21" customFormat="1">
      <c r="A44" s="201" t="s">
        <v>2295</v>
      </c>
      <c r="B44" s="100">
        <v>23.68</v>
      </c>
      <c r="C44" s="100">
        <v>17.27</v>
      </c>
      <c r="D44" s="100">
        <v>28.01</v>
      </c>
      <c r="E44" s="100">
        <v>5.76</v>
      </c>
      <c r="F44" s="100">
        <v>2</v>
      </c>
      <c r="G44" s="100">
        <v>64.64</v>
      </c>
      <c r="H44" s="100">
        <v>20.11</v>
      </c>
      <c r="I44" s="100">
        <v>15.86</v>
      </c>
      <c r="J44" s="100">
        <v>0.76</v>
      </c>
      <c r="K44" s="100">
        <v>48.16</v>
      </c>
      <c r="L44" s="100">
        <v>10.5</v>
      </c>
      <c r="M44" s="100">
        <v>1.6</v>
      </c>
      <c r="N44" s="100">
        <v>286.7</v>
      </c>
      <c r="O44" s="100">
        <v>0</v>
      </c>
      <c r="P44" s="100">
        <v>0.92</v>
      </c>
      <c r="Q44" s="100">
        <v>9.32</v>
      </c>
      <c r="R44" s="6"/>
      <c r="S44" s="6"/>
      <c r="T44" s="156"/>
      <c r="U44" s="6"/>
    </row>
    <row r="45" spans="1:21" customFormat="1">
      <c r="A45" s="201" t="s">
        <v>2296</v>
      </c>
      <c r="B45" s="100">
        <v>22.65</v>
      </c>
      <c r="C45" s="100">
        <v>17.48</v>
      </c>
      <c r="D45" s="100">
        <v>27.29</v>
      </c>
      <c r="E45" s="100">
        <v>5.74</v>
      </c>
      <c r="F45" s="100">
        <v>2</v>
      </c>
      <c r="G45" s="100">
        <v>64.64</v>
      </c>
      <c r="H45" s="100">
        <v>20.11</v>
      </c>
      <c r="I45" s="100">
        <v>15.74</v>
      </c>
      <c r="J45" s="100">
        <v>0.71</v>
      </c>
      <c r="K45" s="100">
        <v>53.19</v>
      </c>
      <c r="L45" s="100">
        <v>11.05</v>
      </c>
      <c r="M45" s="100">
        <v>2.85</v>
      </c>
      <c r="N45" s="100">
        <v>294.10000000000002</v>
      </c>
      <c r="O45" s="100">
        <v>0</v>
      </c>
      <c r="P45" s="100">
        <v>0.91</v>
      </c>
      <c r="Q45" s="100">
        <v>9.32</v>
      </c>
      <c r="R45" s="6"/>
      <c r="S45" s="6"/>
      <c r="T45" s="156"/>
      <c r="U45" s="6"/>
    </row>
    <row r="46" spans="1:21" customFormat="1">
      <c r="A46" s="201" t="s">
        <v>2297</v>
      </c>
      <c r="B46" s="100">
        <v>21.26</v>
      </c>
      <c r="C46" s="100">
        <v>17.670000000000002</v>
      </c>
      <c r="D46" s="100">
        <v>26.28</v>
      </c>
      <c r="E46" s="100">
        <v>5.85</v>
      </c>
      <c r="F46" s="100">
        <v>2</v>
      </c>
      <c r="G46" s="100">
        <v>64.64</v>
      </c>
      <c r="H46" s="100">
        <v>20.11</v>
      </c>
      <c r="I46" s="100">
        <v>15.59</v>
      </c>
      <c r="J46" s="100">
        <v>0.28999999999999998</v>
      </c>
      <c r="K46" s="100">
        <v>93.09</v>
      </c>
      <c r="L46" s="100">
        <v>14.21</v>
      </c>
      <c r="M46" s="100">
        <v>10</v>
      </c>
      <c r="N46" s="100">
        <v>333.6</v>
      </c>
      <c r="O46" s="100">
        <v>0</v>
      </c>
      <c r="P46" s="100">
        <v>0.9</v>
      </c>
      <c r="Q46" s="100">
        <v>9.32</v>
      </c>
      <c r="R46" s="6"/>
      <c r="S46" s="6"/>
      <c r="T46" s="156"/>
      <c r="U46" s="6"/>
    </row>
    <row r="47" spans="1:21" customFormat="1">
      <c r="A47" s="201" t="s">
        <v>2298</v>
      </c>
      <c r="B47" s="100">
        <v>19.559999999999999</v>
      </c>
      <c r="C47" s="100">
        <v>17.78</v>
      </c>
      <c r="D47" s="100">
        <v>24.97</v>
      </c>
      <c r="E47" s="100">
        <v>5.58</v>
      </c>
      <c r="F47" s="100">
        <v>2</v>
      </c>
      <c r="G47" s="100">
        <v>64.33</v>
      </c>
      <c r="H47" s="100">
        <v>20.079999999999998</v>
      </c>
      <c r="I47" s="100">
        <v>15.41</v>
      </c>
      <c r="J47" s="100">
        <v>0.21</v>
      </c>
      <c r="K47" s="100">
        <v>111.32</v>
      </c>
      <c r="L47" s="100">
        <v>15.99</v>
      </c>
      <c r="M47" s="100">
        <v>16.309999999999999</v>
      </c>
      <c r="N47" s="100">
        <v>251.7</v>
      </c>
      <c r="O47" s="100">
        <v>0</v>
      </c>
      <c r="P47" s="100">
        <v>0.89</v>
      </c>
      <c r="Q47" s="100">
        <v>9.32</v>
      </c>
      <c r="R47" s="6"/>
      <c r="S47" s="6"/>
      <c r="T47" s="156"/>
      <c r="U47" s="6"/>
    </row>
    <row r="48" spans="1:21" customFormat="1">
      <c r="A48" s="201" t="s">
        <v>2299</v>
      </c>
      <c r="B48" s="100">
        <v>17.79</v>
      </c>
      <c r="C48" s="100">
        <v>17.84</v>
      </c>
      <c r="D48" s="100">
        <v>23.59</v>
      </c>
      <c r="E48" s="100">
        <v>5.52</v>
      </c>
      <c r="F48" s="100">
        <v>2</v>
      </c>
      <c r="G48" s="100">
        <v>61.58</v>
      </c>
      <c r="H48" s="100">
        <v>19.86</v>
      </c>
      <c r="I48" s="100">
        <v>15.26</v>
      </c>
      <c r="J48" s="100">
        <v>0.43</v>
      </c>
      <c r="K48" s="100">
        <v>63.61</v>
      </c>
      <c r="L48" s="100">
        <v>13.83</v>
      </c>
      <c r="M48" s="100">
        <v>8.56</v>
      </c>
      <c r="N48" s="100">
        <v>349.4</v>
      </c>
      <c r="O48" s="100">
        <v>0</v>
      </c>
      <c r="P48" s="100">
        <v>0.87</v>
      </c>
      <c r="Q48" s="100">
        <v>9.32</v>
      </c>
      <c r="R48" s="6"/>
      <c r="S48" s="6"/>
      <c r="T48" s="156"/>
      <c r="U48" s="6"/>
    </row>
    <row r="49" spans="1:21" customFormat="1">
      <c r="A49" s="201" t="s">
        <v>2300</v>
      </c>
      <c r="B49" s="100">
        <v>16.100000000000001</v>
      </c>
      <c r="C49" s="100">
        <v>17.899999999999999</v>
      </c>
      <c r="D49" s="100">
        <v>22.26</v>
      </c>
      <c r="E49" s="100">
        <v>5.0999999999999996</v>
      </c>
      <c r="F49" s="100">
        <v>2</v>
      </c>
      <c r="G49" s="100">
        <v>61.58</v>
      </c>
      <c r="H49" s="100">
        <v>19.86</v>
      </c>
      <c r="I49" s="100">
        <v>15.06</v>
      </c>
      <c r="J49" s="100">
        <v>0.49</v>
      </c>
      <c r="K49" s="100">
        <v>42.45</v>
      </c>
      <c r="L49" s="100">
        <v>14.12</v>
      </c>
      <c r="M49" s="100">
        <v>6.86</v>
      </c>
      <c r="N49" s="100">
        <v>447.5</v>
      </c>
      <c r="O49" s="100">
        <v>0</v>
      </c>
      <c r="P49" s="100">
        <v>0.86</v>
      </c>
      <c r="Q49" s="100">
        <v>9.32</v>
      </c>
      <c r="R49" s="6"/>
      <c r="S49" s="6"/>
      <c r="T49" s="156"/>
      <c r="U49" s="6"/>
    </row>
    <row r="50" spans="1:21" customFormat="1">
      <c r="A50" s="201" t="s">
        <v>2301</v>
      </c>
      <c r="B50" s="100">
        <v>14.4</v>
      </c>
      <c r="C50" s="100">
        <v>17.989999999999998</v>
      </c>
      <c r="D50" s="100">
        <v>20.95</v>
      </c>
      <c r="E50" s="100">
        <v>6.62</v>
      </c>
      <c r="F50" s="100">
        <v>2.83</v>
      </c>
      <c r="G50" s="100">
        <v>61.58</v>
      </c>
      <c r="H50" s="100">
        <v>19.86</v>
      </c>
      <c r="I50" s="100">
        <v>14.83</v>
      </c>
      <c r="J50" s="100">
        <v>0.59</v>
      </c>
      <c r="K50" s="100">
        <v>43.47</v>
      </c>
      <c r="L50" s="100">
        <v>16.170000000000002</v>
      </c>
      <c r="M50" s="100">
        <v>11.54</v>
      </c>
      <c r="N50" s="100">
        <v>469.7</v>
      </c>
      <c r="O50" s="100">
        <v>0</v>
      </c>
      <c r="P50" s="100">
        <v>0.83</v>
      </c>
      <c r="Q50" s="100">
        <v>9.32</v>
      </c>
      <c r="R50" s="6"/>
      <c r="S50" s="6"/>
      <c r="T50" s="156"/>
      <c r="U50" s="6"/>
    </row>
    <row r="51" spans="1:21" customFormat="1">
      <c r="A51" s="201" t="s">
        <v>2302</v>
      </c>
      <c r="B51" s="100">
        <v>12.78</v>
      </c>
      <c r="C51" s="100">
        <v>18.059999999999999</v>
      </c>
      <c r="D51" s="100">
        <v>19.68</v>
      </c>
      <c r="E51" s="100">
        <v>6.31</v>
      </c>
      <c r="F51" s="100">
        <v>8.39</v>
      </c>
      <c r="G51" s="100">
        <v>60.65</v>
      </c>
      <c r="H51" s="100">
        <v>19.38</v>
      </c>
      <c r="I51" s="100">
        <v>14.56</v>
      </c>
      <c r="J51" s="100">
        <v>0.41</v>
      </c>
      <c r="K51" s="100">
        <v>55.26</v>
      </c>
      <c r="L51" s="100">
        <v>14.38</v>
      </c>
      <c r="M51" s="100">
        <v>6.72</v>
      </c>
      <c r="N51" s="100">
        <v>484.8</v>
      </c>
      <c r="O51" s="100">
        <v>0</v>
      </c>
      <c r="P51" s="100">
        <v>0.82</v>
      </c>
      <c r="Q51" s="100">
        <v>9.32</v>
      </c>
      <c r="R51" s="6"/>
      <c r="S51" s="6"/>
      <c r="T51" s="156"/>
      <c r="U51" s="6"/>
    </row>
    <row r="52" spans="1:21" customFormat="1">
      <c r="A52" s="201" t="s">
        <v>2303</v>
      </c>
      <c r="B52" s="100">
        <v>11.42</v>
      </c>
      <c r="C52" s="100">
        <v>17.920000000000002</v>
      </c>
      <c r="D52" s="100">
        <v>18.52</v>
      </c>
      <c r="E52" s="100">
        <v>6.67</v>
      </c>
      <c r="F52" s="100">
        <v>14.95</v>
      </c>
      <c r="G52" s="100">
        <v>51.09</v>
      </c>
      <c r="H52" s="100">
        <v>15.92</v>
      </c>
      <c r="I52" s="100">
        <v>14.24</v>
      </c>
      <c r="J52" s="100">
        <v>0.17</v>
      </c>
      <c r="K52" s="100">
        <v>143.41</v>
      </c>
      <c r="L52" s="100">
        <v>19.14</v>
      </c>
      <c r="M52" s="100">
        <v>19.22</v>
      </c>
      <c r="N52" s="100">
        <v>465.7</v>
      </c>
      <c r="O52" s="100">
        <v>0</v>
      </c>
      <c r="P52" s="100">
        <v>0.82</v>
      </c>
      <c r="Q52" s="100">
        <v>9.32</v>
      </c>
      <c r="R52" s="6"/>
      <c r="S52" s="6"/>
      <c r="T52" s="156"/>
      <c r="U52" s="6"/>
    </row>
    <row r="53" spans="1:21" customFormat="1">
      <c r="A53" s="201" t="s">
        <v>2304</v>
      </c>
      <c r="B53" s="100">
        <v>10.36</v>
      </c>
      <c r="C53" s="100">
        <v>17.38</v>
      </c>
      <c r="D53" s="100">
        <v>17.39</v>
      </c>
      <c r="E53" s="100">
        <v>6.85</v>
      </c>
      <c r="F53" s="100">
        <v>28.46</v>
      </c>
      <c r="G53" s="100">
        <v>51.09</v>
      </c>
      <c r="H53" s="100">
        <v>15.92</v>
      </c>
      <c r="I53" s="100">
        <v>14</v>
      </c>
      <c r="J53" s="100">
        <v>0.27</v>
      </c>
      <c r="K53" s="100">
        <v>39.549999999999997</v>
      </c>
      <c r="L53" s="100">
        <v>19.399999999999999</v>
      </c>
      <c r="M53" s="100">
        <v>18.96</v>
      </c>
      <c r="N53" s="100">
        <v>498.3</v>
      </c>
      <c r="O53" s="100">
        <v>0</v>
      </c>
      <c r="P53" s="100">
        <v>0.83</v>
      </c>
      <c r="Q53" s="100">
        <v>9.32</v>
      </c>
      <c r="R53" s="6"/>
      <c r="S53" s="6"/>
      <c r="T53" s="156"/>
      <c r="U53" s="6"/>
    </row>
    <row r="54" spans="1:21" customFormat="1">
      <c r="A54" s="201" t="s">
        <v>2305</v>
      </c>
      <c r="B54" s="100">
        <v>9.43</v>
      </c>
      <c r="C54" s="100">
        <v>16.77</v>
      </c>
      <c r="D54" s="100">
        <v>16.32</v>
      </c>
      <c r="E54" s="100">
        <v>6.78</v>
      </c>
      <c r="F54" s="100">
        <v>47.1</v>
      </c>
      <c r="G54" s="100">
        <v>51.09</v>
      </c>
      <c r="H54" s="100">
        <v>15.92</v>
      </c>
      <c r="I54" s="100">
        <v>13.84</v>
      </c>
      <c r="J54" s="100">
        <v>0.59</v>
      </c>
      <c r="K54" s="100">
        <v>39.68</v>
      </c>
      <c r="L54" s="100">
        <v>16.059999999999999</v>
      </c>
      <c r="M54" s="100">
        <v>9</v>
      </c>
      <c r="N54" s="100">
        <v>531.79999999999995</v>
      </c>
      <c r="O54" s="100">
        <v>0</v>
      </c>
      <c r="P54" s="100">
        <v>0.8</v>
      </c>
      <c r="Q54" s="100">
        <v>9.32</v>
      </c>
      <c r="R54" s="6"/>
      <c r="S54" s="6"/>
      <c r="T54" s="156"/>
      <c r="U54" s="6"/>
    </row>
    <row r="55" spans="1:21" customFormat="1">
      <c r="A55" s="201" t="s">
        <v>2306</v>
      </c>
      <c r="B55" s="100">
        <v>8.5500000000000007</v>
      </c>
      <c r="C55" s="100">
        <v>16.23</v>
      </c>
      <c r="D55" s="100">
        <v>15.33</v>
      </c>
      <c r="E55" s="100">
        <v>7.15</v>
      </c>
      <c r="F55" s="100">
        <v>56.27</v>
      </c>
      <c r="G55" s="100">
        <v>50.47</v>
      </c>
      <c r="H55" s="100">
        <v>15.8</v>
      </c>
      <c r="I55" s="100">
        <v>13.44</v>
      </c>
      <c r="J55" s="100">
        <v>0.22</v>
      </c>
      <c r="K55" s="100">
        <v>50.63</v>
      </c>
      <c r="L55" s="100">
        <v>19.100000000000001</v>
      </c>
      <c r="M55" s="100">
        <v>17.25</v>
      </c>
      <c r="N55" s="100">
        <v>541</v>
      </c>
      <c r="O55" s="100">
        <v>0</v>
      </c>
      <c r="P55" s="100">
        <v>0.8</v>
      </c>
      <c r="Q55" s="100">
        <v>9.32</v>
      </c>
      <c r="R55" s="6"/>
      <c r="S55" s="6"/>
      <c r="T55" s="156"/>
      <c r="U55" s="6"/>
    </row>
    <row r="56" spans="1:21" customFormat="1">
      <c r="A56" s="201" t="s">
        <v>2307</v>
      </c>
      <c r="B56" s="100">
        <v>7.8</v>
      </c>
      <c r="C56" s="100">
        <v>15.74</v>
      </c>
      <c r="D56" s="100">
        <v>14.48</v>
      </c>
      <c r="E56" s="100">
        <v>6.99</v>
      </c>
      <c r="F56" s="100">
        <v>44.76</v>
      </c>
      <c r="G56" s="100">
        <v>44.96</v>
      </c>
      <c r="H56" s="100">
        <v>14.94</v>
      </c>
      <c r="I56" s="100">
        <v>13.17</v>
      </c>
      <c r="J56" s="100">
        <v>0.38</v>
      </c>
      <c r="K56" s="100">
        <v>77.5</v>
      </c>
      <c r="L56" s="100">
        <v>16.190000000000001</v>
      </c>
      <c r="M56" s="100">
        <v>9.7899999999999991</v>
      </c>
      <c r="N56" s="100">
        <v>548.70000000000005</v>
      </c>
      <c r="O56" s="100">
        <v>0</v>
      </c>
      <c r="P56" s="100">
        <v>0.78</v>
      </c>
      <c r="Q56" s="100">
        <v>9.32</v>
      </c>
      <c r="R56" s="6"/>
      <c r="S56" s="6"/>
      <c r="T56" s="156"/>
      <c r="U56" s="6"/>
    </row>
    <row r="57" spans="1:21" customFormat="1">
      <c r="A57" s="201" t="s">
        <v>2308</v>
      </c>
      <c r="B57" s="100">
        <v>7.06</v>
      </c>
      <c r="C57" s="100">
        <v>15.22</v>
      </c>
      <c r="D57" s="100">
        <v>13.62</v>
      </c>
      <c r="E57" s="100">
        <v>6.75</v>
      </c>
      <c r="F57" s="100">
        <v>259.23</v>
      </c>
      <c r="G57" s="100">
        <v>44.96</v>
      </c>
      <c r="H57" s="100">
        <v>14.94</v>
      </c>
      <c r="I57" s="100">
        <v>13.22</v>
      </c>
      <c r="J57" s="100">
        <v>0.21</v>
      </c>
      <c r="K57" s="100">
        <v>121.56</v>
      </c>
      <c r="L57" s="100">
        <v>18.600000000000001</v>
      </c>
      <c r="M57" s="100">
        <v>15.99</v>
      </c>
      <c r="N57" s="100">
        <v>539.79999999999995</v>
      </c>
      <c r="O57" s="100">
        <v>0</v>
      </c>
      <c r="P57" s="100">
        <v>0.77</v>
      </c>
      <c r="Q57" s="100">
        <v>9.32</v>
      </c>
      <c r="R57" s="6"/>
      <c r="S57" s="6"/>
      <c r="T57" s="156"/>
      <c r="U57" s="6"/>
    </row>
    <row r="58" spans="1:21" customFormat="1">
      <c r="A58" s="201" t="s">
        <v>2309</v>
      </c>
      <c r="B58" s="100">
        <v>6.43</v>
      </c>
      <c r="C58" s="100">
        <v>14.82</v>
      </c>
      <c r="D58" s="100">
        <v>12.9</v>
      </c>
      <c r="E58" s="100">
        <v>6.67</v>
      </c>
      <c r="F58" s="100">
        <v>1.45</v>
      </c>
      <c r="G58" s="100">
        <v>44.96</v>
      </c>
      <c r="H58" s="100">
        <v>14.94</v>
      </c>
      <c r="I58" s="100">
        <v>13.09</v>
      </c>
      <c r="J58" s="100">
        <v>0.4</v>
      </c>
      <c r="K58" s="100">
        <v>161.33000000000001</v>
      </c>
      <c r="L58" s="100">
        <v>20.58</v>
      </c>
      <c r="M58" s="100">
        <v>21.25</v>
      </c>
      <c r="N58" s="100">
        <v>532.79999999999995</v>
      </c>
      <c r="O58" s="100">
        <v>0</v>
      </c>
      <c r="P58" s="100">
        <v>0.76</v>
      </c>
      <c r="Q58" s="100">
        <v>9.32</v>
      </c>
      <c r="R58" s="6"/>
      <c r="S58" s="6"/>
      <c r="T58" s="156"/>
      <c r="U58" s="6"/>
    </row>
    <row r="59" spans="1:21" customFormat="1">
      <c r="A59" s="201" t="s">
        <v>2310</v>
      </c>
      <c r="B59" s="100">
        <v>5.83</v>
      </c>
      <c r="C59" s="100">
        <v>14.15</v>
      </c>
      <c r="D59" s="100">
        <v>12.07</v>
      </c>
      <c r="E59" s="100">
        <v>6.52</v>
      </c>
      <c r="F59" s="100">
        <v>33.69</v>
      </c>
      <c r="G59" s="100">
        <v>43.61</v>
      </c>
      <c r="H59" s="100">
        <v>14.54</v>
      </c>
      <c r="I59" s="100">
        <v>12.67</v>
      </c>
      <c r="J59" s="100">
        <v>0.32</v>
      </c>
      <c r="K59" s="100">
        <v>171.25</v>
      </c>
      <c r="L59" s="100">
        <v>20.62</v>
      </c>
      <c r="M59" s="100">
        <v>21.5</v>
      </c>
      <c r="N59" s="100">
        <v>522.6</v>
      </c>
      <c r="O59" s="100">
        <v>0</v>
      </c>
      <c r="P59" s="100">
        <v>0.73</v>
      </c>
      <c r="Q59" s="100">
        <v>9.32</v>
      </c>
      <c r="R59" s="6"/>
      <c r="S59" s="6"/>
      <c r="T59" s="156"/>
      <c r="U59" s="6"/>
    </row>
    <row r="60" spans="1:21" customFormat="1">
      <c r="A60" s="201" t="s">
        <v>2311</v>
      </c>
      <c r="B60" s="100">
        <v>5.31</v>
      </c>
      <c r="C60" s="100">
        <v>13.63</v>
      </c>
      <c r="D60" s="100">
        <v>11.38</v>
      </c>
      <c r="E60" s="100">
        <v>6.55</v>
      </c>
      <c r="F60" s="100">
        <v>38.79</v>
      </c>
      <c r="G60" s="100">
        <v>31.49</v>
      </c>
      <c r="H60" s="100">
        <v>11.65</v>
      </c>
      <c r="I60" s="100">
        <v>12.23</v>
      </c>
      <c r="J60" s="100">
        <v>0.44</v>
      </c>
      <c r="K60" s="100">
        <v>279.02</v>
      </c>
      <c r="L60" s="100">
        <v>27.61</v>
      </c>
      <c r="M60" s="100">
        <v>39.79</v>
      </c>
      <c r="N60" s="100">
        <v>487.5</v>
      </c>
      <c r="O60" s="100">
        <v>0</v>
      </c>
      <c r="P60" s="100">
        <v>0.71</v>
      </c>
      <c r="Q60" s="100">
        <v>9.32</v>
      </c>
      <c r="R60" s="6"/>
      <c r="S60" s="6"/>
      <c r="T60" s="156"/>
      <c r="U60" s="6"/>
    </row>
    <row r="61" spans="1:21" customFormat="1">
      <c r="A61" s="201" t="s">
        <v>2312</v>
      </c>
      <c r="B61" s="100">
        <v>4.95</v>
      </c>
      <c r="C61" s="100">
        <v>13.27</v>
      </c>
      <c r="D61" s="100">
        <v>10.9</v>
      </c>
      <c r="E61" s="100">
        <v>6.75</v>
      </c>
      <c r="F61" s="100">
        <v>30.55</v>
      </c>
      <c r="G61" s="100">
        <v>31.49</v>
      </c>
      <c r="H61" s="100">
        <v>11.65</v>
      </c>
      <c r="I61" s="100">
        <v>11.91</v>
      </c>
      <c r="J61" s="100">
        <v>0.28999999999999998</v>
      </c>
      <c r="K61" s="100">
        <v>125.94</v>
      </c>
      <c r="L61" s="100">
        <v>18.97</v>
      </c>
      <c r="M61" s="100">
        <v>19.600000000000001</v>
      </c>
      <c r="N61" s="100">
        <v>425.5</v>
      </c>
      <c r="O61" s="100">
        <v>0</v>
      </c>
      <c r="P61" s="100">
        <v>0.7</v>
      </c>
      <c r="Q61" s="100">
        <v>9.32</v>
      </c>
      <c r="R61" s="6"/>
      <c r="S61" s="6"/>
      <c r="T61" s="156"/>
      <c r="U61" s="6"/>
    </row>
    <row r="62" spans="1:21" customFormat="1">
      <c r="A62" s="201" t="s">
        <v>2313</v>
      </c>
      <c r="B62" s="100">
        <v>4.55</v>
      </c>
      <c r="C62" s="100">
        <v>13.04</v>
      </c>
      <c r="D62" s="100">
        <v>10.46</v>
      </c>
      <c r="E62" s="100">
        <v>7.08</v>
      </c>
      <c r="F62" s="100">
        <v>52.33</v>
      </c>
      <c r="G62" s="100">
        <v>31.49</v>
      </c>
      <c r="H62" s="100">
        <v>11.65</v>
      </c>
      <c r="I62" s="100">
        <v>11.68</v>
      </c>
      <c r="J62" s="100">
        <v>0.25</v>
      </c>
      <c r="K62" s="100">
        <v>245.13</v>
      </c>
      <c r="L62" s="100">
        <v>22.25</v>
      </c>
      <c r="M62" s="100">
        <v>33.479999999999997</v>
      </c>
      <c r="N62" s="100">
        <v>180.5</v>
      </c>
      <c r="O62" s="100">
        <v>0</v>
      </c>
      <c r="P62" s="100">
        <v>0.69</v>
      </c>
      <c r="Q62" s="100">
        <v>9.32</v>
      </c>
      <c r="R62" s="6"/>
      <c r="S62" s="6"/>
      <c r="T62" s="156"/>
      <c r="U62" s="6"/>
    </row>
    <row r="63" spans="1:21" customFormat="1">
      <c r="A63" s="201" t="s">
        <v>2314</v>
      </c>
      <c r="B63" s="100">
        <v>4.25</v>
      </c>
      <c r="C63" s="100">
        <v>13</v>
      </c>
      <c r="D63" s="100">
        <v>10.199999999999999</v>
      </c>
      <c r="E63" s="100">
        <v>7.06</v>
      </c>
      <c r="F63" s="100">
        <v>44.24</v>
      </c>
      <c r="G63" s="100">
        <v>31.19</v>
      </c>
      <c r="H63" s="100">
        <v>11.51</v>
      </c>
      <c r="I63" s="100">
        <v>11.56</v>
      </c>
      <c r="J63" s="100">
        <v>0.19</v>
      </c>
      <c r="K63" s="100">
        <v>7.24</v>
      </c>
      <c r="L63" s="100">
        <v>19.059999999999999</v>
      </c>
      <c r="M63" s="100">
        <v>24.61</v>
      </c>
      <c r="N63" s="100">
        <v>217.8</v>
      </c>
      <c r="O63" s="100">
        <v>0</v>
      </c>
      <c r="P63" s="100">
        <v>0.68</v>
      </c>
      <c r="Q63" s="100">
        <v>9.32</v>
      </c>
      <c r="R63" s="6"/>
      <c r="S63" s="6"/>
      <c r="T63" s="156"/>
      <c r="U63" s="6"/>
    </row>
    <row r="64" spans="1:21" customFormat="1">
      <c r="A64" s="201" t="s">
        <v>2315</v>
      </c>
      <c r="B64" s="100">
        <v>4.08</v>
      </c>
      <c r="C64" s="100">
        <v>12.7</v>
      </c>
      <c r="D64" s="100">
        <v>9.91</v>
      </c>
      <c r="E64" s="100">
        <v>7.52</v>
      </c>
      <c r="F64" s="100">
        <v>42.41</v>
      </c>
      <c r="G64" s="100">
        <v>28.49</v>
      </c>
      <c r="H64" s="100">
        <v>10.51</v>
      </c>
      <c r="I64" s="100">
        <v>11.34</v>
      </c>
      <c r="J64" s="100">
        <v>0.39</v>
      </c>
      <c r="K64" s="100">
        <v>307.77</v>
      </c>
      <c r="L64" s="100">
        <v>24.03</v>
      </c>
      <c r="M64" s="100">
        <v>38.9</v>
      </c>
      <c r="N64" s="100">
        <v>136.1</v>
      </c>
      <c r="O64" s="100">
        <v>0</v>
      </c>
      <c r="P64" s="100">
        <v>0.67</v>
      </c>
      <c r="Q64" s="100">
        <v>9.32</v>
      </c>
      <c r="R64" s="6"/>
      <c r="S64" s="6"/>
      <c r="T64" s="156"/>
      <c r="U64" s="6"/>
    </row>
    <row r="65" spans="1:21" customFormat="1">
      <c r="A65" s="201" t="s">
        <v>2316</v>
      </c>
      <c r="B65" s="100">
        <v>3.93</v>
      </c>
      <c r="C65" s="100">
        <v>12.55</v>
      </c>
      <c r="D65" s="100">
        <v>9.7100000000000009</v>
      </c>
      <c r="E65" s="100">
        <v>7.25</v>
      </c>
      <c r="F65" s="100">
        <v>43.05</v>
      </c>
      <c r="G65" s="100">
        <v>28.49</v>
      </c>
      <c r="H65" s="100">
        <v>10.51</v>
      </c>
      <c r="I65" s="100">
        <v>11.3</v>
      </c>
      <c r="J65" s="100">
        <v>0.53</v>
      </c>
      <c r="K65" s="100">
        <v>293.42</v>
      </c>
      <c r="L65" s="100">
        <v>25.05</v>
      </c>
      <c r="M65" s="100">
        <v>42.21</v>
      </c>
      <c r="N65" s="100">
        <v>104.2</v>
      </c>
      <c r="O65" s="100">
        <v>0</v>
      </c>
      <c r="P65" s="100">
        <v>0.51</v>
      </c>
      <c r="Q65" s="100">
        <v>9.32</v>
      </c>
      <c r="R65" s="6"/>
      <c r="S65" s="6"/>
      <c r="T65" s="156"/>
      <c r="U65" s="6"/>
    </row>
    <row r="66" spans="1:21" customFormat="1">
      <c r="A66" s="201" t="s">
        <v>2317</v>
      </c>
      <c r="B66" s="100">
        <v>3.79</v>
      </c>
      <c r="C66" s="100">
        <v>12.7</v>
      </c>
      <c r="D66" s="100">
        <v>9.67</v>
      </c>
      <c r="E66" s="100">
        <v>7.97</v>
      </c>
      <c r="F66" s="100">
        <v>48.8</v>
      </c>
      <c r="G66" s="100">
        <v>28.49</v>
      </c>
      <c r="H66" s="100">
        <v>10.51</v>
      </c>
      <c r="I66" s="100">
        <v>11.11</v>
      </c>
      <c r="J66" s="100">
        <v>0.12</v>
      </c>
      <c r="K66" s="100">
        <v>326.45999999999998</v>
      </c>
      <c r="L66" s="100">
        <v>19.600000000000001</v>
      </c>
      <c r="M66" s="100">
        <v>28.8</v>
      </c>
      <c r="N66" s="100">
        <v>94.8</v>
      </c>
      <c r="O66" s="100">
        <v>0</v>
      </c>
      <c r="P66" s="100">
        <v>0.53</v>
      </c>
      <c r="Q66" s="100">
        <v>9.32</v>
      </c>
      <c r="R66" s="6"/>
      <c r="S66" s="6"/>
      <c r="T66" s="156"/>
      <c r="U66" s="6"/>
    </row>
    <row r="67" spans="1:21" customFormat="1">
      <c r="A67" s="201" t="s">
        <v>2318</v>
      </c>
      <c r="B67" s="100">
        <v>3.71</v>
      </c>
      <c r="C67" s="100">
        <v>12.45</v>
      </c>
      <c r="D67" s="100">
        <v>9.48</v>
      </c>
      <c r="E67" s="100">
        <v>8.06</v>
      </c>
      <c r="F67" s="100">
        <v>45.09</v>
      </c>
      <c r="G67" s="100">
        <v>28.29</v>
      </c>
      <c r="H67" s="100">
        <v>10.42</v>
      </c>
      <c r="I67" s="100">
        <v>10.9</v>
      </c>
      <c r="J67" s="100">
        <v>0.41</v>
      </c>
      <c r="K67" s="100">
        <v>330.62</v>
      </c>
      <c r="L67" s="100">
        <v>20.72</v>
      </c>
      <c r="M67" s="100">
        <v>31.49</v>
      </c>
      <c r="N67" s="100">
        <v>99.1</v>
      </c>
      <c r="O67" s="100">
        <v>0</v>
      </c>
      <c r="P67" s="100">
        <v>0.52</v>
      </c>
      <c r="Q67" s="100">
        <v>9.32</v>
      </c>
      <c r="R67" s="6"/>
      <c r="S67" s="6"/>
      <c r="T67" s="156"/>
      <c r="U67" s="6"/>
    </row>
    <row r="68" spans="1:21" customFormat="1">
      <c r="A68" s="201" t="s">
        <v>2319</v>
      </c>
      <c r="B68" s="100">
        <v>3.91</v>
      </c>
      <c r="C68" s="100">
        <v>13.58</v>
      </c>
      <c r="D68" s="100">
        <v>10.23</v>
      </c>
      <c r="E68" s="100">
        <v>8.8699999999999992</v>
      </c>
      <c r="F68" s="100">
        <v>21.82</v>
      </c>
      <c r="G68" s="100">
        <v>26.5</v>
      </c>
      <c r="H68" s="100">
        <v>9.69</v>
      </c>
      <c r="I68" s="100">
        <v>10.79</v>
      </c>
      <c r="J68" s="100">
        <v>0.5</v>
      </c>
      <c r="K68" s="100">
        <v>355.01</v>
      </c>
      <c r="L68" s="100">
        <v>18.829999999999998</v>
      </c>
      <c r="M68" s="100">
        <v>27.16</v>
      </c>
      <c r="N68" s="100">
        <v>77.400000000000006</v>
      </c>
      <c r="O68" s="100">
        <v>0</v>
      </c>
      <c r="P68" s="100">
        <v>0.51</v>
      </c>
      <c r="Q68" s="100">
        <v>9.32</v>
      </c>
      <c r="R68" s="6"/>
      <c r="S68" s="6"/>
      <c r="T68" s="156"/>
      <c r="U68" s="6"/>
    </row>
    <row r="69" spans="1:21" customFormat="1">
      <c r="A69" s="201" t="s">
        <v>2320</v>
      </c>
      <c r="B69" s="100">
        <v>3.83</v>
      </c>
      <c r="C69" s="100">
        <v>13.05</v>
      </c>
      <c r="D69" s="100">
        <v>9.89</v>
      </c>
      <c r="E69" s="100">
        <v>8.3000000000000007</v>
      </c>
      <c r="F69" s="100">
        <v>10.91</v>
      </c>
      <c r="G69" s="100">
        <v>26.5</v>
      </c>
      <c r="H69" s="100">
        <v>9.69</v>
      </c>
      <c r="I69" s="100">
        <v>10.6</v>
      </c>
      <c r="J69" s="100">
        <v>0.05</v>
      </c>
      <c r="K69" s="100">
        <v>179.97</v>
      </c>
      <c r="L69" s="100">
        <v>17.79</v>
      </c>
      <c r="M69" s="100">
        <v>24.96</v>
      </c>
      <c r="N69" s="100">
        <v>70.8</v>
      </c>
      <c r="O69" s="100">
        <v>0</v>
      </c>
      <c r="P69" s="100">
        <v>0.51</v>
      </c>
      <c r="Q69" s="100">
        <v>9.32</v>
      </c>
      <c r="R69" s="6"/>
      <c r="S69" s="6"/>
      <c r="T69" s="156"/>
      <c r="U69" s="6"/>
    </row>
    <row r="70" spans="1:21" customFormat="1">
      <c r="A70" s="201" t="s">
        <v>2321</v>
      </c>
      <c r="B70" s="100">
        <v>3.69</v>
      </c>
      <c r="C70" s="100">
        <v>13.06</v>
      </c>
      <c r="D70" s="100">
        <v>9.7899999999999991</v>
      </c>
      <c r="E70" s="100">
        <v>8.24</v>
      </c>
      <c r="F70" s="100">
        <v>10.7</v>
      </c>
      <c r="G70" s="100">
        <v>26.5</v>
      </c>
      <c r="H70" s="100">
        <v>9.69</v>
      </c>
      <c r="I70" s="100">
        <v>10.6</v>
      </c>
      <c r="J70" s="100">
        <v>0.21</v>
      </c>
      <c r="K70" s="100">
        <v>21.91</v>
      </c>
      <c r="L70" s="100">
        <v>16.98</v>
      </c>
      <c r="M70" s="100">
        <v>22.95</v>
      </c>
      <c r="N70" s="100">
        <v>64.599999999999994</v>
      </c>
      <c r="O70" s="100">
        <v>0</v>
      </c>
      <c r="P70" s="100">
        <v>0.51</v>
      </c>
      <c r="Q70" s="100">
        <v>9.32</v>
      </c>
      <c r="R70" s="6"/>
      <c r="S70" s="6"/>
      <c r="T70" s="156"/>
      <c r="U70" s="6"/>
    </row>
    <row r="71" spans="1:21" customFormat="1">
      <c r="A71" s="201" t="s">
        <v>2322</v>
      </c>
      <c r="B71" s="100">
        <v>3.67</v>
      </c>
      <c r="C71" s="100">
        <v>12.65</v>
      </c>
      <c r="D71" s="100">
        <v>9.5500000000000007</v>
      </c>
      <c r="E71" s="100">
        <v>8.02</v>
      </c>
      <c r="F71" s="100">
        <v>5.35</v>
      </c>
      <c r="G71" s="100">
        <v>26.49</v>
      </c>
      <c r="H71" s="100">
        <v>9.75</v>
      </c>
      <c r="I71" s="100">
        <v>10.41</v>
      </c>
      <c r="J71" s="100">
        <v>0.23</v>
      </c>
      <c r="K71" s="100">
        <v>165.83</v>
      </c>
      <c r="L71" s="100">
        <v>16.71</v>
      </c>
      <c r="M71" s="100">
        <v>22.68</v>
      </c>
      <c r="N71" s="100">
        <v>58.3</v>
      </c>
      <c r="O71" s="100">
        <v>0</v>
      </c>
      <c r="P71" s="100">
        <v>0.51</v>
      </c>
      <c r="Q71" s="100">
        <v>9.32</v>
      </c>
      <c r="R71" s="6"/>
      <c r="S71" s="6"/>
      <c r="T71" s="156"/>
      <c r="U71" s="6"/>
    </row>
    <row r="72" spans="1:21" customFormat="1">
      <c r="A72" s="201" t="s">
        <v>2323</v>
      </c>
      <c r="B72" s="100">
        <v>3.59</v>
      </c>
      <c r="C72" s="100">
        <v>11.89</v>
      </c>
      <c r="D72" s="100">
        <v>9.09</v>
      </c>
      <c r="E72" s="100">
        <v>7.64</v>
      </c>
      <c r="F72" s="100">
        <v>5.39</v>
      </c>
      <c r="G72" s="100">
        <v>26.38</v>
      </c>
      <c r="H72" s="100">
        <v>10.19</v>
      </c>
      <c r="I72" s="100">
        <v>10.16</v>
      </c>
      <c r="J72" s="100">
        <v>0.27</v>
      </c>
      <c r="K72" s="100">
        <v>169.4</v>
      </c>
      <c r="L72" s="100">
        <v>16.89</v>
      </c>
      <c r="M72" s="100">
        <v>23.4</v>
      </c>
      <c r="N72" s="100">
        <v>48.8</v>
      </c>
      <c r="O72" s="100">
        <v>0</v>
      </c>
      <c r="P72" s="100">
        <v>0.5</v>
      </c>
      <c r="Q72" s="100">
        <v>9.32</v>
      </c>
      <c r="R72" s="6"/>
      <c r="S72" s="6"/>
      <c r="T72" s="156"/>
      <c r="U72" s="6"/>
    </row>
    <row r="73" spans="1:21" customFormat="1">
      <c r="A73" s="201" t="s">
        <v>2324</v>
      </c>
      <c r="B73" s="100">
        <v>3.45</v>
      </c>
      <c r="C73" s="100">
        <v>11.67</v>
      </c>
      <c r="D73" s="100">
        <v>8.86</v>
      </c>
      <c r="E73" s="100">
        <v>7.37</v>
      </c>
      <c r="F73" s="100">
        <v>4.6900000000000004</v>
      </c>
      <c r="G73" s="100">
        <v>26.38</v>
      </c>
      <c r="H73" s="100">
        <v>10.19</v>
      </c>
      <c r="I73" s="100">
        <v>10.199999999999999</v>
      </c>
      <c r="J73" s="100">
        <v>0.21</v>
      </c>
      <c r="K73" s="100">
        <v>185</v>
      </c>
      <c r="L73" s="100">
        <v>17.66</v>
      </c>
      <c r="M73" s="100">
        <v>25.52</v>
      </c>
      <c r="N73" s="100">
        <v>41</v>
      </c>
      <c r="O73" s="100">
        <v>0</v>
      </c>
      <c r="P73" s="100">
        <v>0.48</v>
      </c>
      <c r="Q73" s="100">
        <v>9.32</v>
      </c>
      <c r="R73" s="6"/>
      <c r="S73" s="6"/>
      <c r="T73" s="156"/>
      <c r="U73" s="6"/>
    </row>
    <row r="74" spans="1:21" customFormat="1">
      <c r="A74" s="201" t="s">
        <v>2325</v>
      </c>
      <c r="B74" s="100">
        <v>3.4</v>
      </c>
      <c r="C74" s="100">
        <v>11.45</v>
      </c>
      <c r="D74" s="100">
        <v>8.7100000000000009</v>
      </c>
      <c r="E74" s="100">
        <v>7.37</v>
      </c>
      <c r="F74" s="100">
        <v>10.29</v>
      </c>
      <c r="G74" s="100">
        <v>26.38</v>
      </c>
      <c r="H74" s="100">
        <v>10.19</v>
      </c>
      <c r="I74" s="100">
        <v>10.19</v>
      </c>
      <c r="J74" s="100">
        <v>0.3</v>
      </c>
      <c r="K74" s="100">
        <v>173.81</v>
      </c>
      <c r="L74" s="100">
        <v>16.71</v>
      </c>
      <c r="M74" s="100">
        <v>23.43</v>
      </c>
      <c r="N74" s="100">
        <v>30.8</v>
      </c>
      <c r="O74" s="100">
        <v>0</v>
      </c>
      <c r="P74" s="100">
        <v>0.48</v>
      </c>
      <c r="Q74" s="100">
        <v>9.32</v>
      </c>
      <c r="R74" s="6"/>
      <c r="S74" s="6"/>
      <c r="T74" s="156"/>
      <c r="U74" s="6"/>
    </row>
    <row r="75" spans="1:21" customFormat="1">
      <c r="A75" s="201" t="s">
        <v>2326</v>
      </c>
      <c r="B75" s="100">
        <v>3.36</v>
      </c>
      <c r="C75" s="100">
        <v>11.25</v>
      </c>
      <c r="D75" s="100">
        <v>8.57</v>
      </c>
      <c r="E75" s="100">
        <v>5.41</v>
      </c>
      <c r="F75" s="100">
        <v>4.63</v>
      </c>
      <c r="G75" s="100">
        <v>26.47</v>
      </c>
      <c r="H75" s="100">
        <v>10.16</v>
      </c>
      <c r="I75" s="100">
        <v>10.220000000000001</v>
      </c>
      <c r="J75" s="100">
        <v>0.25</v>
      </c>
      <c r="K75" s="100">
        <v>175.13</v>
      </c>
      <c r="L75" s="100">
        <v>16.690000000000001</v>
      </c>
      <c r="M75" s="100">
        <v>23.56</v>
      </c>
      <c r="N75" s="100">
        <v>22.5</v>
      </c>
      <c r="O75" s="100">
        <v>0</v>
      </c>
      <c r="P75" s="100">
        <v>0.47</v>
      </c>
      <c r="Q75" s="100">
        <v>9.32</v>
      </c>
      <c r="R75" s="6"/>
      <c r="S75" s="6"/>
      <c r="T75" s="156"/>
      <c r="U75" s="6"/>
    </row>
    <row r="76" spans="1:21" customFormat="1">
      <c r="A76" s="201" t="s">
        <v>2327</v>
      </c>
      <c r="B76" s="100">
        <v>3.41</v>
      </c>
      <c r="C76" s="100">
        <v>11.05</v>
      </c>
      <c r="D76" s="100">
        <v>8.51</v>
      </c>
      <c r="E76" s="100">
        <v>7.07</v>
      </c>
      <c r="F76" s="100">
        <v>5.23</v>
      </c>
      <c r="G76" s="100">
        <v>27.3</v>
      </c>
      <c r="H76" s="100">
        <v>9.91</v>
      </c>
      <c r="I76" s="100">
        <v>10.16</v>
      </c>
      <c r="J76" s="100">
        <v>0.27</v>
      </c>
      <c r="K76" s="100">
        <v>169.4</v>
      </c>
      <c r="L76" s="100">
        <v>16.05</v>
      </c>
      <c r="M76" s="100">
        <v>22.19</v>
      </c>
      <c r="N76" s="100">
        <v>14.1</v>
      </c>
      <c r="O76" s="100">
        <v>0</v>
      </c>
      <c r="P76" s="100">
        <v>0.46</v>
      </c>
      <c r="Q76" s="100">
        <v>9.32</v>
      </c>
      <c r="R76" s="6"/>
      <c r="S76" s="6"/>
      <c r="T76" s="156"/>
      <c r="U76" s="6"/>
    </row>
    <row r="77" spans="1:21" customFormat="1">
      <c r="A77" s="201" t="s">
        <v>2328</v>
      </c>
      <c r="B77" s="100">
        <v>3.44</v>
      </c>
      <c r="C77" s="100">
        <v>10.93</v>
      </c>
      <c r="D77" s="100">
        <v>8.4700000000000006</v>
      </c>
      <c r="E77" s="100">
        <v>6.74</v>
      </c>
      <c r="F77" s="100">
        <v>2.0099999999999998</v>
      </c>
      <c r="G77" s="100">
        <v>27.3</v>
      </c>
      <c r="H77" s="100">
        <v>9.91</v>
      </c>
      <c r="I77" s="100">
        <v>9.94</v>
      </c>
      <c r="J77" s="100">
        <v>0.16</v>
      </c>
      <c r="K77" s="100">
        <v>160.27000000000001</v>
      </c>
      <c r="L77" s="100">
        <v>16.47</v>
      </c>
      <c r="M77" s="100">
        <v>23.37</v>
      </c>
      <c r="N77" s="100">
        <v>6.5</v>
      </c>
      <c r="O77" s="100">
        <v>0</v>
      </c>
      <c r="P77" s="100">
        <v>0.46</v>
      </c>
      <c r="Q77" s="100">
        <v>9.32</v>
      </c>
      <c r="R77" s="6"/>
      <c r="S77" s="6"/>
      <c r="T77" s="156"/>
      <c r="U77" s="6"/>
    </row>
    <row r="78" spans="1:21" customFormat="1">
      <c r="A78" s="201" t="s">
        <v>2329</v>
      </c>
      <c r="B78" s="100">
        <v>3.55</v>
      </c>
      <c r="C78" s="100">
        <v>11.26</v>
      </c>
      <c r="D78" s="100">
        <v>8.73</v>
      </c>
      <c r="E78" s="100">
        <v>6.8</v>
      </c>
      <c r="F78" s="100">
        <v>2</v>
      </c>
      <c r="G78" s="100">
        <v>27.3</v>
      </c>
      <c r="H78" s="100">
        <v>9.91</v>
      </c>
      <c r="I78" s="100">
        <v>9.84</v>
      </c>
      <c r="J78" s="100">
        <v>0.16</v>
      </c>
      <c r="K78" s="100">
        <v>160.84</v>
      </c>
      <c r="L78" s="100">
        <v>16.41</v>
      </c>
      <c r="M78" s="100">
        <v>23.29</v>
      </c>
      <c r="N78" s="100">
        <v>2.6</v>
      </c>
      <c r="O78" s="100">
        <v>0</v>
      </c>
      <c r="P78" s="100">
        <v>0.46</v>
      </c>
      <c r="Q78" s="100">
        <v>9.32</v>
      </c>
      <c r="R78" s="6"/>
      <c r="S78" s="6"/>
      <c r="T78" s="156"/>
      <c r="U78" s="6"/>
    </row>
    <row r="79" spans="1:21" customFormat="1">
      <c r="A79" s="201" t="s">
        <v>2330</v>
      </c>
      <c r="B79" s="100">
        <v>3.74</v>
      </c>
      <c r="C79" s="100">
        <v>12.24</v>
      </c>
      <c r="D79" s="100">
        <v>9.39</v>
      </c>
      <c r="E79" s="100">
        <v>6.66</v>
      </c>
      <c r="F79" s="100">
        <v>2</v>
      </c>
      <c r="G79" s="100">
        <v>27.77</v>
      </c>
      <c r="H79" s="100">
        <v>9.98</v>
      </c>
      <c r="I79" s="100">
        <v>9.74</v>
      </c>
      <c r="J79" s="100">
        <v>0.21</v>
      </c>
      <c r="K79" s="100">
        <v>155.85</v>
      </c>
      <c r="L79" s="100">
        <v>14.75</v>
      </c>
      <c r="M79" s="100">
        <v>19.21</v>
      </c>
      <c r="N79" s="100">
        <v>2</v>
      </c>
      <c r="O79" s="100">
        <v>0</v>
      </c>
      <c r="P79" s="100">
        <v>0.48</v>
      </c>
      <c r="Q79" s="100">
        <v>9.32</v>
      </c>
      <c r="R79" s="6"/>
      <c r="S79" s="6"/>
      <c r="T79" s="156"/>
      <c r="U79" s="6"/>
    </row>
    <row r="80" spans="1:21" customFormat="1">
      <c r="A80" s="201" t="s">
        <v>2331</v>
      </c>
      <c r="B80" s="100">
        <v>4.04</v>
      </c>
      <c r="C80" s="100">
        <v>13.05</v>
      </c>
      <c r="D80" s="100">
        <v>10.06</v>
      </c>
      <c r="E80" s="100">
        <v>6.91</v>
      </c>
      <c r="F80" s="100">
        <v>2</v>
      </c>
      <c r="G80" s="100">
        <v>31.95</v>
      </c>
      <c r="H80" s="100">
        <v>10.49</v>
      </c>
      <c r="I80" s="100">
        <v>9.7200000000000006</v>
      </c>
      <c r="J80" s="100">
        <v>0.11</v>
      </c>
      <c r="K80" s="100">
        <v>140.6</v>
      </c>
      <c r="L80" s="100">
        <v>13.97</v>
      </c>
      <c r="M80" s="100">
        <v>17.2</v>
      </c>
      <c r="N80" s="100">
        <v>1.7</v>
      </c>
      <c r="O80" s="100">
        <v>0</v>
      </c>
      <c r="P80" s="100">
        <v>0.5</v>
      </c>
      <c r="Q80" s="100">
        <v>9.32</v>
      </c>
      <c r="R80" s="6"/>
      <c r="S80" s="6"/>
      <c r="T80" s="156"/>
      <c r="U80" s="6"/>
    </row>
    <row r="81" spans="1:21" customFormat="1">
      <c r="A81" s="201" t="s">
        <v>2332</v>
      </c>
      <c r="B81" s="100">
        <v>4.58</v>
      </c>
      <c r="C81" s="100">
        <v>14.15</v>
      </c>
      <c r="D81" s="100">
        <v>11.06</v>
      </c>
      <c r="E81" s="100">
        <v>5.65</v>
      </c>
      <c r="F81" s="100">
        <v>2</v>
      </c>
      <c r="G81" s="100">
        <v>31.95</v>
      </c>
      <c r="H81" s="100">
        <v>10.49</v>
      </c>
      <c r="I81" s="100">
        <v>9.7899999999999991</v>
      </c>
      <c r="J81" s="100">
        <v>0.18</v>
      </c>
      <c r="K81" s="100">
        <v>175.53</v>
      </c>
      <c r="L81" s="100">
        <v>16.53</v>
      </c>
      <c r="M81" s="100">
        <v>23.73</v>
      </c>
      <c r="N81" s="100">
        <v>1.9</v>
      </c>
      <c r="O81" s="100">
        <v>0</v>
      </c>
      <c r="P81" s="100">
        <v>0.52</v>
      </c>
      <c r="Q81" s="100">
        <v>9.32</v>
      </c>
      <c r="R81" s="6"/>
      <c r="S81" s="6"/>
      <c r="T81" s="156"/>
      <c r="U81" s="6"/>
    </row>
    <row r="82" spans="1:21" customFormat="1">
      <c r="A82" s="201" t="s">
        <v>2333</v>
      </c>
      <c r="B82" s="100">
        <v>4.9800000000000004</v>
      </c>
      <c r="C82" s="100">
        <v>15.12</v>
      </c>
      <c r="D82" s="100">
        <v>11.89</v>
      </c>
      <c r="E82" s="100">
        <v>6.87</v>
      </c>
      <c r="F82" s="100">
        <v>2</v>
      </c>
      <c r="G82" s="100">
        <v>31.95</v>
      </c>
      <c r="H82" s="100">
        <v>10.49</v>
      </c>
      <c r="I82" s="100">
        <v>10.07</v>
      </c>
      <c r="J82" s="100">
        <v>0.17</v>
      </c>
      <c r="K82" s="100">
        <v>149.84</v>
      </c>
      <c r="L82" s="100">
        <v>14.25</v>
      </c>
      <c r="M82" s="100">
        <v>17.88</v>
      </c>
      <c r="N82" s="100">
        <v>1.8</v>
      </c>
      <c r="O82" s="100">
        <v>0</v>
      </c>
      <c r="P82" s="100">
        <v>0.54</v>
      </c>
      <c r="Q82" s="100">
        <v>9.32</v>
      </c>
      <c r="R82" s="6"/>
      <c r="S82" s="6"/>
      <c r="T82" s="156"/>
      <c r="U82" s="6"/>
    </row>
    <row r="83" spans="1:21" customFormat="1">
      <c r="A83" s="201" t="s">
        <v>2334</v>
      </c>
      <c r="B83" s="100">
        <v>5.31</v>
      </c>
      <c r="C83" s="100">
        <v>15.79</v>
      </c>
      <c r="D83" s="100">
        <v>12.51</v>
      </c>
      <c r="E83" s="100">
        <v>6.89</v>
      </c>
      <c r="F83" s="100">
        <v>2</v>
      </c>
      <c r="G83" s="100">
        <v>33.090000000000003</v>
      </c>
      <c r="H83" s="100">
        <v>10.71</v>
      </c>
      <c r="I83" s="100">
        <v>10.46</v>
      </c>
      <c r="J83" s="100">
        <v>0.28999999999999998</v>
      </c>
      <c r="K83" s="100">
        <v>149.93</v>
      </c>
      <c r="L83" s="100">
        <v>14.2</v>
      </c>
      <c r="M83" s="100">
        <v>17.87</v>
      </c>
      <c r="N83" s="100">
        <v>1.9</v>
      </c>
      <c r="O83" s="100">
        <v>0</v>
      </c>
      <c r="P83" s="100">
        <v>0.56999999999999995</v>
      </c>
      <c r="Q83" s="100">
        <v>9.32</v>
      </c>
      <c r="R83" s="6"/>
      <c r="S83" s="6"/>
      <c r="T83" s="156"/>
      <c r="U83" s="6"/>
    </row>
    <row r="84" spans="1:21" customFormat="1">
      <c r="A84" s="201" t="s">
        <v>2335</v>
      </c>
      <c r="B84" s="100">
        <v>5.57</v>
      </c>
      <c r="C84" s="100">
        <v>16</v>
      </c>
      <c r="D84" s="100">
        <v>12.82</v>
      </c>
      <c r="E84" s="100">
        <v>6.84</v>
      </c>
      <c r="F84" s="100">
        <v>2</v>
      </c>
      <c r="G84" s="100">
        <v>43.36</v>
      </c>
      <c r="H84" s="100">
        <v>12.3</v>
      </c>
      <c r="I84" s="100">
        <v>10.73</v>
      </c>
      <c r="J84" s="100">
        <v>0.21</v>
      </c>
      <c r="K84" s="100">
        <v>155.33000000000001</v>
      </c>
      <c r="L84" s="100">
        <v>14.82</v>
      </c>
      <c r="M84" s="100">
        <v>19.420000000000002</v>
      </c>
      <c r="N84" s="100">
        <v>1.9</v>
      </c>
      <c r="O84" s="100">
        <v>0</v>
      </c>
      <c r="P84" s="100">
        <v>0.59</v>
      </c>
      <c r="Q84" s="100">
        <v>9.32</v>
      </c>
      <c r="R84" s="6"/>
      <c r="S84" s="6"/>
      <c r="T84" s="156"/>
      <c r="U84" s="6"/>
    </row>
    <row r="85" spans="1:21" customFormat="1">
      <c r="A85" s="201" t="s">
        <v>2336</v>
      </c>
      <c r="B85" s="100">
        <v>5.83</v>
      </c>
      <c r="C85" s="100">
        <v>15.98</v>
      </c>
      <c r="D85" s="100">
        <v>13.02</v>
      </c>
      <c r="E85" s="100">
        <v>6.84</v>
      </c>
      <c r="F85" s="100">
        <v>2</v>
      </c>
      <c r="G85" s="100">
        <v>43.36</v>
      </c>
      <c r="H85" s="100">
        <v>12.3</v>
      </c>
      <c r="I85" s="100">
        <v>11.03</v>
      </c>
      <c r="J85" s="100">
        <v>0.27</v>
      </c>
      <c r="K85" s="100">
        <v>229.24</v>
      </c>
      <c r="L85" s="100">
        <v>20.23</v>
      </c>
      <c r="M85" s="100">
        <v>32.9</v>
      </c>
      <c r="N85" s="100">
        <v>2</v>
      </c>
      <c r="O85" s="100">
        <v>0</v>
      </c>
      <c r="P85" s="100">
        <v>0.62</v>
      </c>
      <c r="Q85" s="100">
        <v>9.32</v>
      </c>
      <c r="R85" s="6"/>
      <c r="S85" s="6"/>
      <c r="T85" s="156"/>
      <c r="U85" s="6"/>
    </row>
    <row r="86" spans="1:21" customFormat="1">
      <c r="A86" s="201" t="s">
        <v>2337</v>
      </c>
      <c r="B86" s="100">
        <v>5.95</v>
      </c>
      <c r="C86" s="100">
        <v>16.100000000000001</v>
      </c>
      <c r="D86" s="100">
        <v>13.19</v>
      </c>
      <c r="E86" s="100">
        <v>6.63</v>
      </c>
      <c r="F86" s="100">
        <v>2</v>
      </c>
      <c r="G86" s="100">
        <v>43.36</v>
      </c>
      <c r="H86" s="100">
        <v>12.3</v>
      </c>
      <c r="I86" s="100">
        <v>11.47</v>
      </c>
      <c r="J86" s="100">
        <v>0.22</v>
      </c>
      <c r="K86" s="100">
        <v>170.15</v>
      </c>
      <c r="L86" s="100">
        <v>16.21</v>
      </c>
      <c r="M86" s="100">
        <v>22.93</v>
      </c>
      <c r="N86" s="100">
        <v>2</v>
      </c>
      <c r="O86" s="100">
        <v>0</v>
      </c>
      <c r="P86" s="100">
        <v>0.65</v>
      </c>
      <c r="Q86" s="100">
        <v>9.32</v>
      </c>
      <c r="R86" s="6"/>
      <c r="S86" s="6"/>
      <c r="T86" s="156"/>
      <c r="U86" s="6"/>
    </row>
    <row r="87" spans="1:21" customFormat="1">
      <c r="A87" s="201" t="s">
        <v>2338</v>
      </c>
      <c r="B87" s="100">
        <v>6.09</v>
      </c>
      <c r="C87" s="100">
        <v>16.16</v>
      </c>
      <c r="D87" s="100">
        <v>13.33</v>
      </c>
      <c r="E87" s="100">
        <v>6.91</v>
      </c>
      <c r="F87" s="100">
        <v>2</v>
      </c>
      <c r="G87" s="100">
        <v>44.25</v>
      </c>
      <c r="H87" s="100">
        <v>12.48</v>
      </c>
      <c r="I87" s="100">
        <v>12.05</v>
      </c>
      <c r="J87" s="100">
        <v>0.34</v>
      </c>
      <c r="K87" s="100">
        <v>158.16999999999999</v>
      </c>
      <c r="L87" s="100">
        <v>14.88</v>
      </c>
      <c r="M87" s="100">
        <v>19.62</v>
      </c>
      <c r="N87" s="100">
        <v>1.7</v>
      </c>
      <c r="O87" s="100">
        <v>0</v>
      </c>
      <c r="P87" s="100">
        <v>0.67</v>
      </c>
      <c r="Q87" s="100">
        <v>9.32</v>
      </c>
      <c r="R87" s="6"/>
      <c r="S87" s="6"/>
      <c r="T87" s="156"/>
      <c r="U87" s="6"/>
    </row>
    <row r="88" spans="1:21" customFormat="1">
      <c r="A88" s="201" t="s">
        <v>2339</v>
      </c>
      <c r="B88" s="100">
        <v>6.42</v>
      </c>
      <c r="C88" s="100">
        <v>16.09</v>
      </c>
      <c r="D88" s="100">
        <v>13.55</v>
      </c>
      <c r="E88" s="100">
        <v>6.65</v>
      </c>
      <c r="F88" s="100">
        <v>2</v>
      </c>
      <c r="G88" s="100">
        <v>52.32</v>
      </c>
      <c r="H88" s="100">
        <v>13.79</v>
      </c>
      <c r="I88" s="100">
        <v>12.55</v>
      </c>
      <c r="J88" s="100">
        <v>0.27</v>
      </c>
      <c r="K88" s="100">
        <v>167.67</v>
      </c>
      <c r="L88" s="100">
        <v>15.92</v>
      </c>
      <c r="M88" s="100">
        <v>22.2</v>
      </c>
      <c r="N88" s="100">
        <v>1.7</v>
      </c>
      <c r="O88" s="100">
        <v>0</v>
      </c>
      <c r="P88" s="100">
        <v>0.69</v>
      </c>
      <c r="Q88" s="100">
        <v>9.32</v>
      </c>
      <c r="R88" s="6"/>
      <c r="S88" s="6"/>
      <c r="T88" s="156"/>
      <c r="U88" s="6"/>
    </row>
    <row r="89" spans="1:21" customFormat="1">
      <c r="A89" s="201" t="s">
        <v>2340</v>
      </c>
      <c r="B89" s="100">
        <v>6.76</v>
      </c>
      <c r="C89" s="100">
        <v>16</v>
      </c>
      <c r="D89" s="100">
        <v>13.78</v>
      </c>
      <c r="E89" s="100">
        <v>6.67</v>
      </c>
      <c r="F89" s="100">
        <v>2</v>
      </c>
      <c r="G89" s="100">
        <v>52.32</v>
      </c>
      <c r="H89" s="100">
        <v>13.79</v>
      </c>
      <c r="I89" s="100">
        <v>12.85</v>
      </c>
      <c r="J89" s="100">
        <v>0.24</v>
      </c>
      <c r="K89" s="100">
        <v>163.09</v>
      </c>
      <c r="L89" s="100">
        <v>15.35</v>
      </c>
      <c r="M89" s="100">
        <v>20.78</v>
      </c>
      <c r="N89" s="100">
        <v>1.7</v>
      </c>
      <c r="O89" s="100">
        <v>0</v>
      </c>
      <c r="P89" s="100">
        <v>0.7</v>
      </c>
      <c r="Q89" s="100">
        <v>9.32</v>
      </c>
      <c r="R89" s="6"/>
      <c r="S89" s="6"/>
      <c r="T89" s="156"/>
      <c r="U89" s="6"/>
    </row>
    <row r="90" spans="1:21" customFormat="1">
      <c r="A90" s="201" t="s">
        <v>2341</v>
      </c>
      <c r="B90" s="100">
        <v>7.35</v>
      </c>
      <c r="C90" s="100">
        <v>15.92</v>
      </c>
      <c r="D90" s="100">
        <v>14.21</v>
      </c>
      <c r="E90" s="100">
        <v>6.8</v>
      </c>
      <c r="F90" s="100">
        <v>2</v>
      </c>
      <c r="G90" s="100">
        <v>52.32</v>
      </c>
      <c r="H90" s="100">
        <v>13.79</v>
      </c>
      <c r="I90" s="100">
        <v>13.16</v>
      </c>
      <c r="J90" s="100">
        <v>0.23</v>
      </c>
      <c r="K90" s="100">
        <v>195.32</v>
      </c>
      <c r="L90" s="100">
        <v>17.72</v>
      </c>
      <c r="M90" s="100">
        <v>26.74</v>
      </c>
      <c r="N90" s="100">
        <v>1.6</v>
      </c>
      <c r="O90" s="100">
        <v>0</v>
      </c>
      <c r="P90" s="100">
        <v>0.73</v>
      </c>
      <c r="Q90" s="100">
        <v>9.32</v>
      </c>
      <c r="R90" s="6"/>
      <c r="S90" s="6"/>
      <c r="T90" s="156"/>
      <c r="U90" s="6"/>
    </row>
    <row r="91" spans="1:21" customFormat="1">
      <c r="A91" s="201" t="s">
        <v>2342</v>
      </c>
      <c r="B91" s="100">
        <v>7.83</v>
      </c>
      <c r="C91" s="100">
        <v>15.94</v>
      </c>
      <c r="D91" s="100">
        <v>14.61</v>
      </c>
      <c r="E91" s="100">
        <v>6.96</v>
      </c>
      <c r="F91" s="100">
        <v>2</v>
      </c>
      <c r="G91" s="100">
        <v>52.54</v>
      </c>
      <c r="H91" s="100">
        <v>13.9</v>
      </c>
      <c r="I91" s="100">
        <v>13.48</v>
      </c>
      <c r="J91" s="100">
        <v>0.19</v>
      </c>
      <c r="K91" s="100">
        <v>176.69</v>
      </c>
      <c r="L91" s="100">
        <v>16.489999999999998</v>
      </c>
      <c r="M91" s="100">
        <v>23.62</v>
      </c>
      <c r="N91" s="100">
        <v>2</v>
      </c>
      <c r="O91" s="100">
        <v>0</v>
      </c>
      <c r="P91" s="100">
        <v>0.75</v>
      </c>
      <c r="Q91" s="100">
        <v>9.32</v>
      </c>
      <c r="R91" s="6"/>
      <c r="S91" s="6"/>
      <c r="T91" s="156"/>
      <c r="U91" s="6"/>
    </row>
    <row r="92" spans="1:21" customFormat="1">
      <c r="A92" s="201" t="s">
        <v>2343</v>
      </c>
      <c r="B92" s="100">
        <v>8.24</v>
      </c>
      <c r="C92" s="100">
        <v>15.37</v>
      </c>
      <c r="D92" s="100">
        <v>14.64</v>
      </c>
      <c r="E92" s="100">
        <v>6.84</v>
      </c>
      <c r="F92" s="100">
        <v>2</v>
      </c>
      <c r="G92" s="100">
        <v>54.55</v>
      </c>
      <c r="H92" s="100">
        <v>14.67</v>
      </c>
      <c r="I92" s="100">
        <v>13.78</v>
      </c>
      <c r="J92" s="100">
        <v>0.19</v>
      </c>
      <c r="K92" s="100">
        <v>174.54</v>
      </c>
      <c r="L92" s="100">
        <v>15.91</v>
      </c>
      <c r="M92" s="100">
        <v>22.16</v>
      </c>
      <c r="N92" s="100">
        <v>1.7</v>
      </c>
      <c r="O92" s="100">
        <v>0</v>
      </c>
      <c r="P92" s="100">
        <v>0.78</v>
      </c>
      <c r="Q92" s="100">
        <v>9.32</v>
      </c>
      <c r="R92" s="6"/>
      <c r="S92" s="6"/>
      <c r="T92" s="156"/>
      <c r="U92" s="6"/>
    </row>
    <row r="93" spans="1:21" customFormat="1">
      <c r="A93" s="201" t="s">
        <v>2344</v>
      </c>
      <c r="B93" s="100">
        <v>8.56</v>
      </c>
      <c r="C93" s="100">
        <v>14.76</v>
      </c>
      <c r="D93" s="100">
        <v>14.58</v>
      </c>
      <c r="E93" s="100">
        <v>6.39</v>
      </c>
      <c r="F93" s="100">
        <v>2</v>
      </c>
      <c r="G93" s="100">
        <v>54.55</v>
      </c>
      <c r="H93" s="100">
        <v>14.67</v>
      </c>
      <c r="I93" s="100">
        <v>14.08</v>
      </c>
      <c r="J93" s="100">
        <v>0.17</v>
      </c>
      <c r="K93" s="100">
        <v>175.44</v>
      </c>
      <c r="L93" s="100">
        <v>16.399999999999999</v>
      </c>
      <c r="M93" s="100">
        <v>23.21</v>
      </c>
      <c r="N93" s="100">
        <v>1.7</v>
      </c>
      <c r="O93" s="100">
        <v>0</v>
      </c>
      <c r="P93" s="100">
        <v>0.8</v>
      </c>
      <c r="Q93" s="100">
        <v>9.32</v>
      </c>
      <c r="R93" s="6"/>
      <c r="S93" s="6"/>
      <c r="T93" s="156"/>
      <c r="U93" s="6"/>
    </row>
    <row r="94" spans="1:21" customFormat="1">
      <c r="A94" s="201" t="s">
        <v>2345</v>
      </c>
      <c r="B94" s="100">
        <v>8.81</v>
      </c>
      <c r="C94" s="100">
        <v>14.38</v>
      </c>
      <c r="D94" s="100">
        <v>14.58</v>
      </c>
      <c r="E94" s="100">
        <v>6.61</v>
      </c>
      <c r="F94" s="100">
        <v>2</v>
      </c>
      <c r="G94" s="100">
        <v>54.55</v>
      </c>
      <c r="H94" s="100">
        <v>14.67</v>
      </c>
      <c r="I94" s="100">
        <v>14.31</v>
      </c>
      <c r="J94" s="100">
        <v>0.17</v>
      </c>
      <c r="K94" s="100">
        <v>168.02</v>
      </c>
      <c r="L94" s="100">
        <v>15.44</v>
      </c>
      <c r="M94" s="100">
        <v>20.86</v>
      </c>
      <c r="N94" s="100">
        <v>1.7</v>
      </c>
      <c r="O94" s="100">
        <v>0</v>
      </c>
      <c r="P94" s="100">
        <v>0.81</v>
      </c>
      <c r="Q94" s="100">
        <v>9.32</v>
      </c>
      <c r="R94" s="6"/>
      <c r="S94" s="6"/>
      <c r="T94" s="156"/>
      <c r="U94" s="6"/>
    </row>
    <row r="95" spans="1:21" customFormat="1">
      <c r="A95" s="201" t="s">
        <v>2346</v>
      </c>
      <c r="B95" s="100">
        <v>9.0399999999999991</v>
      </c>
      <c r="C95" s="100">
        <v>13.97</v>
      </c>
      <c r="D95" s="100">
        <v>14.55</v>
      </c>
      <c r="E95" s="100">
        <v>6.89</v>
      </c>
      <c r="F95" s="100">
        <v>2</v>
      </c>
      <c r="G95" s="100">
        <v>54.47</v>
      </c>
      <c r="H95" s="100">
        <v>14.64</v>
      </c>
      <c r="I95" s="100">
        <v>14.43</v>
      </c>
      <c r="J95" s="100">
        <v>0.13</v>
      </c>
      <c r="K95" s="100">
        <v>156.72</v>
      </c>
      <c r="L95" s="100">
        <v>15.98</v>
      </c>
      <c r="M95" s="100">
        <v>22.17</v>
      </c>
      <c r="N95" s="100">
        <v>1.7</v>
      </c>
      <c r="O95" s="100">
        <v>0</v>
      </c>
      <c r="P95" s="100">
        <v>0.82</v>
      </c>
      <c r="Q95" s="100">
        <v>9.32</v>
      </c>
      <c r="R95" s="6"/>
      <c r="S95" s="6"/>
      <c r="T95" s="156"/>
      <c r="U95" s="6"/>
    </row>
    <row r="96" spans="1:21" customFormat="1">
      <c r="A96" s="201" t="s">
        <v>2347</v>
      </c>
      <c r="B96" s="100">
        <v>9.39</v>
      </c>
      <c r="C96" s="100">
        <v>13.85</v>
      </c>
      <c r="D96" s="100">
        <v>14.76</v>
      </c>
      <c r="E96" s="100">
        <v>6.59</v>
      </c>
      <c r="F96" s="100">
        <v>2</v>
      </c>
      <c r="G96" s="100">
        <v>53.79</v>
      </c>
      <c r="H96" s="100">
        <v>14.45</v>
      </c>
      <c r="I96" s="100">
        <v>14.52</v>
      </c>
      <c r="J96" s="100">
        <v>0.21</v>
      </c>
      <c r="K96" s="100">
        <v>203.3</v>
      </c>
      <c r="L96" s="100">
        <v>18.34</v>
      </c>
      <c r="M96" s="100">
        <v>28.09</v>
      </c>
      <c r="N96" s="100">
        <v>1.5</v>
      </c>
      <c r="O96" s="100">
        <v>0</v>
      </c>
      <c r="P96" s="100">
        <v>0.83</v>
      </c>
      <c r="Q96" s="100">
        <v>9.32</v>
      </c>
      <c r="R96" s="6"/>
      <c r="S96" s="6"/>
      <c r="T96" s="156"/>
      <c r="U96" s="6"/>
    </row>
    <row r="97" spans="1:28" customFormat="1">
      <c r="A97" s="201" t="s">
        <v>2348</v>
      </c>
      <c r="B97" s="100">
        <v>10.130000000000001</v>
      </c>
      <c r="C97" s="100">
        <v>13.91</v>
      </c>
      <c r="D97" s="100">
        <v>15.39</v>
      </c>
      <c r="E97" s="100">
        <v>6.78</v>
      </c>
      <c r="F97" s="100">
        <v>2</v>
      </c>
      <c r="G97" s="100">
        <v>53.79</v>
      </c>
      <c r="H97" s="100">
        <v>14.45</v>
      </c>
      <c r="I97" s="100">
        <v>14.67</v>
      </c>
      <c r="J97" s="100">
        <v>0.23</v>
      </c>
      <c r="K97" s="100">
        <v>186.76</v>
      </c>
      <c r="L97" s="100">
        <v>17.57</v>
      </c>
      <c r="M97" s="100">
        <v>26.19</v>
      </c>
      <c r="N97" s="100">
        <v>1.6</v>
      </c>
      <c r="O97" s="100">
        <v>0</v>
      </c>
      <c r="P97" s="100">
        <v>0.83</v>
      </c>
      <c r="Q97" s="100">
        <v>9.32</v>
      </c>
      <c r="R97" s="6"/>
      <c r="S97" s="6"/>
      <c r="T97" s="156"/>
      <c r="U97" s="6"/>
    </row>
    <row r="98" spans="1:28" customFormat="1">
      <c r="A98" s="201" t="s">
        <v>2349</v>
      </c>
      <c r="B98" s="100">
        <v>10.56</v>
      </c>
      <c r="C98" s="100">
        <v>13.87</v>
      </c>
      <c r="D98" s="100">
        <v>15.72</v>
      </c>
      <c r="E98" s="100">
        <v>6.61</v>
      </c>
      <c r="F98" s="100">
        <v>2</v>
      </c>
      <c r="G98" s="100">
        <v>53.79</v>
      </c>
      <c r="H98" s="100">
        <v>14.45</v>
      </c>
      <c r="I98" s="100">
        <v>14.8</v>
      </c>
      <c r="J98" s="100">
        <v>0.19</v>
      </c>
      <c r="K98" s="100">
        <v>167.46</v>
      </c>
      <c r="L98" s="100">
        <v>15.4</v>
      </c>
      <c r="M98" s="100">
        <v>20.77</v>
      </c>
      <c r="N98" s="100">
        <v>1.8</v>
      </c>
      <c r="O98" s="100">
        <v>0</v>
      </c>
      <c r="P98" s="100">
        <v>0.84</v>
      </c>
      <c r="Q98" s="100">
        <v>9.31</v>
      </c>
      <c r="R98" s="6"/>
      <c r="S98" s="6"/>
      <c r="T98" s="156"/>
      <c r="U98" s="6"/>
    </row>
    <row r="99" spans="1:28" customFormat="1">
      <c r="A99" s="201" t="s">
        <v>2350</v>
      </c>
      <c r="B99" s="100">
        <v>10.76</v>
      </c>
      <c r="C99" s="100">
        <v>13.75</v>
      </c>
      <c r="D99" s="100">
        <v>15.81</v>
      </c>
      <c r="E99" s="100">
        <v>6.69</v>
      </c>
      <c r="F99" s="100">
        <v>2</v>
      </c>
      <c r="G99" s="100">
        <v>53.19</v>
      </c>
      <c r="H99" s="100">
        <v>14.53</v>
      </c>
      <c r="I99" s="100">
        <v>14.87</v>
      </c>
      <c r="J99" s="100">
        <v>0.15</v>
      </c>
      <c r="K99" s="100">
        <v>186.32</v>
      </c>
      <c r="L99" s="100">
        <v>16.510000000000002</v>
      </c>
      <c r="M99" s="100">
        <v>23.55</v>
      </c>
      <c r="N99" s="100">
        <v>1.7</v>
      </c>
      <c r="O99" s="100">
        <v>0</v>
      </c>
      <c r="P99" s="100">
        <v>0.84</v>
      </c>
      <c r="Q99" s="100">
        <v>9.33</v>
      </c>
      <c r="R99" s="6"/>
      <c r="S99" s="6"/>
      <c r="T99" s="156"/>
      <c r="U99" s="6"/>
    </row>
    <row r="100" spans="1:28" customFormat="1">
      <c r="A100" s="201" t="s">
        <v>2351</v>
      </c>
      <c r="B100" s="100">
        <v>10.88</v>
      </c>
      <c r="C100" s="100">
        <v>13.63</v>
      </c>
      <c r="D100" s="100">
        <v>15.85</v>
      </c>
      <c r="E100" s="100">
        <v>6.56</v>
      </c>
      <c r="F100" s="100">
        <v>2</v>
      </c>
      <c r="G100" s="100">
        <v>47.81</v>
      </c>
      <c r="H100" s="100">
        <v>15.15</v>
      </c>
      <c r="I100" s="100">
        <v>14.89</v>
      </c>
      <c r="J100" s="100">
        <v>0.18</v>
      </c>
      <c r="K100" s="100">
        <v>194.35</v>
      </c>
      <c r="L100" s="100">
        <v>17.46</v>
      </c>
      <c r="M100" s="100">
        <v>25.93</v>
      </c>
      <c r="N100" s="100">
        <v>1.6</v>
      </c>
      <c r="O100" s="100">
        <v>0</v>
      </c>
      <c r="P100" s="100">
        <v>0.83</v>
      </c>
      <c r="Q100" s="100">
        <v>9.33</v>
      </c>
      <c r="R100" s="6"/>
      <c r="S100" s="6"/>
      <c r="T100" s="156"/>
      <c r="U100" s="6"/>
      <c r="AB100" s="161"/>
    </row>
    <row r="101" spans="1:28" customFormat="1">
      <c r="A101" s="201" t="s">
        <v>2352</v>
      </c>
      <c r="B101" s="100">
        <v>10.96</v>
      </c>
      <c r="C101" s="100">
        <v>13.49</v>
      </c>
      <c r="D101" s="100">
        <v>15.83</v>
      </c>
      <c r="E101" s="100">
        <v>6.71</v>
      </c>
      <c r="F101" s="100">
        <v>2</v>
      </c>
      <c r="G101" s="100">
        <v>47.81</v>
      </c>
      <c r="H101" s="100">
        <v>15.15</v>
      </c>
      <c r="I101" s="100">
        <v>14.89</v>
      </c>
      <c r="J101" s="100">
        <v>0.16</v>
      </c>
      <c r="K101" s="100">
        <v>230.51</v>
      </c>
      <c r="L101" s="100">
        <v>20.03</v>
      </c>
      <c r="M101" s="100">
        <v>32.31</v>
      </c>
      <c r="N101" s="100">
        <v>1.6</v>
      </c>
      <c r="O101" s="100">
        <v>0</v>
      </c>
      <c r="P101" s="100">
        <v>0.84</v>
      </c>
      <c r="Q101" s="100">
        <v>9.33</v>
      </c>
      <c r="R101" s="6"/>
      <c r="S101" s="6"/>
      <c r="T101" s="156"/>
      <c r="U101" s="6"/>
    </row>
    <row r="102" spans="1:28" customFormat="1">
      <c r="A102" s="201" t="s">
        <v>2353</v>
      </c>
      <c r="B102" s="100">
        <v>11.01</v>
      </c>
      <c r="C102" s="100">
        <v>13.33</v>
      </c>
      <c r="D102" s="100">
        <v>15.8</v>
      </c>
      <c r="E102" s="100">
        <v>6.79</v>
      </c>
      <c r="F102" s="100">
        <v>2</v>
      </c>
      <c r="G102" s="100">
        <v>47.81</v>
      </c>
      <c r="H102" s="100">
        <v>15.15</v>
      </c>
      <c r="I102" s="100">
        <v>14.88</v>
      </c>
      <c r="J102" s="100">
        <v>0.18</v>
      </c>
      <c r="K102" s="100">
        <v>162.93</v>
      </c>
      <c r="L102" s="100">
        <v>15.85</v>
      </c>
      <c r="M102" s="100">
        <v>21.94</v>
      </c>
      <c r="N102" s="100">
        <v>1.7</v>
      </c>
      <c r="O102" s="100">
        <v>0</v>
      </c>
      <c r="P102" s="100">
        <v>0.84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2354</v>
      </c>
      <c r="B103" s="100">
        <v>11.09</v>
      </c>
      <c r="C103" s="100">
        <v>13.22</v>
      </c>
      <c r="D103" s="100">
        <v>15.8</v>
      </c>
      <c r="E103" s="100">
        <v>6.46</v>
      </c>
      <c r="F103" s="100">
        <v>2</v>
      </c>
      <c r="G103" s="100">
        <v>47.88</v>
      </c>
      <c r="H103" s="100">
        <v>15.25</v>
      </c>
      <c r="I103" s="100">
        <v>14.87</v>
      </c>
      <c r="J103" s="100">
        <v>0.2</v>
      </c>
      <c r="K103" s="100">
        <v>240.3</v>
      </c>
      <c r="L103" s="100">
        <v>17.239999999999998</v>
      </c>
      <c r="M103" s="100">
        <v>25.34</v>
      </c>
      <c r="N103" s="100">
        <v>1.7</v>
      </c>
      <c r="O103" s="100">
        <v>0</v>
      </c>
      <c r="P103" s="100">
        <v>0.85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2355</v>
      </c>
      <c r="B104" s="100">
        <v>11.28</v>
      </c>
      <c r="C104" s="100">
        <v>13.19</v>
      </c>
      <c r="D104" s="100">
        <v>15.94</v>
      </c>
      <c r="E104" s="100">
        <v>6.7</v>
      </c>
      <c r="F104" s="100">
        <v>2</v>
      </c>
      <c r="G104" s="100">
        <v>48.51</v>
      </c>
      <c r="H104" s="100">
        <v>15.97</v>
      </c>
      <c r="I104" s="100">
        <v>14.89</v>
      </c>
      <c r="J104" s="100">
        <v>0.13</v>
      </c>
      <c r="K104" s="100">
        <v>227.28</v>
      </c>
      <c r="L104" s="100">
        <v>18.510000000000002</v>
      </c>
      <c r="M104" s="100">
        <v>28.53</v>
      </c>
      <c r="N104" s="100">
        <v>1.5</v>
      </c>
      <c r="O104" s="100">
        <v>0</v>
      </c>
      <c r="P104" s="100">
        <v>0.86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3.36</v>
      </c>
      <c r="C106" s="158">
        <f>MIN(C9:C104)</f>
        <v>10.93</v>
      </c>
      <c r="D106" s="158">
        <f t="shared" ref="D106:Q106" si="0">MIN(D9:D104)</f>
        <v>8.4700000000000006</v>
      </c>
      <c r="E106" s="158">
        <f t="shared" si="0"/>
        <v>4.97</v>
      </c>
      <c r="F106" s="158">
        <f t="shared" si="0"/>
        <v>1.45</v>
      </c>
      <c r="G106" s="158">
        <f t="shared" si="0"/>
        <v>26.38</v>
      </c>
      <c r="H106" s="158">
        <f t="shared" si="0"/>
        <v>9.69</v>
      </c>
      <c r="I106" s="158">
        <f t="shared" si="0"/>
        <v>9.7200000000000006</v>
      </c>
      <c r="J106" s="158">
        <f t="shared" si="0"/>
        <v>0.05</v>
      </c>
      <c r="K106" s="158">
        <f t="shared" si="0"/>
        <v>7.24</v>
      </c>
      <c r="L106" s="158">
        <f t="shared" si="0"/>
        <v>8.44</v>
      </c>
      <c r="M106" s="158">
        <f t="shared" si="0"/>
        <v>-2.65</v>
      </c>
      <c r="N106" s="158">
        <f t="shared" si="0"/>
        <v>1.2</v>
      </c>
      <c r="O106" s="158">
        <f t="shared" si="0"/>
        <v>0</v>
      </c>
      <c r="P106" s="158">
        <f t="shared" si="0"/>
        <v>0.46</v>
      </c>
      <c r="Q106" s="158">
        <f t="shared" si="0"/>
        <v>9.31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26.83</v>
      </c>
      <c r="C107" s="157">
        <f t="shared" ref="C107:Q107" si="1">MAX(C9:C104)</f>
        <v>18.059999999999999</v>
      </c>
      <c r="D107" s="157">
        <f t="shared" si="1"/>
        <v>29.87</v>
      </c>
      <c r="E107" s="157">
        <f t="shared" si="1"/>
        <v>8.8699999999999992</v>
      </c>
      <c r="F107" s="157">
        <f t="shared" si="1"/>
        <v>259.23</v>
      </c>
      <c r="G107" s="157">
        <f t="shared" si="1"/>
        <v>64.64</v>
      </c>
      <c r="H107" s="157">
        <f t="shared" si="1"/>
        <v>20.11</v>
      </c>
      <c r="I107" s="157">
        <f t="shared" si="1"/>
        <v>15.92</v>
      </c>
      <c r="J107" s="157">
        <f t="shared" si="1"/>
        <v>0.81</v>
      </c>
      <c r="K107" s="157">
        <f t="shared" si="1"/>
        <v>355.01</v>
      </c>
      <c r="L107" s="157">
        <f t="shared" si="1"/>
        <v>27.61</v>
      </c>
      <c r="M107" s="157">
        <f t="shared" si="1"/>
        <v>42.21</v>
      </c>
      <c r="N107" s="157">
        <f t="shared" si="1"/>
        <v>548.70000000000005</v>
      </c>
      <c r="O107" s="157">
        <f t="shared" si="1"/>
        <v>0</v>
      </c>
      <c r="P107" s="157">
        <f t="shared" si="1"/>
        <v>0.92</v>
      </c>
      <c r="Q107" s="157">
        <f t="shared" si="1"/>
        <v>9.33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12.860312499999992</v>
      </c>
      <c r="C108" s="158">
        <f t="shared" ref="C108:Q108" si="2">AVERAGE(C9:C104)</f>
        <v>14.487708333333332</v>
      </c>
      <c r="D108" s="158">
        <f t="shared" si="2"/>
        <v>17.881979166666664</v>
      </c>
      <c r="E108" s="158">
        <f t="shared" si="2"/>
        <v>6.4071875</v>
      </c>
      <c r="F108" s="158">
        <f t="shared" si="2"/>
        <v>11.035520833333335</v>
      </c>
      <c r="G108" s="158">
        <f t="shared" si="2"/>
        <v>44.40750000000002</v>
      </c>
      <c r="H108" s="158">
        <f t="shared" si="2"/>
        <v>14.294062500000004</v>
      </c>
      <c r="I108" s="158">
        <f t="shared" si="2"/>
        <v>13.294791666666669</v>
      </c>
      <c r="J108" s="158">
        <f t="shared" si="2"/>
        <v>0.26322916666666674</v>
      </c>
      <c r="K108" s="158">
        <f t="shared" si="2"/>
        <v>155.63864583333336</v>
      </c>
      <c r="L108" s="158">
        <f t="shared" si="2"/>
        <v>16.37114583333334</v>
      </c>
      <c r="M108" s="158">
        <f t="shared" si="2"/>
        <v>20.653854166666672</v>
      </c>
      <c r="N108" s="158">
        <f t="shared" si="2"/>
        <v>107.73229166666671</v>
      </c>
      <c r="O108" s="158">
        <f t="shared" si="2"/>
        <v>0</v>
      </c>
      <c r="P108" s="158">
        <f t="shared" si="2"/>
        <v>0.75281249999999977</v>
      </c>
      <c r="Q108" s="158">
        <f t="shared" si="2"/>
        <v>9.3202083333333494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8.1260914995593527</v>
      </c>
      <c r="C109" s="158">
        <f t="shared" ref="C109:Q109" si="3">STDEV(C9:C104)</f>
        <v>1.7715271313736831</v>
      </c>
      <c r="D109" s="158">
        <f t="shared" si="3"/>
        <v>6.963881951263998</v>
      </c>
      <c r="E109" s="158">
        <f t="shared" si="3"/>
        <v>0.77065891578160173</v>
      </c>
      <c r="F109" s="158">
        <f t="shared" si="3"/>
        <v>29.301746485393977</v>
      </c>
      <c r="G109" s="158">
        <f t="shared" si="3"/>
        <v>10.86574830905762</v>
      </c>
      <c r="H109" s="158">
        <f t="shared" si="3"/>
        <v>3.02143381025249</v>
      </c>
      <c r="I109" s="158">
        <f t="shared" si="3"/>
        <v>1.8766818305142741</v>
      </c>
      <c r="J109" s="158">
        <f t="shared" si="3"/>
        <v>0.16803191922129854</v>
      </c>
      <c r="K109" s="158">
        <f t="shared" si="3"/>
        <v>75.495560212711467</v>
      </c>
      <c r="L109" s="158">
        <f t="shared" si="3"/>
        <v>3.5791695213721169</v>
      </c>
      <c r="M109" s="158">
        <f t="shared" si="3"/>
        <v>9.4670149099293415</v>
      </c>
      <c r="N109" s="158">
        <f t="shared" si="3"/>
        <v>175.85753893110049</v>
      </c>
      <c r="O109" s="158">
        <f t="shared" si="3"/>
        <v>0</v>
      </c>
      <c r="P109" s="158">
        <f t="shared" si="3"/>
        <v>0.14245740360579937</v>
      </c>
      <c r="Q109" s="158">
        <f t="shared" si="3"/>
        <v>2.0412414523192715E-3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4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2356</v>
      </c>
      <c r="B9" s="100">
        <v>11.46</v>
      </c>
      <c r="C9" s="100">
        <v>12.51</v>
      </c>
      <c r="D9" s="100">
        <v>15.73</v>
      </c>
      <c r="E9" s="100">
        <v>6.76</v>
      </c>
      <c r="F9" s="151" t="s">
        <v>8</v>
      </c>
      <c r="G9" s="100">
        <v>48.51</v>
      </c>
      <c r="H9" s="100">
        <v>15.97</v>
      </c>
      <c r="I9" s="100">
        <v>15.05</v>
      </c>
      <c r="J9" s="100">
        <v>0.13</v>
      </c>
      <c r="K9" s="100">
        <v>160.81</v>
      </c>
      <c r="L9" s="100">
        <v>15.24</v>
      </c>
      <c r="M9" s="100">
        <v>20.399999999999999</v>
      </c>
      <c r="N9" s="100">
        <v>1.5</v>
      </c>
      <c r="O9" s="100">
        <v>0</v>
      </c>
      <c r="P9" s="100">
        <v>0.87</v>
      </c>
      <c r="Q9" s="100">
        <v>9.32</v>
      </c>
      <c r="R9" s="6"/>
      <c r="S9" s="6"/>
      <c r="T9" s="156"/>
      <c r="U9" s="6"/>
    </row>
    <row r="10" spans="1:21" customFormat="1">
      <c r="A10" s="201" t="s">
        <v>2357</v>
      </c>
      <c r="B10" s="100">
        <v>11.61</v>
      </c>
      <c r="C10" s="100">
        <v>12.96</v>
      </c>
      <c r="D10" s="100">
        <v>16.079999999999998</v>
      </c>
      <c r="E10" s="100">
        <v>6.58</v>
      </c>
      <c r="F10" s="151" t="s">
        <v>8</v>
      </c>
      <c r="G10" s="100">
        <v>48.51</v>
      </c>
      <c r="H10" s="100">
        <v>15.97</v>
      </c>
      <c r="I10" s="100">
        <v>15.41</v>
      </c>
      <c r="J10" s="100">
        <v>0.11</v>
      </c>
      <c r="K10" s="100">
        <v>161.38</v>
      </c>
      <c r="L10" s="100">
        <v>14.2</v>
      </c>
      <c r="M10" s="100">
        <v>17.75</v>
      </c>
      <c r="N10" s="100">
        <v>1.6</v>
      </c>
      <c r="O10" s="100">
        <v>0</v>
      </c>
      <c r="P10" s="100">
        <v>0.89</v>
      </c>
      <c r="Q10" s="100">
        <v>9.32</v>
      </c>
      <c r="R10" s="6"/>
      <c r="S10" s="6"/>
      <c r="T10" s="156"/>
      <c r="U10" s="6"/>
    </row>
    <row r="11" spans="1:21" customFormat="1">
      <c r="A11" s="201" t="s">
        <v>2358</v>
      </c>
      <c r="B11" s="100">
        <v>11.79</v>
      </c>
      <c r="C11" s="100">
        <v>12.99</v>
      </c>
      <c r="D11" s="100">
        <v>16.239999999999998</v>
      </c>
      <c r="E11" s="100">
        <v>6.72</v>
      </c>
      <c r="F11" s="151" t="s">
        <v>8</v>
      </c>
      <c r="G11" s="100">
        <v>48.71</v>
      </c>
      <c r="H11" s="100">
        <v>16.09</v>
      </c>
      <c r="I11" s="100">
        <v>15.8</v>
      </c>
      <c r="J11" s="100">
        <v>0.19</v>
      </c>
      <c r="K11" s="100">
        <v>152.47999999999999</v>
      </c>
      <c r="L11" s="100">
        <v>14.3</v>
      </c>
      <c r="M11" s="100">
        <v>18.079999999999998</v>
      </c>
      <c r="N11" s="100">
        <v>1.5</v>
      </c>
      <c r="O11" s="100">
        <v>0</v>
      </c>
      <c r="P11" s="100">
        <v>0.91</v>
      </c>
      <c r="Q11" s="100">
        <v>9.32</v>
      </c>
      <c r="R11" s="6"/>
      <c r="S11" s="6"/>
      <c r="T11" s="156"/>
      <c r="U11" s="6"/>
    </row>
    <row r="12" spans="1:21" customFormat="1">
      <c r="A12" s="201" t="s">
        <v>2359</v>
      </c>
      <c r="B12" s="100">
        <v>11.98</v>
      </c>
      <c r="C12" s="100">
        <v>12.95</v>
      </c>
      <c r="D12" s="100">
        <v>16.37</v>
      </c>
      <c r="E12" s="100">
        <v>6.87</v>
      </c>
      <c r="F12" s="151" t="s">
        <v>8</v>
      </c>
      <c r="G12" s="100">
        <v>50.53</v>
      </c>
      <c r="H12" s="100">
        <v>16.14</v>
      </c>
      <c r="I12" s="100">
        <v>16.079999999999998</v>
      </c>
      <c r="J12" s="100">
        <v>0.22</v>
      </c>
      <c r="K12" s="100">
        <v>151</v>
      </c>
      <c r="L12" s="100">
        <v>14.18</v>
      </c>
      <c r="M12" s="100">
        <v>17.72</v>
      </c>
      <c r="N12" s="100">
        <v>1.5</v>
      </c>
      <c r="O12" s="100">
        <v>0</v>
      </c>
      <c r="P12" s="100">
        <v>0.91</v>
      </c>
      <c r="Q12" s="100">
        <v>9.32</v>
      </c>
      <c r="R12" s="6"/>
      <c r="S12" s="6"/>
      <c r="T12" s="156"/>
      <c r="U12" s="6"/>
    </row>
    <row r="13" spans="1:21" customFormat="1">
      <c r="A13" s="201" t="s">
        <v>2360</v>
      </c>
      <c r="B13" s="100">
        <v>12.15</v>
      </c>
      <c r="C13" s="100">
        <v>13.11</v>
      </c>
      <c r="D13" s="100">
        <v>16.600000000000001</v>
      </c>
      <c r="E13" s="100">
        <v>6.85</v>
      </c>
      <c r="F13" s="151" t="s">
        <v>8</v>
      </c>
      <c r="G13" s="100">
        <v>50.53</v>
      </c>
      <c r="H13" s="100">
        <v>16.14</v>
      </c>
      <c r="I13" s="100">
        <v>16.28</v>
      </c>
      <c r="J13" s="100">
        <v>0.18</v>
      </c>
      <c r="K13" s="100">
        <v>138.07</v>
      </c>
      <c r="L13" s="100">
        <v>12.8</v>
      </c>
      <c r="M13" s="100">
        <v>14.25</v>
      </c>
      <c r="N13" s="100">
        <v>1.7</v>
      </c>
      <c r="O13" s="100">
        <v>0</v>
      </c>
      <c r="P13" s="100">
        <v>0.92</v>
      </c>
      <c r="Q13" s="100">
        <v>9.32</v>
      </c>
      <c r="R13" s="6"/>
      <c r="S13" s="6"/>
      <c r="T13" s="156"/>
      <c r="U13" s="6"/>
    </row>
    <row r="14" spans="1:21" customFormat="1">
      <c r="A14" s="201" t="s">
        <v>2361</v>
      </c>
      <c r="B14" s="100">
        <v>12.8</v>
      </c>
      <c r="C14" s="100">
        <v>13.34</v>
      </c>
      <c r="D14" s="100">
        <v>17.239999999999998</v>
      </c>
      <c r="E14" s="100">
        <v>7.05</v>
      </c>
      <c r="F14" s="151" t="s">
        <v>8</v>
      </c>
      <c r="G14" s="100">
        <v>50.53</v>
      </c>
      <c r="H14" s="100">
        <v>16.14</v>
      </c>
      <c r="I14" s="100">
        <v>16.5</v>
      </c>
      <c r="J14" s="100">
        <v>0.14000000000000001</v>
      </c>
      <c r="K14" s="100">
        <v>131.44</v>
      </c>
      <c r="L14" s="100">
        <v>12.82</v>
      </c>
      <c r="M14" s="100">
        <v>14.39</v>
      </c>
      <c r="N14" s="100">
        <v>1.5</v>
      </c>
      <c r="O14" s="100">
        <v>0</v>
      </c>
      <c r="P14" s="100">
        <v>0.94</v>
      </c>
      <c r="Q14" s="100">
        <v>9.32</v>
      </c>
      <c r="R14" s="6"/>
      <c r="S14" s="6"/>
      <c r="T14" s="156"/>
      <c r="U14" s="6"/>
    </row>
    <row r="15" spans="1:21" customFormat="1">
      <c r="A15" s="201" t="s">
        <v>2362</v>
      </c>
      <c r="B15" s="100">
        <v>14.33</v>
      </c>
      <c r="C15" s="100">
        <v>13.66</v>
      </c>
      <c r="D15" s="100">
        <v>18.63</v>
      </c>
      <c r="E15" s="100">
        <v>6.81</v>
      </c>
      <c r="F15" s="151" t="s">
        <v>8</v>
      </c>
      <c r="G15" s="100">
        <v>50.66</v>
      </c>
      <c r="H15" s="100">
        <v>16.239999999999998</v>
      </c>
      <c r="I15" s="100">
        <v>16.7</v>
      </c>
      <c r="J15" s="100">
        <v>0.14000000000000001</v>
      </c>
      <c r="K15" s="100">
        <v>139.86000000000001</v>
      </c>
      <c r="L15" s="100">
        <v>13.08</v>
      </c>
      <c r="M15" s="100">
        <v>15.04</v>
      </c>
      <c r="N15" s="100">
        <v>1.5</v>
      </c>
      <c r="O15" s="100">
        <v>0</v>
      </c>
      <c r="P15" s="100">
        <v>0.95</v>
      </c>
      <c r="Q15" s="100">
        <v>9.32</v>
      </c>
      <c r="R15" s="6"/>
      <c r="S15" s="6"/>
      <c r="T15" s="156"/>
      <c r="U15" s="6"/>
    </row>
    <row r="16" spans="1:21" customFormat="1">
      <c r="A16" s="201" t="s">
        <v>2363</v>
      </c>
      <c r="B16" s="100">
        <v>15.69</v>
      </c>
      <c r="C16" s="100">
        <v>14.04</v>
      </c>
      <c r="D16" s="100">
        <v>19.920000000000002</v>
      </c>
      <c r="E16" s="100">
        <v>6.86</v>
      </c>
      <c r="F16" s="151" t="s">
        <v>8</v>
      </c>
      <c r="G16" s="100">
        <v>51.88</v>
      </c>
      <c r="H16" s="100">
        <v>16.96</v>
      </c>
      <c r="I16" s="100">
        <v>16.86</v>
      </c>
      <c r="J16" s="100">
        <v>0.12</v>
      </c>
      <c r="K16" s="100">
        <v>260.39</v>
      </c>
      <c r="L16" s="100">
        <v>20.059999999999999</v>
      </c>
      <c r="M16" s="100">
        <v>32.44</v>
      </c>
      <c r="N16" s="100">
        <v>1.6</v>
      </c>
      <c r="O16" s="100">
        <v>0</v>
      </c>
      <c r="P16" s="100">
        <v>0.95</v>
      </c>
      <c r="Q16" s="100">
        <v>9.32</v>
      </c>
      <c r="R16" s="6"/>
      <c r="S16" s="6"/>
      <c r="T16" s="156"/>
      <c r="U16" s="6"/>
    </row>
    <row r="17" spans="1:21" customFormat="1">
      <c r="A17" s="201" t="s">
        <v>2364</v>
      </c>
      <c r="B17" s="100">
        <v>16.66</v>
      </c>
      <c r="C17" s="100">
        <v>14.43</v>
      </c>
      <c r="D17" s="100">
        <v>20.9</v>
      </c>
      <c r="E17" s="100">
        <v>4.59</v>
      </c>
      <c r="F17" s="151" t="s">
        <v>8</v>
      </c>
      <c r="G17" s="100">
        <v>51.88</v>
      </c>
      <c r="H17" s="100">
        <v>16.96</v>
      </c>
      <c r="I17" s="100">
        <v>17.059999999999999</v>
      </c>
      <c r="J17" s="100">
        <v>0.17</v>
      </c>
      <c r="K17" s="100">
        <v>228.09</v>
      </c>
      <c r="L17" s="100">
        <v>17.16</v>
      </c>
      <c r="M17" s="100">
        <v>25.9</v>
      </c>
      <c r="N17" s="100">
        <v>1.6</v>
      </c>
      <c r="O17" s="100">
        <v>0</v>
      </c>
      <c r="P17" s="100">
        <v>0.97</v>
      </c>
      <c r="Q17" s="100">
        <v>9.32</v>
      </c>
      <c r="R17" s="6"/>
      <c r="S17" s="6"/>
      <c r="T17" s="156"/>
      <c r="U17" s="6"/>
    </row>
    <row r="18" spans="1:21" customFormat="1">
      <c r="A18" s="201" t="s">
        <v>2365</v>
      </c>
      <c r="B18" s="100">
        <v>16.91</v>
      </c>
      <c r="C18" s="100">
        <v>14.68</v>
      </c>
      <c r="D18" s="100">
        <v>21.23</v>
      </c>
      <c r="E18" s="100">
        <v>5.6</v>
      </c>
      <c r="F18" s="151" t="s">
        <v>8</v>
      </c>
      <c r="G18" s="100">
        <v>51.88</v>
      </c>
      <c r="H18" s="100">
        <v>16.96</v>
      </c>
      <c r="I18" s="100">
        <v>17.260000000000002</v>
      </c>
      <c r="J18" s="100">
        <v>0.21</v>
      </c>
      <c r="K18" s="100">
        <v>173.55</v>
      </c>
      <c r="L18" s="100">
        <v>16.329999999999998</v>
      </c>
      <c r="M18" s="100">
        <v>23.24</v>
      </c>
      <c r="N18" s="100">
        <v>1.9</v>
      </c>
      <c r="O18" s="100">
        <v>0</v>
      </c>
      <c r="P18" s="100">
        <v>0.97</v>
      </c>
      <c r="Q18" s="100">
        <v>9.32</v>
      </c>
      <c r="R18" s="6"/>
      <c r="S18" s="6"/>
      <c r="T18" s="156"/>
      <c r="U18" s="6"/>
    </row>
    <row r="19" spans="1:21" customFormat="1">
      <c r="A19" s="201" t="s">
        <v>2366</v>
      </c>
      <c r="B19" s="100">
        <v>16.61</v>
      </c>
      <c r="C19" s="100">
        <v>14.53</v>
      </c>
      <c r="D19" s="100">
        <v>20.91</v>
      </c>
      <c r="E19" s="100">
        <v>5.68</v>
      </c>
      <c r="F19" s="151" t="s">
        <v>8</v>
      </c>
      <c r="G19" s="100">
        <v>52.27</v>
      </c>
      <c r="H19" s="100">
        <v>17.04</v>
      </c>
      <c r="I19" s="100">
        <v>17.46</v>
      </c>
      <c r="J19" s="100">
        <v>0.16</v>
      </c>
      <c r="K19" s="100">
        <v>124.6</v>
      </c>
      <c r="L19" s="100">
        <v>12.65</v>
      </c>
      <c r="M19" s="100">
        <v>13.99</v>
      </c>
      <c r="N19" s="100">
        <v>1.9</v>
      </c>
      <c r="O19" s="100">
        <v>0</v>
      </c>
      <c r="P19" s="100">
        <v>0.98</v>
      </c>
      <c r="Q19" s="100">
        <v>9.32</v>
      </c>
      <c r="R19" s="6"/>
      <c r="S19" s="6"/>
      <c r="T19" s="156"/>
      <c r="U19" s="6"/>
    </row>
    <row r="20" spans="1:21" customFormat="1">
      <c r="A20" s="201" t="s">
        <v>2367</v>
      </c>
      <c r="B20" s="100">
        <v>16.2</v>
      </c>
      <c r="C20" s="100">
        <v>14.33</v>
      </c>
      <c r="D20" s="100">
        <v>20.48</v>
      </c>
      <c r="E20" s="100">
        <v>5.53</v>
      </c>
      <c r="F20" s="151" t="s">
        <v>8</v>
      </c>
      <c r="G20" s="100">
        <v>55.78</v>
      </c>
      <c r="H20" s="100">
        <v>17.68</v>
      </c>
      <c r="I20" s="100">
        <v>17.579999999999998</v>
      </c>
      <c r="J20" s="100">
        <v>0.13</v>
      </c>
      <c r="K20" s="100">
        <v>149.78</v>
      </c>
      <c r="L20" s="100">
        <v>14.27</v>
      </c>
      <c r="M20" s="100">
        <v>18.11</v>
      </c>
      <c r="N20" s="100">
        <v>1.8</v>
      </c>
      <c r="O20" s="100">
        <v>0</v>
      </c>
      <c r="P20" s="100">
        <v>0.98</v>
      </c>
      <c r="Q20" s="100">
        <v>9.32</v>
      </c>
      <c r="R20" s="6"/>
      <c r="S20" s="6"/>
      <c r="T20" s="156"/>
      <c r="U20" s="6"/>
    </row>
    <row r="21" spans="1:21" customFormat="1">
      <c r="A21" s="201" t="s">
        <v>2368</v>
      </c>
      <c r="B21" s="100">
        <v>15.73</v>
      </c>
      <c r="C21" s="100">
        <v>14.15</v>
      </c>
      <c r="D21" s="100">
        <v>20.010000000000002</v>
      </c>
      <c r="E21" s="100">
        <v>5.53</v>
      </c>
      <c r="F21" s="151" t="s">
        <v>8</v>
      </c>
      <c r="G21" s="100">
        <v>55.78</v>
      </c>
      <c r="H21" s="100">
        <v>17.68</v>
      </c>
      <c r="I21" s="100">
        <v>17.57</v>
      </c>
      <c r="J21" s="100">
        <v>0.13</v>
      </c>
      <c r="K21" s="100">
        <v>187.75</v>
      </c>
      <c r="L21" s="100">
        <v>16.66</v>
      </c>
      <c r="M21" s="100">
        <v>24.09</v>
      </c>
      <c r="N21" s="100">
        <v>1.7</v>
      </c>
      <c r="O21" s="100">
        <v>0</v>
      </c>
      <c r="P21" s="100">
        <v>0.97</v>
      </c>
      <c r="Q21" s="100">
        <v>9.32</v>
      </c>
      <c r="R21" s="6"/>
      <c r="S21" s="6"/>
      <c r="T21" s="156"/>
      <c r="U21" s="6"/>
    </row>
    <row r="22" spans="1:21" customFormat="1">
      <c r="A22" s="201" t="s">
        <v>2369</v>
      </c>
      <c r="B22" s="100">
        <v>15.21</v>
      </c>
      <c r="C22" s="100">
        <v>13.9</v>
      </c>
      <c r="D22" s="100">
        <v>19.46</v>
      </c>
      <c r="E22" s="100">
        <v>5.53</v>
      </c>
      <c r="F22" s="151" t="s">
        <v>8</v>
      </c>
      <c r="G22" s="100">
        <v>55.78</v>
      </c>
      <c r="H22" s="100">
        <v>17.68</v>
      </c>
      <c r="I22" s="100">
        <v>17.52</v>
      </c>
      <c r="J22" s="100">
        <v>0.22</v>
      </c>
      <c r="K22" s="100">
        <v>197.44</v>
      </c>
      <c r="L22" s="100">
        <v>17.899999999999999</v>
      </c>
      <c r="M22" s="100">
        <v>27.18</v>
      </c>
      <c r="N22" s="100">
        <v>1.5</v>
      </c>
      <c r="O22" s="100">
        <v>0</v>
      </c>
      <c r="P22" s="100">
        <v>0.96</v>
      </c>
      <c r="Q22" s="100">
        <v>9.32</v>
      </c>
      <c r="R22" s="6"/>
      <c r="S22" s="6"/>
      <c r="T22" s="156"/>
      <c r="U22" s="6"/>
    </row>
    <row r="23" spans="1:21" customFormat="1">
      <c r="A23" s="201" t="s">
        <v>2370</v>
      </c>
      <c r="B23" s="100">
        <v>14.71</v>
      </c>
      <c r="C23" s="100">
        <v>13.76</v>
      </c>
      <c r="D23" s="100">
        <v>18.98</v>
      </c>
      <c r="E23" s="100">
        <v>5.69</v>
      </c>
      <c r="F23" s="151" t="s">
        <v>8</v>
      </c>
      <c r="G23" s="100">
        <v>55.1</v>
      </c>
      <c r="H23" s="100">
        <v>17.59</v>
      </c>
      <c r="I23" s="100">
        <v>17.37</v>
      </c>
      <c r="J23" s="100">
        <v>0.12</v>
      </c>
      <c r="K23" s="100">
        <v>173.12</v>
      </c>
      <c r="L23" s="100">
        <v>16.2</v>
      </c>
      <c r="M23" s="100">
        <v>22.92</v>
      </c>
      <c r="N23" s="100">
        <v>1.7</v>
      </c>
      <c r="O23" s="100">
        <v>0</v>
      </c>
      <c r="P23" s="100">
        <v>0.95</v>
      </c>
      <c r="Q23" s="100">
        <v>9.32</v>
      </c>
      <c r="R23" s="6"/>
      <c r="S23" s="6"/>
      <c r="T23" s="156"/>
      <c r="U23" s="6"/>
    </row>
    <row r="24" spans="1:21" customFormat="1">
      <c r="A24" s="201" t="s">
        <v>2371</v>
      </c>
      <c r="B24" s="100">
        <v>14.24</v>
      </c>
      <c r="C24" s="100">
        <v>13.61</v>
      </c>
      <c r="D24" s="100">
        <v>18.53</v>
      </c>
      <c r="E24" s="100">
        <v>5.73</v>
      </c>
      <c r="F24" s="151" t="s">
        <v>8</v>
      </c>
      <c r="G24" s="100">
        <v>48.9</v>
      </c>
      <c r="H24" s="100">
        <v>16.850000000000001</v>
      </c>
      <c r="I24" s="100">
        <v>17.22</v>
      </c>
      <c r="J24" s="100">
        <v>0.16</v>
      </c>
      <c r="K24" s="100">
        <v>178.11</v>
      </c>
      <c r="L24" s="100">
        <v>16.68</v>
      </c>
      <c r="M24" s="100">
        <v>24.16</v>
      </c>
      <c r="N24" s="100">
        <v>1.6</v>
      </c>
      <c r="O24" s="100">
        <v>0</v>
      </c>
      <c r="P24" s="100">
        <v>0.94</v>
      </c>
      <c r="Q24" s="100">
        <v>9.32</v>
      </c>
      <c r="R24" s="6"/>
      <c r="S24" s="6"/>
      <c r="T24" s="156"/>
      <c r="U24" s="6"/>
    </row>
    <row r="25" spans="1:21" customFormat="1">
      <c r="A25" s="201" t="s">
        <v>2372</v>
      </c>
      <c r="B25" s="100">
        <v>13.8</v>
      </c>
      <c r="C25" s="100">
        <v>13.39</v>
      </c>
      <c r="D25" s="100">
        <v>18.059999999999999</v>
      </c>
      <c r="E25" s="100">
        <v>5.45</v>
      </c>
      <c r="F25" s="151" t="s">
        <v>8</v>
      </c>
      <c r="G25" s="100">
        <v>48.9</v>
      </c>
      <c r="H25" s="100">
        <v>16.850000000000001</v>
      </c>
      <c r="I25" s="100">
        <v>17.12</v>
      </c>
      <c r="J25" s="100">
        <v>0.14000000000000001</v>
      </c>
      <c r="K25" s="100">
        <v>172.85</v>
      </c>
      <c r="L25" s="100">
        <v>15.85</v>
      </c>
      <c r="M25" s="100">
        <v>22.08</v>
      </c>
      <c r="N25" s="100">
        <v>1.5</v>
      </c>
      <c r="O25" s="100">
        <v>0</v>
      </c>
      <c r="P25" s="100">
        <v>0.92</v>
      </c>
      <c r="Q25" s="100">
        <v>9.32</v>
      </c>
      <c r="R25" s="6"/>
      <c r="S25" s="6"/>
      <c r="T25" s="156"/>
      <c r="U25" s="6"/>
    </row>
    <row r="26" spans="1:21" customFormat="1">
      <c r="A26" s="201" t="s">
        <v>2373</v>
      </c>
      <c r="B26" s="100">
        <v>13.37</v>
      </c>
      <c r="C26" s="100">
        <v>13.2</v>
      </c>
      <c r="D26" s="100">
        <v>17.62</v>
      </c>
      <c r="E26" s="100">
        <v>5.17</v>
      </c>
      <c r="F26" s="151" t="s">
        <v>8</v>
      </c>
      <c r="G26" s="100">
        <v>48.9</v>
      </c>
      <c r="H26" s="100">
        <v>16.850000000000001</v>
      </c>
      <c r="I26" s="100">
        <v>17.010000000000002</v>
      </c>
      <c r="J26" s="100">
        <v>0.14000000000000001</v>
      </c>
      <c r="K26" s="100">
        <v>196.79</v>
      </c>
      <c r="L26" s="100">
        <v>17.43</v>
      </c>
      <c r="M26" s="100">
        <v>26.04</v>
      </c>
      <c r="N26" s="100">
        <v>1.5</v>
      </c>
      <c r="O26" s="100">
        <v>0</v>
      </c>
      <c r="P26" s="100">
        <v>0.92</v>
      </c>
      <c r="Q26" s="100">
        <v>9.32</v>
      </c>
      <c r="R26" s="6"/>
      <c r="S26" s="6"/>
      <c r="T26" s="156"/>
      <c r="U26" s="6"/>
    </row>
    <row r="27" spans="1:21" customFormat="1">
      <c r="A27" s="201" t="s">
        <v>2374</v>
      </c>
      <c r="B27" s="100">
        <v>13.02</v>
      </c>
      <c r="C27" s="100">
        <v>12.97</v>
      </c>
      <c r="D27" s="100">
        <v>17.22</v>
      </c>
      <c r="E27" s="100">
        <v>5.63</v>
      </c>
      <c r="F27" s="151" t="s">
        <v>8</v>
      </c>
      <c r="G27" s="100">
        <v>48.73</v>
      </c>
      <c r="H27" s="100">
        <v>16.84</v>
      </c>
      <c r="I27" s="100">
        <v>16.829999999999998</v>
      </c>
      <c r="J27" s="100">
        <v>0.12</v>
      </c>
      <c r="K27" s="100">
        <v>206.34</v>
      </c>
      <c r="L27" s="100">
        <v>18.41</v>
      </c>
      <c r="M27" s="100">
        <v>28.47</v>
      </c>
      <c r="N27" s="100">
        <v>1.6</v>
      </c>
      <c r="O27" s="100">
        <v>0</v>
      </c>
      <c r="P27" s="100">
        <v>0.91</v>
      </c>
      <c r="Q27" s="100">
        <v>9.32</v>
      </c>
      <c r="R27" s="6"/>
      <c r="S27" s="6"/>
      <c r="T27" s="156"/>
      <c r="U27" s="6"/>
    </row>
    <row r="28" spans="1:21" customFormat="1">
      <c r="A28" s="201" t="s">
        <v>2375</v>
      </c>
      <c r="B28" s="100">
        <v>12.8</v>
      </c>
      <c r="C28" s="100">
        <v>12.73</v>
      </c>
      <c r="D28" s="100">
        <v>16.91</v>
      </c>
      <c r="E28" s="100">
        <v>5.49</v>
      </c>
      <c r="F28" s="151" t="s">
        <v>8</v>
      </c>
      <c r="G28" s="100">
        <v>46.92</v>
      </c>
      <c r="H28" s="100">
        <v>16.73</v>
      </c>
      <c r="I28" s="100">
        <v>16.7</v>
      </c>
      <c r="J28" s="100">
        <v>0.19</v>
      </c>
      <c r="K28" s="100">
        <v>233.03</v>
      </c>
      <c r="L28" s="100">
        <v>20.29</v>
      </c>
      <c r="M28" s="100">
        <v>33.15</v>
      </c>
      <c r="N28" s="100">
        <v>1.7</v>
      </c>
      <c r="O28" s="100">
        <v>0</v>
      </c>
      <c r="P28" s="100">
        <v>0.89</v>
      </c>
      <c r="Q28" s="100">
        <v>9.32</v>
      </c>
      <c r="R28" s="6"/>
      <c r="S28" s="6"/>
      <c r="T28" s="156"/>
      <c r="U28" s="6"/>
    </row>
    <row r="29" spans="1:21" customFormat="1">
      <c r="A29" s="201" t="s">
        <v>2376</v>
      </c>
      <c r="B29" s="100">
        <v>12.58</v>
      </c>
      <c r="C29" s="100">
        <v>12.4</v>
      </c>
      <c r="D29" s="100">
        <v>16.559999999999999</v>
      </c>
      <c r="E29" s="100">
        <v>5.35</v>
      </c>
      <c r="F29" s="151" t="s">
        <v>8</v>
      </c>
      <c r="G29" s="100">
        <v>46.92</v>
      </c>
      <c r="H29" s="100">
        <v>16.73</v>
      </c>
      <c r="I29" s="100">
        <v>16.66</v>
      </c>
      <c r="J29" s="100">
        <v>0.1</v>
      </c>
      <c r="K29" s="100">
        <v>201.2</v>
      </c>
      <c r="L29" s="100">
        <v>18.91</v>
      </c>
      <c r="M29" s="100">
        <v>29.73</v>
      </c>
      <c r="N29" s="100">
        <v>1.6</v>
      </c>
      <c r="O29" s="100">
        <v>0</v>
      </c>
      <c r="P29" s="100">
        <v>0.88</v>
      </c>
      <c r="Q29" s="100">
        <v>9.32</v>
      </c>
      <c r="R29" s="6"/>
      <c r="S29" s="6"/>
      <c r="T29" s="156"/>
      <c r="U29" s="6"/>
    </row>
    <row r="30" spans="1:21" customFormat="1">
      <c r="A30" s="201" t="s">
        <v>2377</v>
      </c>
      <c r="B30" s="100">
        <v>12.35</v>
      </c>
      <c r="C30" s="100">
        <v>12.26</v>
      </c>
      <c r="D30" s="100">
        <v>16.309999999999999</v>
      </c>
      <c r="E30" s="100">
        <v>5.37</v>
      </c>
      <c r="F30" s="151" t="s">
        <v>8</v>
      </c>
      <c r="G30" s="100">
        <v>46.92</v>
      </c>
      <c r="H30" s="100">
        <v>16.73</v>
      </c>
      <c r="I30" s="100">
        <v>16.53</v>
      </c>
      <c r="J30" s="100">
        <v>0.18</v>
      </c>
      <c r="K30" s="100">
        <v>162.9</v>
      </c>
      <c r="L30" s="100">
        <v>15.85</v>
      </c>
      <c r="M30" s="100">
        <v>22.07</v>
      </c>
      <c r="N30" s="100">
        <v>1.7</v>
      </c>
      <c r="O30" s="100">
        <v>0</v>
      </c>
      <c r="P30" s="100">
        <v>0.87</v>
      </c>
      <c r="Q30" s="100">
        <v>9.32</v>
      </c>
      <c r="R30" s="6"/>
      <c r="S30" s="6"/>
      <c r="T30" s="156"/>
      <c r="U30" s="6"/>
    </row>
    <row r="31" spans="1:21" customFormat="1">
      <c r="A31" s="201" t="s">
        <v>2378</v>
      </c>
      <c r="B31" s="100">
        <v>12.37</v>
      </c>
      <c r="C31" s="100">
        <v>12.14</v>
      </c>
      <c r="D31" s="100">
        <v>16.260000000000002</v>
      </c>
      <c r="E31" s="100">
        <v>5.32</v>
      </c>
      <c r="F31" s="151" t="s">
        <v>8</v>
      </c>
      <c r="G31" s="100">
        <v>46.55</v>
      </c>
      <c r="H31" s="100">
        <v>16.64</v>
      </c>
      <c r="I31" s="100">
        <v>16.43</v>
      </c>
      <c r="J31" s="100">
        <v>0.17</v>
      </c>
      <c r="K31" s="100">
        <v>145.88</v>
      </c>
      <c r="L31" s="100">
        <v>13.73</v>
      </c>
      <c r="M31" s="100">
        <v>16.760000000000002</v>
      </c>
      <c r="N31" s="100">
        <v>1.5</v>
      </c>
      <c r="O31" s="100">
        <v>0</v>
      </c>
      <c r="P31" s="100">
        <v>0.86</v>
      </c>
      <c r="Q31" s="100">
        <v>9.32</v>
      </c>
      <c r="R31" s="6"/>
      <c r="S31" s="6"/>
      <c r="T31" s="156"/>
      <c r="U31" s="6"/>
    </row>
    <row r="32" spans="1:21" customFormat="1">
      <c r="A32" s="201" t="s">
        <v>2379</v>
      </c>
      <c r="B32" s="100">
        <v>13.12</v>
      </c>
      <c r="C32" s="100">
        <v>12.45</v>
      </c>
      <c r="D32" s="100">
        <v>17.02</v>
      </c>
      <c r="E32" s="100">
        <v>5.18</v>
      </c>
      <c r="F32" s="151" t="s">
        <v>8</v>
      </c>
      <c r="G32" s="100">
        <v>43.15</v>
      </c>
      <c r="H32" s="100">
        <v>15.94</v>
      </c>
      <c r="I32" s="100">
        <v>16.34</v>
      </c>
      <c r="J32" s="100">
        <v>0.17</v>
      </c>
      <c r="K32" s="100">
        <v>148.91</v>
      </c>
      <c r="L32" s="100">
        <v>13.85</v>
      </c>
      <c r="M32" s="100">
        <v>17.100000000000001</v>
      </c>
      <c r="N32" s="100">
        <v>1.4</v>
      </c>
      <c r="O32" s="100">
        <v>0</v>
      </c>
      <c r="P32" s="100">
        <v>0.86</v>
      </c>
      <c r="Q32" s="100">
        <v>9.32</v>
      </c>
      <c r="R32" s="6"/>
      <c r="S32" s="6"/>
      <c r="T32" s="156"/>
      <c r="U32" s="6"/>
    </row>
    <row r="33" spans="1:21" customFormat="1">
      <c r="A33" s="201" t="s">
        <v>2380</v>
      </c>
      <c r="B33" s="100">
        <v>14.76</v>
      </c>
      <c r="C33" s="100">
        <v>12.89</v>
      </c>
      <c r="D33" s="100">
        <v>18.57</v>
      </c>
      <c r="E33" s="100">
        <v>5.17</v>
      </c>
      <c r="F33" s="151" t="s">
        <v>8</v>
      </c>
      <c r="G33" s="100">
        <v>43.15</v>
      </c>
      <c r="H33" s="100">
        <v>15.94</v>
      </c>
      <c r="I33" s="100">
        <v>16.25</v>
      </c>
      <c r="J33" s="100">
        <v>0.19</v>
      </c>
      <c r="K33" s="100">
        <v>159.38999999999999</v>
      </c>
      <c r="L33" s="100">
        <v>14.75</v>
      </c>
      <c r="M33" s="100">
        <v>19.32</v>
      </c>
      <c r="N33" s="100">
        <v>2.1</v>
      </c>
      <c r="O33" s="100">
        <v>0</v>
      </c>
      <c r="P33" s="100">
        <v>0.85</v>
      </c>
      <c r="Q33" s="100">
        <v>9.32</v>
      </c>
      <c r="R33" s="6"/>
      <c r="S33" s="6"/>
      <c r="T33" s="156"/>
      <c r="U33" s="6"/>
    </row>
    <row r="34" spans="1:21" customFormat="1">
      <c r="A34" s="201" t="s">
        <v>2381</v>
      </c>
      <c r="B34" s="100">
        <v>16.72</v>
      </c>
      <c r="C34" s="100">
        <v>13.26</v>
      </c>
      <c r="D34" s="100">
        <v>20.34</v>
      </c>
      <c r="E34" s="100">
        <v>5.57</v>
      </c>
      <c r="F34" s="151" t="s">
        <v>8</v>
      </c>
      <c r="G34" s="100">
        <v>43.15</v>
      </c>
      <c r="H34" s="100">
        <v>15.94</v>
      </c>
      <c r="I34" s="100">
        <v>16.239999999999998</v>
      </c>
      <c r="J34" s="100">
        <v>0.13</v>
      </c>
      <c r="K34" s="100">
        <v>165.32</v>
      </c>
      <c r="L34" s="100">
        <v>15.36</v>
      </c>
      <c r="M34" s="100">
        <v>20.75</v>
      </c>
      <c r="N34" s="100">
        <v>5.8</v>
      </c>
      <c r="O34" s="100">
        <v>0</v>
      </c>
      <c r="P34" s="100">
        <v>0.86</v>
      </c>
      <c r="Q34" s="100">
        <v>9.32</v>
      </c>
      <c r="R34" s="6"/>
      <c r="S34" s="6"/>
      <c r="T34" s="156"/>
      <c r="U34" s="6"/>
    </row>
    <row r="35" spans="1:21" customFormat="1">
      <c r="A35" s="201" t="s">
        <v>2382</v>
      </c>
      <c r="B35" s="100">
        <v>18.649999999999999</v>
      </c>
      <c r="C35" s="100">
        <v>13.55</v>
      </c>
      <c r="D35" s="100">
        <v>22.04</v>
      </c>
      <c r="E35" s="100">
        <v>5.38</v>
      </c>
      <c r="F35" s="151" t="s">
        <v>8</v>
      </c>
      <c r="G35" s="100">
        <v>43.37</v>
      </c>
      <c r="H35" s="100">
        <v>16.03</v>
      </c>
      <c r="I35" s="100">
        <v>16.25</v>
      </c>
      <c r="J35" s="100">
        <v>0.14000000000000001</v>
      </c>
      <c r="K35" s="100">
        <v>110.69</v>
      </c>
      <c r="L35" s="100">
        <v>13.33</v>
      </c>
      <c r="M35" s="100">
        <v>15.42</v>
      </c>
      <c r="N35" s="100">
        <v>13.9</v>
      </c>
      <c r="O35" s="100">
        <v>0</v>
      </c>
      <c r="P35" s="100">
        <v>0.88</v>
      </c>
      <c r="Q35" s="100">
        <v>9.32</v>
      </c>
      <c r="R35" s="6"/>
      <c r="S35" s="6"/>
      <c r="T35" s="156"/>
      <c r="U35" s="6"/>
    </row>
    <row r="36" spans="1:21" customFormat="1">
      <c r="A36" s="201" t="s">
        <v>2383</v>
      </c>
      <c r="B36" s="100">
        <v>20.440000000000001</v>
      </c>
      <c r="C36" s="100">
        <v>13.74</v>
      </c>
      <c r="D36" s="100">
        <v>23.57</v>
      </c>
      <c r="E36" s="100">
        <v>5.57</v>
      </c>
      <c r="F36" s="151" t="s">
        <v>8</v>
      </c>
      <c r="G36" s="100">
        <v>45.29</v>
      </c>
      <c r="H36" s="100">
        <v>16.2</v>
      </c>
      <c r="I36" s="100">
        <v>16.34</v>
      </c>
      <c r="J36" s="100">
        <v>0.52</v>
      </c>
      <c r="K36" s="100">
        <v>55.54</v>
      </c>
      <c r="L36" s="100">
        <v>8.19</v>
      </c>
      <c r="M36" s="100">
        <v>2.0299999999999998</v>
      </c>
      <c r="N36" s="100">
        <v>24.6</v>
      </c>
      <c r="O36" s="100">
        <v>0</v>
      </c>
      <c r="P36" s="100">
        <v>0.9</v>
      </c>
      <c r="Q36" s="100">
        <v>9.32</v>
      </c>
      <c r="R36" s="6"/>
      <c r="S36" s="6"/>
      <c r="T36" s="156"/>
      <c r="U36" s="6"/>
    </row>
    <row r="37" spans="1:21" customFormat="1">
      <c r="A37" s="201" t="s">
        <v>2384</v>
      </c>
      <c r="B37" s="100">
        <v>21.6</v>
      </c>
      <c r="C37" s="100">
        <v>13.99</v>
      </c>
      <c r="D37" s="100">
        <v>24.64</v>
      </c>
      <c r="E37" s="100">
        <v>5.18</v>
      </c>
      <c r="F37" s="151" t="s">
        <v>8</v>
      </c>
      <c r="G37" s="100">
        <v>45.29</v>
      </c>
      <c r="H37" s="100">
        <v>16.2</v>
      </c>
      <c r="I37" s="100">
        <v>16.559999999999999</v>
      </c>
      <c r="J37" s="100">
        <v>0.19</v>
      </c>
      <c r="K37" s="100">
        <v>55.18</v>
      </c>
      <c r="L37" s="100">
        <v>13.81</v>
      </c>
      <c r="M37" s="100">
        <v>15.82</v>
      </c>
      <c r="N37" s="100">
        <v>37.200000000000003</v>
      </c>
      <c r="O37" s="100">
        <v>0</v>
      </c>
      <c r="P37" s="100">
        <v>0.92</v>
      </c>
      <c r="Q37" s="100">
        <v>9.32</v>
      </c>
      <c r="R37" s="6"/>
      <c r="S37" s="6"/>
      <c r="T37" s="156"/>
      <c r="U37" s="6"/>
    </row>
    <row r="38" spans="1:21" customFormat="1">
      <c r="A38" s="201" t="s">
        <v>2385</v>
      </c>
      <c r="B38" s="100">
        <v>22.34</v>
      </c>
      <c r="C38" s="100">
        <v>14.38</v>
      </c>
      <c r="D38" s="100">
        <v>25.43</v>
      </c>
      <c r="E38" s="100">
        <v>5.5</v>
      </c>
      <c r="F38" s="151" t="s">
        <v>8</v>
      </c>
      <c r="G38" s="100">
        <v>45.29</v>
      </c>
      <c r="H38" s="100">
        <v>16.2</v>
      </c>
      <c r="I38" s="100">
        <v>16.77</v>
      </c>
      <c r="J38" s="100">
        <v>0.34</v>
      </c>
      <c r="K38" s="100">
        <v>34.22</v>
      </c>
      <c r="L38" s="100">
        <v>9.2200000000000006</v>
      </c>
      <c r="M38" s="100">
        <v>3.85</v>
      </c>
      <c r="N38" s="100">
        <v>50.5</v>
      </c>
      <c r="O38" s="100">
        <v>0</v>
      </c>
      <c r="P38" s="100">
        <v>0.94</v>
      </c>
      <c r="Q38" s="100">
        <v>9.32</v>
      </c>
      <c r="R38" s="6"/>
      <c r="S38" s="6"/>
      <c r="T38" s="156"/>
      <c r="U38" s="6"/>
    </row>
    <row r="39" spans="1:21" customFormat="1">
      <c r="A39" s="201" t="s">
        <v>2386</v>
      </c>
      <c r="B39" s="100">
        <v>23.04</v>
      </c>
      <c r="C39" s="100">
        <v>14.91</v>
      </c>
      <c r="D39" s="100">
        <v>26.27</v>
      </c>
      <c r="E39" s="100">
        <v>5.54</v>
      </c>
      <c r="F39" s="151" t="s">
        <v>8</v>
      </c>
      <c r="G39" s="100">
        <v>49.63</v>
      </c>
      <c r="H39" s="100">
        <v>16.579999999999998</v>
      </c>
      <c r="I39" s="100">
        <v>17.02</v>
      </c>
      <c r="J39" s="100">
        <v>0.18</v>
      </c>
      <c r="K39" s="100">
        <v>50.6</v>
      </c>
      <c r="L39" s="100">
        <v>12.67</v>
      </c>
      <c r="M39" s="100">
        <v>12.32</v>
      </c>
      <c r="N39" s="100">
        <v>63.7</v>
      </c>
      <c r="O39" s="100">
        <v>0</v>
      </c>
      <c r="P39" s="100">
        <v>0.96</v>
      </c>
      <c r="Q39" s="100">
        <v>9.32</v>
      </c>
      <c r="R39" s="6"/>
      <c r="S39" s="6"/>
      <c r="T39" s="156"/>
      <c r="U39" s="6"/>
    </row>
    <row r="40" spans="1:21" customFormat="1">
      <c r="A40" s="201" t="s">
        <v>2387</v>
      </c>
      <c r="B40" s="100">
        <v>23.28</v>
      </c>
      <c r="C40" s="100">
        <v>15.69</v>
      </c>
      <c r="D40" s="100">
        <v>26.87</v>
      </c>
      <c r="E40" s="100">
        <v>5.61</v>
      </c>
      <c r="F40" s="151" t="s">
        <v>8</v>
      </c>
      <c r="G40" s="100">
        <v>88.63</v>
      </c>
      <c r="H40" s="100">
        <v>19.36</v>
      </c>
      <c r="I40" s="100">
        <v>17.23</v>
      </c>
      <c r="J40" s="100">
        <v>0.22</v>
      </c>
      <c r="K40" s="100">
        <v>71.760000000000005</v>
      </c>
      <c r="L40" s="100">
        <v>11.3</v>
      </c>
      <c r="M40" s="100">
        <v>7.63</v>
      </c>
      <c r="N40" s="100">
        <v>120.8</v>
      </c>
      <c r="O40" s="100">
        <v>0</v>
      </c>
      <c r="P40" s="100">
        <v>0.97</v>
      </c>
      <c r="Q40" s="100">
        <v>9.32</v>
      </c>
      <c r="R40" s="6"/>
      <c r="S40" s="6"/>
      <c r="T40" s="156"/>
      <c r="U40" s="6"/>
    </row>
    <row r="41" spans="1:21" customFormat="1">
      <c r="A41" s="201" t="s">
        <v>2388</v>
      </c>
      <c r="B41" s="100">
        <v>22.94</v>
      </c>
      <c r="C41" s="100">
        <v>16.100000000000001</v>
      </c>
      <c r="D41" s="100">
        <v>26.8</v>
      </c>
      <c r="E41" s="100">
        <v>5.77</v>
      </c>
      <c r="F41" s="151" t="s">
        <v>8</v>
      </c>
      <c r="G41" s="100">
        <v>88.63</v>
      </c>
      <c r="H41" s="100">
        <v>19.36</v>
      </c>
      <c r="I41" s="100">
        <v>17.440000000000001</v>
      </c>
      <c r="J41" s="100">
        <v>0.27</v>
      </c>
      <c r="K41" s="100">
        <v>149.66</v>
      </c>
      <c r="L41" s="100">
        <v>14.97</v>
      </c>
      <c r="M41" s="100">
        <v>15.85</v>
      </c>
      <c r="N41" s="100">
        <v>167.4</v>
      </c>
      <c r="O41" s="100">
        <v>0</v>
      </c>
      <c r="P41" s="100">
        <v>0.96</v>
      </c>
      <c r="Q41" s="100">
        <v>9.32</v>
      </c>
      <c r="R41" s="6"/>
      <c r="S41" s="6"/>
      <c r="T41" s="156"/>
      <c r="U41" s="6"/>
    </row>
    <row r="42" spans="1:21" customFormat="1">
      <c r="A42" s="201" t="s">
        <v>2389</v>
      </c>
      <c r="B42" s="100">
        <v>22.22</v>
      </c>
      <c r="C42" s="100">
        <v>15.8</v>
      </c>
      <c r="D42" s="100">
        <v>26.08</v>
      </c>
      <c r="E42" s="100">
        <v>5.62</v>
      </c>
      <c r="F42" s="151" t="s">
        <v>8</v>
      </c>
      <c r="G42" s="100">
        <v>88.63</v>
      </c>
      <c r="H42" s="100">
        <v>19.36</v>
      </c>
      <c r="I42" s="100">
        <v>17.559999999999999</v>
      </c>
      <c r="J42" s="100">
        <v>0.24</v>
      </c>
      <c r="K42" s="100">
        <v>171.09</v>
      </c>
      <c r="L42" s="100">
        <v>18.329999999999998</v>
      </c>
      <c r="M42" s="100">
        <v>23.54</v>
      </c>
      <c r="N42" s="100">
        <v>197.1</v>
      </c>
      <c r="O42" s="100">
        <v>0</v>
      </c>
      <c r="P42" s="100">
        <v>0.96</v>
      </c>
      <c r="Q42" s="100">
        <v>9.32</v>
      </c>
      <c r="R42" s="6"/>
      <c r="S42" s="6"/>
      <c r="T42" s="156"/>
      <c r="U42" s="6"/>
    </row>
    <row r="43" spans="1:21" customFormat="1">
      <c r="A43" s="201" t="s">
        <v>2390</v>
      </c>
      <c r="B43" s="100">
        <v>21.43</v>
      </c>
      <c r="C43" s="100">
        <v>15.75</v>
      </c>
      <c r="D43" s="100">
        <v>25.41</v>
      </c>
      <c r="E43" s="100">
        <v>5.52</v>
      </c>
      <c r="F43" s="151" t="s">
        <v>8</v>
      </c>
      <c r="G43" s="100">
        <v>86.36</v>
      </c>
      <c r="H43" s="100">
        <v>19.48</v>
      </c>
      <c r="I43" s="100">
        <v>17.48</v>
      </c>
      <c r="J43" s="100">
        <v>0.16</v>
      </c>
      <c r="K43" s="100">
        <v>116.2</v>
      </c>
      <c r="L43" s="100">
        <v>15.53</v>
      </c>
      <c r="M43" s="100">
        <v>15.62</v>
      </c>
      <c r="N43" s="100">
        <v>235.5</v>
      </c>
      <c r="O43" s="100">
        <v>0</v>
      </c>
      <c r="P43" s="100">
        <v>0.95</v>
      </c>
      <c r="Q43" s="100">
        <v>9.32</v>
      </c>
      <c r="R43" s="6"/>
      <c r="S43" s="6"/>
      <c r="T43" s="156"/>
      <c r="U43" s="6"/>
    </row>
    <row r="44" spans="1:21" customFormat="1">
      <c r="A44" s="201" t="s">
        <v>2391</v>
      </c>
      <c r="B44" s="100">
        <v>20.75</v>
      </c>
      <c r="C44" s="100">
        <v>15.64</v>
      </c>
      <c r="D44" s="100">
        <v>24.81</v>
      </c>
      <c r="E44" s="100">
        <v>5.93</v>
      </c>
      <c r="F44" s="151" t="s">
        <v>8</v>
      </c>
      <c r="G44" s="100">
        <v>66</v>
      </c>
      <c r="H44" s="100">
        <v>20.38</v>
      </c>
      <c r="I44" s="100">
        <v>17.28</v>
      </c>
      <c r="J44" s="100">
        <v>0.26</v>
      </c>
      <c r="K44" s="100">
        <v>158.54</v>
      </c>
      <c r="L44" s="100">
        <v>17.77</v>
      </c>
      <c r="M44" s="100">
        <v>20.350000000000001</v>
      </c>
      <c r="N44" s="100">
        <v>271.60000000000002</v>
      </c>
      <c r="O44" s="100">
        <v>0</v>
      </c>
      <c r="P44" s="100">
        <v>0.94</v>
      </c>
      <c r="Q44" s="100">
        <v>9.32</v>
      </c>
      <c r="R44" s="6"/>
      <c r="S44" s="6"/>
      <c r="T44" s="156"/>
      <c r="U44" s="6"/>
    </row>
    <row r="45" spans="1:21" customFormat="1">
      <c r="A45" s="201" t="s">
        <v>2392</v>
      </c>
      <c r="B45" s="100">
        <v>20.11</v>
      </c>
      <c r="C45" s="100">
        <v>15.73</v>
      </c>
      <c r="D45" s="100">
        <v>24.35</v>
      </c>
      <c r="E45" s="100">
        <v>5.64</v>
      </c>
      <c r="F45" s="151" t="s">
        <v>8</v>
      </c>
      <c r="G45" s="100">
        <v>66</v>
      </c>
      <c r="H45" s="100">
        <v>20.38</v>
      </c>
      <c r="I45" s="100">
        <v>17.149999999999999</v>
      </c>
      <c r="J45" s="100">
        <v>0.38</v>
      </c>
      <c r="K45" s="100">
        <v>51.5</v>
      </c>
      <c r="L45" s="100">
        <v>12.52</v>
      </c>
      <c r="M45" s="100">
        <v>6.96</v>
      </c>
      <c r="N45" s="100">
        <v>274</v>
      </c>
      <c r="O45" s="100">
        <v>0</v>
      </c>
      <c r="P45" s="100">
        <v>0.94</v>
      </c>
      <c r="Q45" s="100">
        <v>9.32</v>
      </c>
      <c r="R45" s="6"/>
      <c r="S45" s="6"/>
      <c r="T45" s="156"/>
      <c r="U45" s="6"/>
    </row>
    <row r="46" spans="1:21" customFormat="1">
      <c r="A46" s="201" t="s">
        <v>2393</v>
      </c>
      <c r="B46" s="100">
        <v>19.670000000000002</v>
      </c>
      <c r="C46" s="100">
        <v>15.89</v>
      </c>
      <c r="D46" s="100">
        <v>24.08</v>
      </c>
      <c r="E46" s="100">
        <v>6.09</v>
      </c>
      <c r="F46" s="151" t="s">
        <v>8</v>
      </c>
      <c r="G46" s="100">
        <v>66</v>
      </c>
      <c r="H46" s="100">
        <v>20.38</v>
      </c>
      <c r="I46" s="100">
        <v>17.149999999999999</v>
      </c>
      <c r="J46" s="100">
        <v>0.53</v>
      </c>
      <c r="K46" s="100">
        <v>51.27</v>
      </c>
      <c r="L46" s="100">
        <v>11.13</v>
      </c>
      <c r="M46" s="100">
        <v>2.35</v>
      </c>
      <c r="N46" s="100">
        <v>321.2</v>
      </c>
      <c r="O46" s="100">
        <v>0</v>
      </c>
      <c r="P46" s="100">
        <v>0.94</v>
      </c>
      <c r="Q46" s="100">
        <v>9.32</v>
      </c>
      <c r="R46" s="6"/>
      <c r="S46" s="6"/>
      <c r="T46" s="156"/>
      <c r="U46" s="6"/>
    </row>
    <row r="47" spans="1:21" customFormat="1">
      <c r="A47" s="201" t="s">
        <v>2394</v>
      </c>
      <c r="B47" s="100">
        <v>19.25</v>
      </c>
      <c r="C47" s="100">
        <v>16.07</v>
      </c>
      <c r="D47" s="100">
        <v>23.83</v>
      </c>
      <c r="E47" s="100">
        <v>5.76</v>
      </c>
      <c r="F47" s="151" t="s">
        <v>8</v>
      </c>
      <c r="G47" s="100">
        <v>65.33</v>
      </c>
      <c r="H47" s="100">
        <v>20.2</v>
      </c>
      <c r="I47" s="100">
        <v>17.21</v>
      </c>
      <c r="J47" s="100">
        <v>0.35</v>
      </c>
      <c r="K47" s="100">
        <v>61.53</v>
      </c>
      <c r="L47" s="100">
        <v>12.82</v>
      </c>
      <c r="M47" s="100">
        <v>8.4</v>
      </c>
      <c r="N47" s="100">
        <v>245.5</v>
      </c>
      <c r="O47" s="100">
        <v>0</v>
      </c>
      <c r="P47" s="100">
        <v>0.94</v>
      </c>
      <c r="Q47" s="100">
        <v>9.32</v>
      </c>
      <c r="R47" s="6"/>
      <c r="S47" s="6"/>
      <c r="T47" s="156"/>
      <c r="U47" s="6"/>
    </row>
    <row r="48" spans="1:21" customFormat="1">
      <c r="A48" s="201" t="s">
        <v>2395</v>
      </c>
      <c r="B48" s="100">
        <v>18.600000000000001</v>
      </c>
      <c r="C48" s="100">
        <v>16.239999999999998</v>
      </c>
      <c r="D48" s="100">
        <v>23.4</v>
      </c>
      <c r="E48" s="100">
        <v>5.72</v>
      </c>
      <c r="F48" s="151" t="s">
        <v>8</v>
      </c>
      <c r="G48" s="100">
        <v>59.29</v>
      </c>
      <c r="H48" s="100">
        <v>18.850000000000001</v>
      </c>
      <c r="I48" s="100">
        <v>17.22</v>
      </c>
      <c r="J48" s="100">
        <v>0.45</v>
      </c>
      <c r="K48" s="100">
        <v>52.3</v>
      </c>
      <c r="L48" s="100">
        <v>13.12</v>
      </c>
      <c r="M48" s="100">
        <v>7.03</v>
      </c>
      <c r="N48" s="100">
        <v>333.9</v>
      </c>
      <c r="O48" s="100">
        <v>0</v>
      </c>
      <c r="P48" s="100">
        <v>0.93</v>
      </c>
      <c r="Q48" s="100">
        <v>9.32</v>
      </c>
      <c r="R48" s="6"/>
      <c r="S48" s="6"/>
      <c r="T48" s="156"/>
      <c r="U48" s="6"/>
    </row>
    <row r="49" spans="1:21" customFormat="1">
      <c r="A49" s="201" t="s">
        <v>2396</v>
      </c>
      <c r="B49" s="100">
        <v>17.72</v>
      </c>
      <c r="C49" s="100">
        <v>16.39</v>
      </c>
      <c r="D49" s="100">
        <v>22.77</v>
      </c>
      <c r="E49" s="100">
        <v>4.82</v>
      </c>
      <c r="F49" s="151" t="s">
        <v>8</v>
      </c>
      <c r="G49" s="100">
        <v>59.29</v>
      </c>
      <c r="H49" s="100">
        <v>18.850000000000001</v>
      </c>
      <c r="I49" s="100">
        <v>17.190000000000001</v>
      </c>
      <c r="J49" s="100">
        <v>0.33</v>
      </c>
      <c r="K49" s="100">
        <v>60.45</v>
      </c>
      <c r="L49" s="100">
        <v>14.96</v>
      </c>
      <c r="M49" s="100">
        <v>9.43</v>
      </c>
      <c r="N49" s="100">
        <v>431</v>
      </c>
      <c r="O49" s="100">
        <v>0</v>
      </c>
      <c r="P49" s="100">
        <v>0.93</v>
      </c>
      <c r="Q49" s="100">
        <v>9.32</v>
      </c>
      <c r="R49" s="6"/>
      <c r="S49" s="6"/>
      <c r="T49" s="156"/>
      <c r="U49" s="6"/>
    </row>
    <row r="50" spans="1:21" customFormat="1">
      <c r="A50" s="201" t="s">
        <v>2397</v>
      </c>
      <c r="B50" s="100">
        <v>16.64</v>
      </c>
      <c r="C50" s="100">
        <v>16.420000000000002</v>
      </c>
      <c r="D50" s="100">
        <v>21.92</v>
      </c>
      <c r="E50" s="100">
        <v>5.99</v>
      </c>
      <c r="F50" s="151" t="s">
        <v>8</v>
      </c>
      <c r="G50" s="100">
        <v>59.29</v>
      </c>
      <c r="H50" s="100">
        <v>18.850000000000001</v>
      </c>
      <c r="I50" s="100">
        <v>17.07</v>
      </c>
      <c r="J50" s="100">
        <v>0.63</v>
      </c>
      <c r="K50" s="100">
        <v>49.51</v>
      </c>
      <c r="L50" s="100">
        <v>12.34</v>
      </c>
      <c r="M50" s="100">
        <v>2.2799999999999998</v>
      </c>
      <c r="N50" s="100">
        <v>450.5</v>
      </c>
      <c r="O50" s="100">
        <v>0</v>
      </c>
      <c r="P50" s="100">
        <v>0.92</v>
      </c>
      <c r="Q50" s="100">
        <v>9.32</v>
      </c>
      <c r="R50" s="6"/>
      <c r="S50" s="6"/>
      <c r="T50" s="156"/>
      <c r="U50" s="6"/>
    </row>
    <row r="51" spans="1:21" customFormat="1">
      <c r="A51" s="201" t="s">
        <v>2398</v>
      </c>
      <c r="B51" s="100">
        <v>15.39</v>
      </c>
      <c r="C51" s="100">
        <v>16.670000000000002</v>
      </c>
      <c r="D51" s="100">
        <v>21.06</v>
      </c>
      <c r="E51" s="100">
        <v>6.55</v>
      </c>
      <c r="F51" s="151" t="s">
        <v>8</v>
      </c>
      <c r="G51" s="100">
        <v>57.79</v>
      </c>
      <c r="H51" s="100">
        <v>18.77</v>
      </c>
      <c r="I51" s="100">
        <v>17.010000000000002</v>
      </c>
      <c r="J51" s="100">
        <v>0.44</v>
      </c>
      <c r="K51" s="100">
        <v>57.24</v>
      </c>
      <c r="L51" s="100">
        <v>15.32</v>
      </c>
      <c r="M51" s="100">
        <v>9.4499999999999993</v>
      </c>
      <c r="N51" s="100">
        <v>467.1</v>
      </c>
      <c r="O51" s="100">
        <v>0</v>
      </c>
      <c r="P51" s="100">
        <v>0.9</v>
      </c>
      <c r="Q51" s="100">
        <v>9.32</v>
      </c>
      <c r="R51" s="6"/>
      <c r="S51" s="6"/>
      <c r="T51" s="156"/>
      <c r="U51" s="6"/>
    </row>
    <row r="52" spans="1:21" customFormat="1">
      <c r="A52" s="201" t="s">
        <v>2399</v>
      </c>
      <c r="B52" s="100">
        <v>14.37</v>
      </c>
      <c r="C52" s="100">
        <v>16.78</v>
      </c>
      <c r="D52" s="100">
        <v>20.29</v>
      </c>
      <c r="E52" s="100">
        <v>6.7</v>
      </c>
      <c r="F52" s="151" t="s">
        <v>8</v>
      </c>
      <c r="G52" s="100">
        <v>44.31</v>
      </c>
      <c r="H52" s="100">
        <v>18.2</v>
      </c>
      <c r="I52" s="100">
        <v>16.97</v>
      </c>
      <c r="J52" s="100">
        <v>0.76</v>
      </c>
      <c r="K52" s="100">
        <v>34.619999999999997</v>
      </c>
      <c r="L52" s="100">
        <v>13.36</v>
      </c>
      <c r="M52" s="100">
        <v>4.96</v>
      </c>
      <c r="N52" s="100">
        <v>443.4</v>
      </c>
      <c r="O52" s="100">
        <v>0</v>
      </c>
      <c r="P52" s="100">
        <v>0.89</v>
      </c>
      <c r="Q52" s="100">
        <v>9.32</v>
      </c>
      <c r="R52" s="6"/>
      <c r="S52" s="6"/>
      <c r="T52" s="156"/>
      <c r="U52" s="6"/>
    </row>
    <row r="53" spans="1:21" customFormat="1">
      <c r="A53" s="201" t="s">
        <v>2400</v>
      </c>
      <c r="B53" s="100">
        <v>13.5</v>
      </c>
      <c r="C53" s="100">
        <v>16.7</v>
      </c>
      <c r="D53" s="100">
        <v>19.559999999999999</v>
      </c>
      <c r="E53" s="100">
        <v>6.75</v>
      </c>
      <c r="F53" s="151" t="s">
        <v>8</v>
      </c>
      <c r="G53" s="100">
        <v>44.31</v>
      </c>
      <c r="H53" s="100">
        <v>18.2</v>
      </c>
      <c r="I53" s="100">
        <v>16.63</v>
      </c>
      <c r="J53" s="100">
        <v>0.5</v>
      </c>
      <c r="K53" s="100">
        <v>42.49</v>
      </c>
      <c r="L53" s="100">
        <v>15.67</v>
      </c>
      <c r="M53" s="100">
        <v>10.02</v>
      </c>
      <c r="N53" s="100">
        <v>476</v>
      </c>
      <c r="O53" s="100">
        <v>0</v>
      </c>
      <c r="P53" s="100">
        <v>0.87</v>
      </c>
      <c r="Q53" s="100">
        <v>9.32</v>
      </c>
      <c r="R53" s="6"/>
      <c r="S53" s="6"/>
      <c r="T53" s="156"/>
      <c r="U53" s="6"/>
    </row>
    <row r="54" spans="1:21" customFormat="1">
      <c r="A54" s="201" t="s">
        <v>2401</v>
      </c>
      <c r="B54" s="100">
        <v>12.25</v>
      </c>
      <c r="C54" s="100">
        <v>16.75</v>
      </c>
      <c r="D54" s="100">
        <v>18.579999999999998</v>
      </c>
      <c r="E54" s="100">
        <v>6.47</v>
      </c>
      <c r="F54" s="151" t="s">
        <v>8</v>
      </c>
      <c r="G54" s="100">
        <v>44.31</v>
      </c>
      <c r="H54" s="100">
        <v>18.2</v>
      </c>
      <c r="I54" s="100">
        <v>16.309999999999999</v>
      </c>
      <c r="J54" s="100">
        <v>0.56999999999999995</v>
      </c>
      <c r="K54" s="100">
        <v>25.38</v>
      </c>
      <c r="L54" s="100">
        <v>16.79</v>
      </c>
      <c r="M54" s="100">
        <v>12.04</v>
      </c>
      <c r="N54" s="100">
        <v>511.4</v>
      </c>
      <c r="O54" s="100">
        <v>0</v>
      </c>
      <c r="P54" s="100">
        <v>0.84</v>
      </c>
      <c r="Q54" s="100">
        <v>9.32</v>
      </c>
      <c r="R54" s="6"/>
      <c r="S54" s="6"/>
      <c r="T54" s="156"/>
      <c r="U54" s="6"/>
    </row>
    <row r="55" spans="1:21" customFormat="1">
      <c r="A55" s="201" t="s">
        <v>2402</v>
      </c>
      <c r="B55" s="100">
        <v>10.83</v>
      </c>
      <c r="C55" s="100">
        <v>16.95</v>
      </c>
      <c r="D55" s="100">
        <v>17.54</v>
      </c>
      <c r="E55" s="100">
        <v>4.59</v>
      </c>
      <c r="F55" s="151" t="s">
        <v>8</v>
      </c>
      <c r="G55" s="100">
        <v>43.06</v>
      </c>
      <c r="H55" s="100">
        <v>17.86</v>
      </c>
      <c r="I55" s="100">
        <v>16.11</v>
      </c>
      <c r="J55" s="100">
        <v>0.33</v>
      </c>
      <c r="K55" s="100">
        <v>62.76</v>
      </c>
      <c r="L55" s="100">
        <v>15.79</v>
      </c>
      <c r="M55" s="100">
        <v>9.6199999999999992</v>
      </c>
      <c r="N55" s="100">
        <v>513.4</v>
      </c>
      <c r="O55" s="100">
        <v>0</v>
      </c>
      <c r="P55" s="100">
        <v>0.81</v>
      </c>
      <c r="Q55" s="100">
        <v>9.32</v>
      </c>
      <c r="R55" s="6"/>
      <c r="S55" s="6"/>
      <c r="T55" s="156"/>
      <c r="U55" s="6"/>
    </row>
    <row r="56" spans="1:21" customFormat="1">
      <c r="A56" s="201" t="s">
        <v>2403</v>
      </c>
      <c r="B56" s="100">
        <v>9.23</v>
      </c>
      <c r="C56" s="100">
        <v>17.11</v>
      </c>
      <c r="D56" s="100">
        <v>16.34</v>
      </c>
      <c r="E56" s="100">
        <v>5.66</v>
      </c>
      <c r="F56" s="151" t="s">
        <v>8</v>
      </c>
      <c r="G56" s="100">
        <v>31.76</v>
      </c>
      <c r="H56" s="100">
        <v>15.4</v>
      </c>
      <c r="I56" s="100">
        <v>15.85</v>
      </c>
      <c r="J56" s="100">
        <v>0.8</v>
      </c>
      <c r="K56" s="100">
        <v>19.54</v>
      </c>
      <c r="L56" s="100">
        <v>17.88</v>
      </c>
      <c r="M56" s="100">
        <v>14.67</v>
      </c>
      <c r="N56" s="100">
        <v>516.9</v>
      </c>
      <c r="O56" s="100">
        <v>0</v>
      </c>
      <c r="P56" s="100">
        <v>0.78</v>
      </c>
      <c r="Q56" s="100">
        <v>9.32</v>
      </c>
      <c r="R56" s="6"/>
      <c r="S56" s="6"/>
      <c r="T56" s="156"/>
      <c r="U56" s="6"/>
    </row>
    <row r="57" spans="1:21" customFormat="1">
      <c r="A57" s="201" t="s">
        <v>2404</v>
      </c>
      <c r="B57" s="100">
        <v>7.79</v>
      </c>
      <c r="C57" s="100">
        <v>17.23</v>
      </c>
      <c r="D57" s="100">
        <v>15.25</v>
      </c>
      <c r="E57" s="100">
        <v>5.9</v>
      </c>
      <c r="F57" s="151" t="s">
        <v>8</v>
      </c>
      <c r="G57" s="100">
        <v>31.76</v>
      </c>
      <c r="H57" s="100">
        <v>15.4</v>
      </c>
      <c r="I57" s="100">
        <v>15.52</v>
      </c>
      <c r="J57" s="100">
        <v>0.4</v>
      </c>
      <c r="K57" s="100">
        <v>0.32</v>
      </c>
      <c r="L57" s="100">
        <v>21.27</v>
      </c>
      <c r="M57" s="100">
        <v>23.49</v>
      </c>
      <c r="N57" s="100">
        <v>507</v>
      </c>
      <c r="O57" s="100">
        <v>0</v>
      </c>
      <c r="P57" s="100">
        <v>0.75</v>
      </c>
      <c r="Q57" s="100">
        <v>9.32</v>
      </c>
      <c r="R57" s="6"/>
      <c r="S57" s="6"/>
      <c r="T57" s="156"/>
      <c r="U57" s="6"/>
    </row>
    <row r="58" spans="1:21" customFormat="1">
      <c r="A58" s="201" t="s">
        <v>2405</v>
      </c>
      <c r="B58" s="100">
        <v>6.61</v>
      </c>
      <c r="C58" s="100">
        <v>17.23</v>
      </c>
      <c r="D58" s="100">
        <v>14.3</v>
      </c>
      <c r="E58" s="100">
        <v>5.67</v>
      </c>
      <c r="F58" s="151" t="s">
        <v>8</v>
      </c>
      <c r="G58" s="100">
        <v>31.76</v>
      </c>
      <c r="H58" s="100">
        <v>15.4</v>
      </c>
      <c r="I58" s="100">
        <v>15.1</v>
      </c>
      <c r="J58" s="100">
        <v>7.0000000000000007E-2</v>
      </c>
      <c r="K58" s="100">
        <v>186.71</v>
      </c>
      <c r="L58" s="100">
        <v>20.3</v>
      </c>
      <c r="M58" s="100">
        <v>22.1</v>
      </c>
      <c r="N58" s="100">
        <v>496.8</v>
      </c>
      <c r="O58" s="100">
        <v>0</v>
      </c>
      <c r="P58" s="100">
        <v>0.73</v>
      </c>
      <c r="Q58" s="100">
        <v>9.32</v>
      </c>
      <c r="R58" s="6"/>
      <c r="S58" s="6"/>
      <c r="T58" s="156"/>
      <c r="U58" s="6"/>
    </row>
    <row r="59" spans="1:21" customFormat="1">
      <c r="A59" s="201" t="s">
        <v>2406</v>
      </c>
      <c r="B59" s="100">
        <v>5.63</v>
      </c>
      <c r="C59" s="100">
        <v>16.77</v>
      </c>
      <c r="D59" s="100">
        <v>13.27</v>
      </c>
      <c r="E59" s="100">
        <v>5.85</v>
      </c>
      <c r="F59" s="151" t="s">
        <v>8</v>
      </c>
      <c r="G59" s="100">
        <v>30.72</v>
      </c>
      <c r="H59" s="100">
        <v>15</v>
      </c>
      <c r="I59" s="100">
        <v>14.67</v>
      </c>
      <c r="J59" s="100">
        <v>0.42</v>
      </c>
      <c r="K59" s="100">
        <v>331.03</v>
      </c>
      <c r="L59" s="100">
        <v>22.03</v>
      </c>
      <c r="M59" s="100">
        <v>25.84</v>
      </c>
      <c r="N59" s="100">
        <v>489.7</v>
      </c>
      <c r="O59" s="100">
        <v>0</v>
      </c>
      <c r="P59" s="100">
        <v>0.7</v>
      </c>
      <c r="Q59" s="100">
        <v>9.32</v>
      </c>
      <c r="R59" s="6"/>
      <c r="S59" s="6"/>
      <c r="T59" s="156"/>
      <c r="U59" s="6"/>
    </row>
    <row r="60" spans="1:21" customFormat="1">
      <c r="A60" s="201" t="s">
        <v>2407</v>
      </c>
      <c r="B60" s="100">
        <v>4.92</v>
      </c>
      <c r="C60" s="100">
        <v>16.36</v>
      </c>
      <c r="D60" s="100">
        <v>12.49</v>
      </c>
      <c r="E60" s="100">
        <v>5.63</v>
      </c>
      <c r="F60" s="151" t="s">
        <v>8</v>
      </c>
      <c r="G60" s="100">
        <v>21.35</v>
      </c>
      <c r="H60" s="100">
        <v>12.04</v>
      </c>
      <c r="I60" s="100">
        <v>14.26</v>
      </c>
      <c r="J60" s="100">
        <v>0.42</v>
      </c>
      <c r="K60" s="100">
        <v>62.35</v>
      </c>
      <c r="L60" s="100">
        <v>15.48</v>
      </c>
      <c r="M60" s="100">
        <v>10.01</v>
      </c>
      <c r="N60" s="100">
        <v>463.4</v>
      </c>
      <c r="O60" s="100">
        <v>0</v>
      </c>
      <c r="P60" s="100">
        <v>0.68</v>
      </c>
      <c r="Q60" s="100">
        <v>9.32</v>
      </c>
      <c r="R60" s="6"/>
      <c r="S60" s="6"/>
      <c r="T60" s="156"/>
      <c r="U60" s="6"/>
    </row>
    <row r="61" spans="1:21" customFormat="1">
      <c r="A61" s="201" t="s">
        <v>2408</v>
      </c>
      <c r="B61" s="100">
        <v>4.32</v>
      </c>
      <c r="C61" s="100">
        <v>15.88</v>
      </c>
      <c r="D61" s="100">
        <v>11.76</v>
      </c>
      <c r="E61" s="100">
        <v>5.83</v>
      </c>
      <c r="F61" s="151" t="s">
        <v>8</v>
      </c>
      <c r="G61" s="100">
        <v>21.35</v>
      </c>
      <c r="H61" s="100">
        <v>12.04</v>
      </c>
      <c r="I61" s="100">
        <v>13.85</v>
      </c>
      <c r="J61" s="100">
        <v>0.39</v>
      </c>
      <c r="K61" s="100">
        <v>126.85</v>
      </c>
      <c r="L61" s="100">
        <v>18.07</v>
      </c>
      <c r="M61" s="100">
        <v>18.059999999999999</v>
      </c>
      <c r="N61" s="100">
        <v>402.5</v>
      </c>
      <c r="O61" s="100">
        <v>0</v>
      </c>
      <c r="P61" s="100">
        <v>0.66</v>
      </c>
      <c r="Q61" s="100">
        <v>9.32</v>
      </c>
      <c r="R61" s="6"/>
      <c r="S61" s="6"/>
      <c r="T61" s="156"/>
      <c r="U61" s="6"/>
    </row>
    <row r="62" spans="1:21" customFormat="1">
      <c r="A62" s="201" t="s">
        <v>2409</v>
      </c>
      <c r="B62" s="100">
        <v>3.87</v>
      </c>
      <c r="C62" s="100">
        <v>15.19</v>
      </c>
      <c r="D62" s="100">
        <v>11.04</v>
      </c>
      <c r="E62" s="100">
        <v>5.68</v>
      </c>
      <c r="F62" s="151" t="s">
        <v>8</v>
      </c>
      <c r="G62" s="100">
        <v>21.35</v>
      </c>
      <c r="H62" s="100">
        <v>12.04</v>
      </c>
      <c r="I62" s="100">
        <v>13.45</v>
      </c>
      <c r="J62" s="100">
        <v>0.31</v>
      </c>
      <c r="K62" s="100">
        <v>138.97</v>
      </c>
      <c r="L62" s="100">
        <v>14.89</v>
      </c>
      <c r="M62" s="100">
        <v>15.55</v>
      </c>
      <c r="N62" s="100">
        <v>169.5</v>
      </c>
      <c r="O62" s="100">
        <v>0</v>
      </c>
      <c r="P62" s="100">
        <v>0.64</v>
      </c>
      <c r="Q62" s="100">
        <v>9.32</v>
      </c>
      <c r="R62" s="6"/>
      <c r="S62" s="6"/>
      <c r="T62" s="156"/>
      <c r="U62" s="6"/>
    </row>
    <row r="63" spans="1:21" customFormat="1">
      <c r="A63" s="201" t="s">
        <v>2410</v>
      </c>
      <c r="B63" s="100">
        <v>3.51</v>
      </c>
      <c r="C63" s="100">
        <v>14.52</v>
      </c>
      <c r="D63" s="100">
        <v>10.4</v>
      </c>
      <c r="E63" s="100">
        <v>5.56</v>
      </c>
      <c r="F63" s="151" t="s">
        <v>8</v>
      </c>
      <c r="G63" s="100">
        <v>20.99</v>
      </c>
      <c r="H63" s="100">
        <v>11.87</v>
      </c>
      <c r="I63" s="100">
        <v>13.2</v>
      </c>
      <c r="J63" s="100">
        <v>0.08</v>
      </c>
      <c r="K63" s="100">
        <v>111.76</v>
      </c>
      <c r="L63" s="100">
        <v>17.920000000000002</v>
      </c>
      <c r="M63" s="100">
        <v>23.02</v>
      </c>
      <c r="N63" s="100">
        <v>176.1</v>
      </c>
      <c r="O63" s="100">
        <v>0</v>
      </c>
      <c r="P63" s="100">
        <v>0.61</v>
      </c>
      <c r="Q63" s="100">
        <v>9.32</v>
      </c>
      <c r="R63" s="6"/>
      <c r="S63" s="6"/>
      <c r="T63" s="156"/>
      <c r="U63" s="6"/>
    </row>
    <row r="64" spans="1:21" customFormat="1">
      <c r="A64" s="201" t="s">
        <v>2411</v>
      </c>
      <c r="B64" s="100">
        <v>3.36</v>
      </c>
      <c r="C64" s="100">
        <v>13.93</v>
      </c>
      <c r="D64" s="100">
        <v>9.9700000000000006</v>
      </c>
      <c r="E64" s="100">
        <v>5.45</v>
      </c>
      <c r="F64" s="151" t="s">
        <v>8</v>
      </c>
      <c r="G64" s="100">
        <v>17.68</v>
      </c>
      <c r="H64" s="100">
        <v>10.62</v>
      </c>
      <c r="I64" s="100">
        <v>12.84</v>
      </c>
      <c r="J64" s="100">
        <v>0.11</v>
      </c>
      <c r="K64" s="100">
        <v>156.97999999999999</v>
      </c>
      <c r="L64" s="100">
        <v>17.75</v>
      </c>
      <c r="M64" s="100">
        <v>23.45</v>
      </c>
      <c r="N64" s="100">
        <v>137.5</v>
      </c>
      <c r="O64" s="100">
        <v>0</v>
      </c>
      <c r="P64" s="100">
        <v>0.59</v>
      </c>
      <c r="Q64" s="100">
        <v>9.32</v>
      </c>
      <c r="R64" s="6"/>
      <c r="S64" s="6"/>
      <c r="T64" s="156"/>
      <c r="U64" s="6"/>
    </row>
    <row r="65" spans="1:21" customFormat="1">
      <c r="A65" s="201" t="s">
        <v>2412</v>
      </c>
      <c r="B65" s="100">
        <v>3.29</v>
      </c>
      <c r="C65" s="100">
        <v>13.52</v>
      </c>
      <c r="D65" s="100">
        <v>9.6999999999999993</v>
      </c>
      <c r="E65" s="100">
        <v>5.79</v>
      </c>
      <c r="F65" s="151" t="s">
        <v>8</v>
      </c>
      <c r="G65" s="100">
        <v>17.68</v>
      </c>
      <c r="H65" s="100">
        <v>10.62</v>
      </c>
      <c r="I65" s="100">
        <v>12.47</v>
      </c>
      <c r="J65" s="100">
        <v>0.28000000000000003</v>
      </c>
      <c r="K65" s="100">
        <v>7.08</v>
      </c>
      <c r="L65" s="100">
        <v>16.61</v>
      </c>
      <c r="M65" s="100">
        <v>20.89</v>
      </c>
      <c r="N65" s="100">
        <v>117.2</v>
      </c>
      <c r="O65" s="100">
        <v>0</v>
      </c>
      <c r="P65" s="100">
        <v>0.56000000000000005</v>
      </c>
      <c r="Q65" s="100">
        <v>9.32</v>
      </c>
      <c r="R65" s="6"/>
      <c r="S65" s="6"/>
      <c r="T65" s="156"/>
      <c r="U65" s="6"/>
    </row>
    <row r="66" spans="1:21" customFormat="1">
      <c r="A66" s="201" t="s">
        <v>2413</v>
      </c>
      <c r="B66" s="100">
        <v>3.29</v>
      </c>
      <c r="C66" s="100">
        <v>13.5</v>
      </c>
      <c r="D66" s="100">
        <v>9.69</v>
      </c>
      <c r="E66" s="100">
        <v>5.82</v>
      </c>
      <c r="F66" s="151" t="s">
        <v>8</v>
      </c>
      <c r="G66" s="100">
        <v>17.68</v>
      </c>
      <c r="H66" s="100">
        <v>10.62</v>
      </c>
      <c r="I66" s="100">
        <v>12.21</v>
      </c>
      <c r="J66" s="100">
        <v>0.34</v>
      </c>
      <c r="K66" s="100">
        <v>41.58</v>
      </c>
      <c r="L66" s="100">
        <v>13.95</v>
      </c>
      <c r="M66" s="100">
        <v>15.16</v>
      </c>
      <c r="N66" s="100">
        <v>107.2</v>
      </c>
      <c r="O66" s="100">
        <v>0</v>
      </c>
      <c r="P66" s="100">
        <v>0.56999999999999995</v>
      </c>
      <c r="Q66" s="100">
        <v>9.32</v>
      </c>
      <c r="R66" s="6"/>
      <c r="S66" s="6"/>
      <c r="T66" s="156"/>
      <c r="U66" s="6"/>
    </row>
    <row r="67" spans="1:21" customFormat="1">
      <c r="A67" s="201" t="s">
        <v>2414</v>
      </c>
      <c r="B67" s="100">
        <v>3.27</v>
      </c>
      <c r="C67" s="100">
        <v>13.46</v>
      </c>
      <c r="D67" s="100">
        <v>9.65</v>
      </c>
      <c r="E67" s="100">
        <v>5.98</v>
      </c>
      <c r="F67" s="151" t="s">
        <v>8</v>
      </c>
      <c r="G67" s="100">
        <v>19.350000000000001</v>
      </c>
      <c r="H67" s="100">
        <v>10.68</v>
      </c>
      <c r="I67" s="100">
        <v>11.91</v>
      </c>
      <c r="J67" s="100">
        <v>0.26</v>
      </c>
      <c r="K67" s="100">
        <v>109.98</v>
      </c>
      <c r="L67" s="100">
        <v>12.96</v>
      </c>
      <c r="M67" s="100">
        <v>12.33</v>
      </c>
      <c r="N67" s="100">
        <v>99.5</v>
      </c>
      <c r="O67" s="100">
        <v>0</v>
      </c>
      <c r="P67" s="100">
        <v>0.56000000000000005</v>
      </c>
      <c r="Q67" s="100">
        <v>9.32</v>
      </c>
      <c r="R67" s="6"/>
      <c r="S67" s="6"/>
      <c r="T67" s="156"/>
      <c r="U67" s="6"/>
    </row>
    <row r="68" spans="1:21" customFormat="1">
      <c r="A68" s="201" t="s">
        <v>2415</v>
      </c>
      <c r="B68" s="100">
        <v>3.24</v>
      </c>
      <c r="C68" s="100">
        <v>13.15</v>
      </c>
      <c r="D68" s="100">
        <v>9.4700000000000006</v>
      </c>
      <c r="E68" s="100">
        <v>6.24</v>
      </c>
      <c r="F68" s="151" t="s">
        <v>8</v>
      </c>
      <c r="G68" s="100">
        <v>34.36</v>
      </c>
      <c r="H68" s="100">
        <v>11.12</v>
      </c>
      <c r="I68" s="100">
        <v>11.52</v>
      </c>
      <c r="J68" s="100">
        <v>0.22</v>
      </c>
      <c r="K68" s="100">
        <v>172.59</v>
      </c>
      <c r="L68" s="100">
        <v>17.059999999999999</v>
      </c>
      <c r="M68" s="100">
        <v>23.14</v>
      </c>
      <c r="N68" s="100">
        <v>81.7</v>
      </c>
      <c r="O68" s="100">
        <v>0</v>
      </c>
      <c r="P68" s="100">
        <v>0.55000000000000004</v>
      </c>
      <c r="Q68" s="100">
        <v>9.32</v>
      </c>
      <c r="R68" s="6"/>
      <c r="S68" s="6"/>
      <c r="T68" s="156"/>
      <c r="U68" s="6"/>
    </row>
    <row r="69" spans="1:21" customFormat="1">
      <c r="A69" s="201" t="s">
        <v>2416</v>
      </c>
      <c r="B69" s="100">
        <v>3.2</v>
      </c>
      <c r="C69" s="100">
        <v>12.74</v>
      </c>
      <c r="D69" s="100">
        <v>9.23</v>
      </c>
      <c r="E69" s="100">
        <v>6.16</v>
      </c>
      <c r="F69" s="151" t="s">
        <v>8</v>
      </c>
      <c r="G69" s="100">
        <v>34.36</v>
      </c>
      <c r="H69" s="100">
        <v>11.12</v>
      </c>
      <c r="I69" s="100">
        <v>11.18</v>
      </c>
      <c r="J69" s="100">
        <v>0.22</v>
      </c>
      <c r="K69" s="100">
        <v>123.5</v>
      </c>
      <c r="L69" s="100">
        <v>13.47</v>
      </c>
      <c r="M69" s="100">
        <v>14.23</v>
      </c>
      <c r="N69" s="100">
        <v>72.8</v>
      </c>
      <c r="O69" s="100">
        <v>0</v>
      </c>
      <c r="P69" s="100">
        <v>0.53</v>
      </c>
      <c r="Q69" s="100">
        <v>9.32</v>
      </c>
      <c r="R69" s="6"/>
      <c r="S69" s="6"/>
      <c r="T69" s="156"/>
      <c r="U69" s="6"/>
    </row>
    <row r="70" spans="1:21" customFormat="1">
      <c r="A70" s="201" t="s">
        <v>2417</v>
      </c>
      <c r="B70" s="100">
        <v>3.2</v>
      </c>
      <c r="C70" s="100">
        <v>12.45</v>
      </c>
      <c r="D70" s="100">
        <v>9.07</v>
      </c>
      <c r="E70" s="100">
        <v>6.13</v>
      </c>
      <c r="F70" s="151" t="s">
        <v>8</v>
      </c>
      <c r="G70" s="100">
        <v>34.36</v>
      </c>
      <c r="H70" s="100">
        <v>11.12</v>
      </c>
      <c r="I70" s="100">
        <v>10.91</v>
      </c>
      <c r="J70" s="100">
        <v>0.16</v>
      </c>
      <c r="K70" s="100">
        <v>107.8</v>
      </c>
      <c r="L70" s="100">
        <v>15.54</v>
      </c>
      <c r="M70" s="100">
        <v>19.66</v>
      </c>
      <c r="N70" s="100">
        <v>63</v>
      </c>
      <c r="O70" s="100">
        <v>0</v>
      </c>
      <c r="P70" s="100">
        <v>0.52</v>
      </c>
      <c r="Q70" s="100">
        <v>9.32</v>
      </c>
      <c r="R70" s="6"/>
      <c r="S70" s="6"/>
      <c r="T70" s="156"/>
      <c r="U70" s="6"/>
    </row>
    <row r="71" spans="1:21" customFormat="1">
      <c r="A71" s="201" t="s">
        <v>2418</v>
      </c>
      <c r="B71" s="100">
        <v>3.18</v>
      </c>
      <c r="C71" s="100">
        <v>12.34</v>
      </c>
      <c r="D71" s="100">
        <v>8.99</v>
      </c>
      <c r="E71" s="100">
        <v>5.82</v>
      </c>
      <c r="F71" s="151" t="s">
        <v>8</v>
      </c>
      <c r="G71" s="100">
        <v>33.83</v>
      </c>
      <c r="H71" s="100">
        <v>11.03</v>
      </c>
      <c r="I71" s="100">
        <v>10.68</v>
      </c>
      <c r="J71" s="100">
        <v>0.15</v>
      </c>
      <c r="K71" s="100">
        <v>171.41</v>
      </c>
      <c r="L71" s="100">
        <v>16.510000000000002</v>
      </c>
      <c r="M71" s="100">
        <v>22.39</v>
      </c>
      <c r="N71" s="100">
        <v>54.7</v>
      </c>
      <c r="O71" s="100">
        <v>0</v>
      </c>
      <c r="P71" s="100">
        <v>0.51</v>
      </c>
      <c r="Q71" s="100">
        <v>9.32</v>
      </c>
      <c r="R71" s="6"/>
      <c r="S71" s="6"/>
      <c r="T71" s="156"/>
      <c r="U71" s="6"/>
    </row>
    <row r="72" spans="1:21" customFormat="1">
      <c r="A72" s="201" t="s">
        <v>2419</v>
      </c>
      <c r="B72" s="100">
        <v>3.19</v>
      </c>
      <c r="C72" s="100">
        <v>12.02</v>
      </c>
      <c r="D72" s="100">
        <v>8.84</v>
      </c>
      <c r="E72" s="100">
        <v>6.05</v>
      </c>
      <c r="F72" s="151" t="s">
        <v>8</v>
      </c>
      <c r="G72" s="100">
        <v>29.03</v>
      </c>
      <c r="H72" s="100">
        <v>10.41</v>
      </c>
      <c r="I72" s="100">
        <v>10.66</v>
      </c>
      <c r="J72" s="100">
        <v>0.33</v>
      </c>
      <c r="K72" s="100">
        <v>167.05</v>
      </c>
      <c r="L72" s="100">
        <v>16.190000000000001</v>
      </c>
      <c r="M72" s="100">
        <v>21.82</v>
      </c>
      <c r="N72" s="100">
        <v>46.5</v>
      </c>
      <c r="O72" s="100">
        <v>0</v>
      </c>
      <c r="P72" s="100">
        <v>0.49</v>
      </c>
      <c r="Q72" s="100">
        <v>9.32</v>
      </c>
      <c r="R72" s="6"/>
      <c r="S72" s="6"/>
      <c r="T72" s="156"/>
      <c r="U72" s="6"/>
    </row>
    <row r="73" spans="1:21" customFormat="1">
      <c r="A73" s="201" t="s">
        <v>2420</v>
      </c>
      <c r="B73" s="100">
        <v>3.21</v>
      </c>
      <c r="C73" s="100">
        <v>11.71</v>
      </c>
      <c r="D73" s="100">
        <v>8.69</v>
      </c>
      <c r="E73" s="100">
        <v>6.03</v>
      </c>
      <c r="F73" s="151" t="s">
        <v>8</v>
      </c>
      <c r="G73" s="100">
        <v>29.03</v>
      </c>
      <c r="H73" s="100">
        <v>10.41</v>
      </c>
      <c r="I73" s="100">
        <v>10.59</v>
      </c>
      <c r="J73" s="100">
        <v>0.25</v>
      </c>
      <c r="K73" s="100">
        <v>173.88</v>
      </c>
      <c r="L73" s="100">
        <v>16.71</v>
      </c>
      <c r="M73" s="100">
        <v>23.38</v>
      </c>
      <c r="N73" s="100">
        <v>38.299999999999997</v>
      </c>
      <c r="O73" s="100">
        <v>0</v>
      </c>
      <c r="P73" s="100">
        <v>0.48</v>
      </c>
      <c r="Q73" s="100">
        <v>9.32</v>
      </c>
      <c r="R73" s="6"/>
      <c r="S73" s="6"/>
      <c r="T73" s="156"/>
      <c r="U73" s="6"/>
    </row>
    <row r="74" spans="1:21" customFormat="1">
      <c r="A74" s="201" t="s">
        <v>2421</v>
      </c>
      <c r="B74" s="100">
        <v>3.21</v>
      </c>
      <c r="C74" s="100">
        <v>11.43</v>
      </c>
      <c r="D74" s="100">
        <v>8.5500000000000007</v>
      </c>
      <c r="E74" s="100">
        <v>5.59</v>
      </c>
      <c r="F74" s="151" t="s">
        <v>8</v>
      </c>
      <c r="G74" s="100">
        <v>29.03</v>
      </c>
      <c r="H74" s="100">
        <v>10.41</v>
      </c>
      <c r="I74" s="100">
        <v>10.38</v>
      </c>
      <c r="J74" s="100">
        <v>0.3</v>
      </c>
      <c r="K74" s="100">
        <v>168.25</v>
      </c>
      <c r="L74" s="100">
        <v>16.079999999999998</v>
      </c>
      <c r="M74" s="100">
        <v>21.97</v>
      </c>
      <c r="N74" s="100">
        <v>28.9</v>
      </c>
      <c r="O74" s="100">
        <v>0</v>
      </c>
      <c r="P74" s="100">
        <v>0.48</v>
      </c>
      <c r="Q74" s="100">
        <v>9.32</v>
      </c>
      <c r="R74" s="6"/>
      <c r="S74" s="6"/>
      <c r="T74" s="156"/>
      <c r="U74" s="6"/>
    </row>
    <row r="75" spans="1:21" customFormat="1">
      <c r="A75" s="201" t="s">
        <v>2422</v>
      </c>
      <c r="B75" s="100">
        <v>3.25</v>
      </c>
      <c r="C75" s="100">
        <v>11.13</v>
      </c>
      <c r="D75" s="100">
        <v>8.42</v>
      </c>
      <c r="E75" s="100">
        <v>5.92</v>
      </c>
      <c r="F75" s="151" t="s">
        <v>8</v>
      </c>
      <c r="G75" s="100">
        <v>28.75</v>
      </c>
      <c r="H75" s="100">
        <v>10.37</v>
      </c>
      <c r="I75" s="100">
        <v>10.220000000000001</v>
      </c>
      <c r="J75" s="100">
        <v>0.2</v>
      </c>
      <c r="K75" s="100">
        <v>170.38</v>
      </c>
      <c r="L75" s="100">
        <v>16.23</v>
      </c>
      <c r="M75" s="100">
        <v>22.62</v>
      </c>
      <c r="N75" s="100">
        <v>19.2</v>
      </c>
      <c r="O75" s="100">
        <v>0</v>
      </c>
      <c r="P75" s="100">
        <v>0.48</v>
      </c>
      <c r="Q75" s="100">
        <v>9.32</v>
      </c>
      <c r="R75" s="6"/>
      <c r="S75" s="6"/>
      <c r="T75" s="156"/>
      <c r="U75" s="6"/>
    </row>
    <row r="76" spans="1:21" customFormat="1">
      <c r="A76" s="201" t="s">
        <v>2423</v>
      </c>
      <c r="B76" s="100">
        <v>3.39</v>
      </c>
      <c r="C76" s="100">
        <v>10.88</v>
      </c>
      <c r="D76" s="100">
        <v>8.4</v>
      </c>
      <c r="E76" s="100">
        <v>6.18</v>
      </c>
      <c r="F76" s="151" t="s">
        <v>8</v>
      </c>
      <c r="G76" s="100">
        <v>26.2</v>
      </c>
      <c r="H76" s="100">
        <v>10.07</v>
      </c>
      <c r="I76" s="100">
        <v>9.98</v>
      </c>
      <c r="J76" s="100">
        <v>0.2</v>
      </c>
      <c r="K76" s="100">
        <v>167.56</v>
      </c>
      <c r="L76" s="100">
        <v>15.95</v>
      </c>
      <c r="M76" s="100">
        <v>21.94</v>
      </c>
      <c r="N76" s="100">
        <v>11</v>
      </c>
      <c r="O76" s="100">
        <v>0</v>
      </c>
      <c r="P76" s="100">
        <v>0.48</v>
      </c>
      <c r="Q76" s="100">
        <v>9.32</v>
      </c>
      <c r="R76" s="6"/>
      <c r="S76" s="6"/>
      <c r="T76" s="156"/>
      <c r="U76" s="6"/>
    </row>
    <row r="77" spans="1:21" customFormat="1">
      <c r="A77" s="201" t="s">
        <v>2424</v>
      </c>
      <c r="B77" s="100">
        <v>3.69</v>
      </c>
      <c r="C77" s="100">
        <v>12.26</v>
      </c>
      <c r="D77" s="100">
        <v>9.3699999999999992</v>
      </c>
      <c r="E77" s="100">
        <v>5.72</v>
      </c>
      <c r="F77" s="151" t="s">
        <v>8</v>
      </c>
      <c r="G77" s="100">
        <v>26.2</v>
      </c>
      <c r="H77" s="100">
        <v>10.07</v>
      </c>
      <c r="I77" s="100">
        <v>9.68</v>
      </c>
      <c r="J77" s="100">
        <v>0.17</v>
      </c>
      <c r="K77" s="100">
        <v>165.8</v>
      </c>
      <c r="L77" s="100">
        <v>16.37</v>
      </c>
      <c r="M77" s="100">
        <v>23.08</v>
      </c>
      <c r="N77" s="100">
        <v>5</v>
      </c>
      <c r="O77" s="100">
        <v>0</v>
      </c>
      <c r="P77" s="100">
        <v>0.5</v>
      </c>
      <c r="Q77" s="100">
        <v>9.32</v>
      </c>
      <c r="R77" s="6"/>
      <c r="S77" s="6"/>
      <c r="T77" s="156"/>
      <c r="U77" s="6"/>
    </row>
    <row r="78" spans="1:21" customFormat="1">
      <c r="A78" s="201" t="s">
        <v>2425</v>
      </c>
      <c r="B78" s="100">
        <v>3.93</v>
      </c>
      <c r="C78" s="100">
        <v>12.18</v>
      </c>
      <c r="D78" s="100">
        <v>9.52</v>
      </c>
      <c r="E78" s="100">
        <v>5.64</v>
      </c>
      <c r="F78" s="151" t="s">
        <v>8</v>
      </c>
      <c r="G78" s="100">
        <v>26.2</v>
      </c>
      <c r="H78" s="100">
        <v>10.07</v>
      </c>
      <c r="I78" s="100">
        <v>9.68</v>
      </c>
      <c r="J78" s="100">
        <v>0.33</v>
      </c>
      <c r="K78" s="100">
        <v>162.13999999999999</v>
      </c>
      <c r="L78" s="100">
        <v>15.39</v>
      </c>
      <c r="M78" s="100">
        <v>20.69</v>
      </c>
      <c r="N78" s="100">
        <v>3.1</v>
      </c>
      <c r="O78" s="100">
        <v>0</v>
      </c>
      <c r="P78" s="100">
        <v>0.5</v>
      </c>
      <c r="Q78" s="100">
        <v>9.32</v>
      </c>
      <c r="R78" s="6"/>
      <c r="S78" s="6"/>
      <c r="T78" s="156"/>
      <c r="U78" s="6"/>
    </row>
    <row r="79" spans="1:21" customFormat="1">
      <c r="A79" s="201" t="s">
        <v>2426</v>
      </c>
      <c r="B79" s="100">
        <v>4.21</v>
      </c>
      <c r="C79" s="100">
        <v>12.23</v>
      </c>
      <c r="D79" s="100">
        <v>9.76</v>
      </c>
      <c r="E79" s="100">
        <v>5.81</v>
      </c>
      <c r="F79" s="151" t="s">
        <v>8</v>
      </c>
      <c r="G79" s="100">
        <v>27.74</v>
      </c>
      <c r="H79" s="100">
        <v>10.119999999999999</v>
      </c>
      <c r="I79" s="100">
        <v>9.85</v>
      </c>
      <c r="J79" s="100">
        <v>0.28999999999999998</v>
      </c>
      <c r="K79" s="100">
        <v>154.83000000000001</v>
      </c>
      <c r="L79" s="100">
        <v>14.77</v>
      </c>
      <c r="M79" s="100">
        <v>19.21</v>
      </c>
      <c r="N79" s="100">
        <v>2.2000000000000002</v>
      </c>
      <c r="O79" s="100">
        <v>0</v>
      </c>
      <c r="P79" s="100">
        <v>0.5</v>
      </c>
      <c r="Q79" s="100">
        <v>9.32</v>
      </c>
      <c r="R79" s="6"/>
      <c r="S79" s="6"/>
      <c r="T79" s="156"/>
      <c r="U79" s="6"/>
    </row>
    <row r="80" spans="1:21" customFormat="1">
      <c r="A80" s="201" t="s">
        <v>2427</v>
      </c>
      <c r="B80" s="100">
        <v>4.53</v>
      </c>
      <c r="C80" s="100">
        <v>12.5</v>
      </c>
      <c r="D80" s="100">
        <v>10.16</v>
      </c>
      <c r="E80" s="100">
        <v>5.62</v>
      </c>
      <c r="F80" s="151" t="s">
        <v>8</v>
      </c>
      <c r="G80" s="100">
        <v>41.6</v>
      </c>
      <c r="H80" s="100">
        <v>10.48</v>
      </c>
      <c r="I80" s="100">
        <v>9.9499999999999993</v>
      </c>
      <c r="J80" s="100">
        <v>0.32</v>
      </c>
      <c r="K80" s="100">
        <v>158.74</v>
      </c>
      <c r="L80" s="100">
        <v>15.05</v>
      </c>
      <c r="M80" s="100">
        <v>19.850000000000001</v>
      </c>
      <c r="N80" s="100">
        <v>2</v>
      </c>
      <c r="O80" s="100">
        <v>0</v>
      </c>
      <c r="P80" s="100">
        <v>0.52</v>
      </c>
      <c r="Q80" s="100">
        <v>9.32</v>
      </c>
      <c r="R80" s="6"/>
      <c r="S80" s="6"/>
      <c r="T80" s="156"/>
      <c r="U80" s="6"/>
    </row>
    <row r="81" spans="1:21" customFormat="1">
      <c r="A81" s="201" t="s">
        <v>2428</v>
      </c>
      <c r="B81" s="100">
        <v>7.61</v>
      </c>
      <c r="C81" s="100">
        <v>14.56</v>
      </c>
      <c r="D81" s="100">
        <v>13.71</v>
      </c>
      <c r="E81" s="100">
        <v>5.36</v>
      </c>
      <c r="F81" s="151" t="s">
        <v>8</v>
      </c>
      <c r="G81" s="100">
        <v>41.6</v>
      </c>
      <c r="H81" s="100">
        <v>10.48</v>
      </c>
      <c r="I81" s="100">
        <v>10.09</v>
      </c>
      <c r="J81" s="100">
        <v>0.16</v>
      </c>
      <c r="K81" s="100">
        <v>164.27</v>
      </c>
      <c r="L81" s="100">
        <v>15.28</v>
      </c>
      <c r="M81" s="100">
        <v>20.47</v>
      </c>
      <c r="N81" s="100">
        <v>1.8</v>
      </c>
      <c r="O81" s="100">
        <v>0</v>
      </c>
      <c r="P81" s="100">
        <v>0.54</v>
      </c>
      <c r="Q81" s="100">
        <v>9.32</v>
      </c>
      <c r="R81" s="6"/>
      <c r="S81" s="6"/>
      <c r="T81" s="156"/>
      <c r="U81" s="6"/>
    </row>
    <row r="82" spans="1:21" customFormat="1">
      <c r="A82" s="201" t="s">
        <v>2429</v>
      </c>
      <c r="B82" s="100">
        <v>7.52</v>
      </c>
      <c r="C82" s="100">
        <v>14.84</v>
      </c>
      <c r="D82" s="100">
        <v>13.78</v>
      </c>
      <c r="E82" s="100">
        <v>6.74</v>
      </c>
      <c r="F82" s="151" t="s">
        <v>8</v>
      </c>
      <c r="G82" s="100">
        <v>41.6</v>
      </c>
      <c r="H82" s="100">
        <v>10.48</v>
      </c>
      <c r="I82" s="100">
        <v>10.26</v>
      </c>
      <c r="J82" s="100">
        <v>0.26</v>
      </c>
      <c r="K82" s="100">
        <v>165.32</v>
      </c>
      <c r="L82" s="100">
        <v>15.57</v>
      </c>
      <c r="M82" s="100">
        <v>21.24</v>
      </c>
      <c r="N82" s="100">
        <v>1.8</v>
      </c>
      <c r="O82" s="100">
        <v>0</v>
      </c>
      <c r="P82" s="100">
        <v>0.56000000000000005</v>
      </c>
      <c r="Q82" s="100">
        <v>9.32</v>
      </c>
      <c r="R82" s="6"/>
      <c r="S82" s="6"/>
      <c r="T82" s="156"/>
      <c r="U82" s="6"/>
    </row>
    <row r="83" spans="1:21" customFormat="1">
      <c r="A83" s="201" t="s">
        <v>2430</v>
      </c>
      <c r="B83" s="100">
        <v>6.84</v>
      </c>
      <c r="C83" s="100">
        <v>14.19</v>
      </c>
      <c r="D83" s="100">
        <v>12.9</v>
      </c>
      <c r="E83" s="100">
        <v>6.79</v>
      </c>
      <c r="F83" s="151" t="s">
        <v>8</v>
      </c>
      <c r="G83" s="100">
        <v>42.83</v>
      </c>
      <c r="H83" s="100">
        <v>10.63</v>
      </c>
      <c r="I83" s="100">
        <v>10.57</v>
      </c>
      <c r="J83" s="100">
        <v>0.27</v>
      </c>
      <c r="K83" s="100">
        <v>171.06</v>
      </c>
      <c r="L83" s="100">
        <v>15.87</v>
      </c>
      <c r="M83" s="100">
        <v>21.95</v>
      </c>
      <c r="N83" s="100">
        <v>1.8</v>
      </c>
      <c r="O83" s="100">
        <v>0</v>
      </c>
      <c r="P83" s="100">
        <v>0.59</v>
      </c>
      <c r="Q83" s="100">
        <v>9.32</v>
      </c>
      <c r="R83" s="6"/>
      <c r="S83" s="6"/>
      <c r="T83" s="156"/>
      <c r="U83" s="6"/>
    </row>
    <row r="84" spans="1:21" customFormat="1">
      <c r="A84" s="201" t="s">
        <v>2431</v>
      </c>
      <c r="B84" s="100">
        <v>7.13</v>
      </c>
      <c r="C84" s="100">
        <v>14.02</v>
      </c>
      <c r="D84" s="100">
        <v>13.04</v>
      </c>
      <c r="E84" s="100">
        <v>7.11</v>
      </c>
      <c r="F84" s="151" t="s">
        <v>8</v>
      </c>
      <c r="G84" s="100">
        <v>53.96</v>
      </c>
      <c r="H84" s="100">
        <v>11.74</v>
      </c>
      <c r="I84" s="100">
        <v>10.83</v>
      </c>
      <c r="J84" s="100">
        <v>0.23</v>
      </c>
      <c r="K84" s="100">
        <v>166.09</v>
      </c>
      <c r="L84" s="100">
        <v>15.43</v>
      </c>
      <c r="M84" s="100">
        <v>20.83</v>
      </c>
      <c r="N84" s="100">
        <v>2</v>
      </c>
      <c r="O84" s="100">
        <v>0</v>
      </c>
      <c r="P84" s="100">
        <v>0.57999999999999996</v>
      </c>
      <c r="Q84" s="100">
        <v>9.32</v>
      </c>
      <c r="R84" s="6"/>
      <c r="S84" s="6"/>
      <c r="T84" s="156"/>
      <c r="U84" s="6"/>
    </row>
    <row r="85" spans="1:21" customFormat="1">
      <c r="A85" s="201" t="s">
        <v>2432</v>
      </c>
      <c r="B85" s="100">
        <v>8.23</v>
      </c>
      <c r="C85" s="100">
        <v>15.39</v>
      </c>
      <c r="D85" s="100">
        <v>14.64</v>
      </c>
      <c r="E85" s="100">
        <v>6.91</v>
      </c>
      <c r="F85" s="151" t="s">
        <v>8</v>
      </c>
      <c r="G85" s="100">
        <v>53.96</v>
      </c>
      <c r="H85" s="100">
        <v>11.74</v>
      </c>
      <c r="I85" s="100">
        <v>11</v>
      </c>
      <c r="J85" s="100">
        <v>0.13</v>
      </c>
      <c r="K85" s="100">
        <v>168.79</v>
      </c>
      <c r="L85" s="100">
        <v>16.03</v>
      </c>
      <c r="M85" s="100">
        <v>22.37</v>
      </c>
      <c r="N85" s="100">
        <v>1.7</v>
      </c>
      <c r="O85" s="100">
        <v>0</v>
      </c>
      <c r="P85" s="100">
        <v>0.6</v>
      </c>
      <c r="Q85" s="100">
        <v>9.32</v>
      </c>
      <c r="R85" s="6"/>
      <c r="S85" s="6"/>
      <c r="T85" s="156"/>
      <c r="U85" s="6"/>
    </row>
    <row r="86" spans="1:21" customFormat="1">
      <c r="A86" s="201" t="s">
        <v>2433</v>
      </c>
      <c r="B86" s="100">
        <v>9.18</v>
      </c>
      <c r="C86" s="100">
        <v>16.12</v>
      </c>
      <c r="D86" s="100">
        <v>15.79</v>
      </c>
      <c r="E86" s="100">
        <v>6.58</v>
      </c>
      <c r="F86" s="151" t="s">
        <v>8</v>
      </c>
      <c r="G86" s="100">
        <v>53.96</v>
      </c>
      <c r="H86" s="100">
        <v>11.74</v>
      </c>
      <c r="I86" s="100">
        <v>11.16</v>
      </c>
      <c r="J86" s="100">
        <v>0.23</v>
      </c>
      <c r="K86" s="100">
        <v>165.78</v>
      </c>
      <c r="L86" s="100">
        <v>15.37</v>
      </c>
      <c r="M86" s="100">
        <v>20.72</v>
      </c>
      <c r="N86" s="100">
        <v>1.6</v>
      </c>
      <c r="O86" s="100">
        <v>0</v>
      </c>
      <c r="P86" s="100">
        <v>0.62</v>
      </c>
      <c r="Q86" s="100">
        <v>9.32</v>
      </c>
      <c r="R86" s="6"/>
      <c r="S86" s="6"/>
      <c r="T86" s="156"/>
      <c r="U86" s="6"/>
    </row>
    <row r="87" spans="1:21" customFormat="1">
      <c r="A87" s="201" t="s">
        <v>2434</v>
      </c>
      <c r="B87" s="100">
        <v>9.17</v>
      </c>
      <c r="C87" s="100">
        <v>14.67</v>
      </c>
      <c r="D87" s="100">
        <v>15.02</v>
      </c>
      <c r="E87" s="100">
        <v>6.68</v>
      </c>
      <c r="F87" s="151" t="s">
        <v>8</v>
      </c>
      <c r="G87" s="100">
        <v>54.8</v>
      </c>
      <c r="H87" s="100">
        <v>11.77</v>
      </c>
      <c r="I87" s="100">
        <v>11.32</v>
      </c>
      <c r="J87" s="100">
        <v>0.22</v>
      </c>
      <c r="K87" s="100">
        <v>174.51</v>
      </c>
      <c r="L87" s="100">
        <v>16.45</v>
      </c>
      <c r="M87" s="100">
        <v>23.5</v>
      </c>
      <c r="N87" s="100">
        <v>1.9</v>
      </c>
      <c r="O87" s="100">
        <v>0</v>
      </c>
      <c r="P87" s="100">
        <v>0.62</v>
      </c>
      <c r="Q87" s="100">
        <v>9.32</v>
      </c>
      <c r="R87" s="6"/>
      <c r="S87" s="6"/>
      <c r="T87" s="156"/>
      <c r="U87" s="6"/>
    </row>
    <row r="88" spans="1:21" customFormat="1">
      <c r="A88" s="201" t="s">
        <v>2435</v>
      </c>
      <c r="B88" s="100">
        <v>9.4499999999999993</v>
      </c>
      <c r="C88" s="100">
        <v>14.27</v>
      </c>
      <c r="D88" s="100">
        <v>15.03</v>
      </c>
      <c r="E88" s="100">
        <v>6.91</v>
      </c>
      <c r="F88" s="151" t="s">
        <v>8</v>
      </c>
      <c r="G88" s="100">
        <v>62.32</v>
      </c>
      <c r="H88" s="100">
        <v>11.99</v>
      </c>
      <c r="I88" s="100">
        <v>11.79</v>
      </c>
      <c r="J88" s="100">
        <v>0.15</v>
      </c>
      <c r="K88" s="100">
        <v>183.82</v>
      </c>
      <c r="L88" s="100">
        <v>17.100000000000001</v>
      </c>
      <c r="M88" s="100">
        <v>25.06</v>
      </c>
      <c r="N88" s="100">
        <v>1.8</v>
      </c>
      <c r="O88" s="100">
        <v>0</v>
      </c>
      <c r="P88" s="100">
        <v>0.64</v>
      </c>
      <c r="Q88" s="100">
        <v>9.32</v>
      </c>
      <c r="R88" s="6"/>
      <c r="S88" s="6"/>
      <c r="T88" s="156"/>
      <c r="U88" s="6"/>
    </row>
    <row r="89" spans="1:21" customFormat="1">
      <c r="A89" s="201" t="s">
        <v>2436</v>
      </c>
      <c r="B89" s="100">
        <v>9.6199999999999992</v>
      </c>
      <c r="C89" s="100">
        <v>14.04</v>
      </c>
      <c r="D89" s="100">
        <v>15.05</v>
      </c>
      <c r="E89" s="100">
        <v>6.88</v>
      </c>
      <c r="F89" s="151" t="s">
        <v>8</v>
      </c>
      <c r="G89" s="100">
        <v>62.32</v>
      </c>
      <c r="H89" s="100">
        <v>11.99</v>
      </c>
      <c r="I89" s="100">
        <v>11.94</v>
      </c>
      <c r="J89" s="100">
        <v>0.19</v>
      </c>
      <c r="K89" s="100">
        <v>172.81</v>
      </c>
      <c r="L89" s="100">
        <v>16.100000000000001</v>
      </c>
      <c r="M89" s="100">
        <v>22.57</v>
      </c>
      <c r="N89" s="100">
        <v>1.7</v>
      </c>
      <c r="O89" s="100">
        <v>0</v>
      </c>
      <c r="P89" s="100">
        <v>0.65</v>
      </c>
      <c r="Q89" s="100">
        <v>9.32</v>
      </c>
      <c r="R89" s="6"/>
      <c r="S89" s="6"/>
      <c r="T89" s="156"/>
      <c r="U89" s="6"/>
    </row>
    <row r="90" spans="1:21" customFormat="1">
      <c r="A90" s="201" t="s">
        <v>2437</v>
      </c>
      <c r="B90" s="100">
        <v>9.77</v>
      </c>
      <c r="C90" s="100">
        <v>13.73</v>
      </c>
      <c r="D90" s="100">
        <v>15</v>
      </c>
      <c r="E90" s="100">
        <v>6.68</v>
      </c>
      <c r="F90" s="151" t="s">
        <v>8</v>
      </c>
      <c r="G90" s="100">
        <v>62.32</v>
      </c>
      <c r="H90" s="100">
        <v>11.99</v>
      </c>
      <c r="I90" s="100">
        <v>11.75</v>
      </c>
      <c r="J90" s="100">
        <v>0.18</v>
      </c>
      <c r="K90" s="100">
        <v>180.94</v>
      </c>
      <c r="L90" s="100">
        <v>16.87</v>
      </c>
      <c r="M90" s="100">
        <v>24.52</v>
      </c>
      <c r="N90" s="100">
        <v>1.7</v>
      </c>
      <c r="O90" s="100">
        <v>0</v>
      </c>
      <c r="P90" s="100">
        <v>0.65</v>
      </c>
      <c r="Q90" s="100">
        <v>9.32</v>
      </c>
      <c r="R90" s="6"/>
      <c r="S90" s="6"/>
      <c r="T90" s="156"/>
      <c r="U90" s="6"/>
    </row>
    <row r="91" spans="1:21" customFormat="1">
      <c r="A91" s="201" t="s">
        <v>2438</v>
      </c>
      <c r="B91" s="100">
        <v>9.9700000000000006</v>
      </c>
      <c r="C91" s="100">
        <v>13.75</v>
      </c>
      <c r="D91" s="100">
        <v>15.18</v>
      </c>
      <c r="E91" s="100">
        <v>6.91</v>
      </c>
      <c r="F91" s="151" t="s">
        <v>8</v>
      </c>
      <c r="G91" s="100">
        <v>61.08</v>
      </c>
      <c r="H91" s="100">
        <v>12.03</v>
      </c>
      <c r="I91" s="100">
        <v>12.04</v>
      </c>
      <c r="J91" s="100">
        <v>0.14000000000000001</v>
      </c>
      <c r="K91" s="100">
        <v>181.29</v>
      </c>
      <c r="L91" s="100">
        <v>16.55</v>
      </c>
      <c r="M91" s="100">
        <v>23.7</v>
      </c>
      <c r="N91" s="100">
        <v>1.7</v>
      </c>
      <c r="O91" s="100">
        <v>0</v>
      </c>
      <c r="P91" s="100">
        <v>0.66</v>
      </c>
      <c r="Q91" s="100">
        <v>9.32</v>
      </c>
      <c r="R91" s="6"/>
      <c r="S91" s="6"/>
      <c r="T91" s="156"/>
      <c r="U91" s="6"/>
    </row>
    <row r="92" spans="1:21" customFormat="1">
      <c r="A92" s="201" t="s">
        <v>2439</v>
      </c>
      <c r="B92" s="100">
        <v>10.48</v>
      </c>
      <c r="C92" s="100">
        <v>13.95</v>
      </c>
      <c r="D92" s="100">
        <v>15.69</v>
      </c>
      <c r="E92" s="100">
        <v>6.64</v>
      </c>
      <c r="F92" s="151" t="s">
        <v>8</v>
      </c>
      <c r="G92" s="100">
        <v>49.93</v>
      </c>
      <c r="H92" s="100">
        <v>12.34</v>
      </c>
      <c r="I92" s="100">
        <v>12.36</v>
      </c>
      <c r="J92" s="100">
        <v>0.21</v>
      </c>
      <c r="K92" s="100">
        <v>183.37</v>
      </c>
      <c r="L92" s="100">
        <v>16.98</v>
      </c>
      <c r="M92" s="100">
        <v>24.85</v>
      </c>
      <c r="N92" s="100">
        <v>1.7</v>
      </c>
      <c r="O92" s="100">
        <v>0</v>
      </c>
      <c r="P92" s="100">
        <v>0.66</v>
      </c>
      <c r="Q92" s="100">
        <v>9.32</v>
      </c>
      <c r="R92" s="6"/>
      <c r="S92" s="6"/>
      <c r="T92" s="156"/>
      <c r="U92" s="6"/>
    </row>
    <row r="93" spans="1:21" customFormat="1">
      <c r="A93" s="201" t="s">
        <v>2440</v>
      </c>
      <c r="B93" s="100">
        <v>10.78</v>
      </c>
      <c r="C93" s="100">
        <v>14.01</v>
      </c>
      <c r="D93" s="100">
        <v>15.97</v>
      </c>
      <c r="E93" s="100">
        <v>6.92</v>
      </c>
      <c r="F93" s="151" t="s">
        <v>8</v>
      </c>
      <c r="G93" s="100">
        <v>49.93</v>
      </c>
      <c r="H93" s="100">
        <v>12.34</v>
      </c>
      <c r="I93" s="100">
        <v>12.38</v>
      </c>
      <c r="J93" s="100">
        <v>0.21</v>
      </c>
      <c r="K93" s="100">
        <v>173.98</v>
      </c>
      <c r="L93" s="100">
        <v>16.13</v>
      </c>
      <c r="M93" s="100">
        <v>22.65</v>
      </c>
      <c r="N93" s="100">
        <v>1.7</v>
      </c>
      <c r="O93" s="100">
        <v>0</v>
      </c>
      <c r="P93" s="100">
        <v>0.67</v>
      </c>
      <c r="Q93" s="100">
        <v>9.32</v>
      </c>
      <c r="R93" s="6"/>
      <c r="S93" s="6"/>
      <c r="T93" s="156"/>
      <c r="U93" s="6"/>
    </row>
    <row r="94" spans="1:21" customFormat="1">
      <c r="A94" s="201" t="s">
        <v>2441</v>
      </c>
      <c r="B94" s="100">
        <v>10.74</v>
      </c>
      <c r="C94" s="100">
        <v>13.96</v>
      </c>
      <c r="D94" s="100">
        <v>15.91</v>
      </c>
      <c r="E94" s="100">
        <v>6.87</v>
      </c>
      <c r="F94" s="151" t="s">
        <v>8</v>
      </c>
      <c r="G94" s="100">
        <v>49.93</v>
      </c>
      <c r="H94" s="100">
        <v>12.34</v>
      </c>
      <c r="I94" s="100">
        <v>12.39</v>
      </c>
      <c r="J94" s="100">
        <v>0.23</v>
      </c>
      <c r="K94" s="100">
        <v>188.46</v>
      </c>
      <c r="L94" s="100">
        <v>17.260000000000002</v>
      </c>
      <c r="M94" s="100">
        <v>25.57</v>
      </c>
      <c r="N94" s="100">
        <v>1.6</v>
      </c>
      <c r="O94" s="100">
        <v>0</v>
      </c>
      <c r="P94" s="100">
        <v>0.66</v>
      </c>
      <c r="Q94" s="100">
        <v>9.32</v>
      </c>
      <c r="R94" s="6"/>
      <c r="S94" s="6"/>
      <c r="T94" s="156"/>
      <c r="U94" s="6"/>
    </row>
    <row r="95" spans="1:21" customFormat="1">
      <c r="A95" s="201" t="s">
        <v>2442</v>
      </c>
      <c r="B95" s="100">
        <v>10.51</v>
      </c>
      <c r="C95" s="100">
        <v>13.96</v>
      </c>
      <c r="D95" s="100">
        <v>15.72</v>
      </c>
      <c r="E95" s="100">
        <v>6.9</v>
      </c>
      <c r="F95" s="151" t="s">
        <v>8</v>
      </c>
      <c r="G95" s="100">
        <v>49.64</v>
      </c>
      <c r="H95" s="100">
        <v>12.31</v>
      </c>
      <c r="I95" s="100">
        <v>12.4</v>
      </c>
      <c r="J95" s="100">
        <v>0.25</v>
      </c>
      <c r="K95" s="100">
        <v>173.08</v>
      </c>
      <c r="L95" s="100">
        <v>16.760000000000002</v>
      </c>
      <c r="M95" s="100">
        <v>24.33</v>
      </c>
      <c r="N95" s="100">
        <v>1.8</v>
      </c>
      <c r="O95" s="100">
        <v>0</v>
      </c>
      <c r="P95" s="100">
        <v>0.65</v>
      </c>
      <c r="Q95" s="100">
        <v>9.32</v>
      </c>
      <c r="R95" s="6"/>
      <c r="S95" s="6"/>
      <c r="T95" s="156"/>
      <c r="U95" s="6"/>
    </row>
    <row r="96" spans="1:21" customFormat="1">
      <c r="A96" s="201" t="s">
        <v>2443</v>
      </c>
      <c r="B96" s="100">
        <v>10.34</v>
      </c>
      <c r="C96" s="100">
        <v>13.87</v>
      </c>
      <c r="D96" s="100">
        <v>15.54</v>
      </c>
      <c r="E96" s="100">
        <v>7.03</v>
      </c>
      <c r="F96" s="151" t="s">
        <v>8</v>
      </c>
      <c r="G96" s="100">
        <v>47.07</v>
      </c>
      <c r="H96" s="100">
        <v>12.09</v>
      </c>
      <c r="I96" s="100">
        <v>12.36</v>
      </c>
      <c r="J96" s="100">
        <v>0.18</v>
      </c>
      <c r="K96" s="100">
        <v>184.72</v>
      </c>
      <c r="L96" s="100">
        <v>16.64</v>
      </c>
      <c r="M96" s="100">
        <v>24.03</v>
      </c>
      <c r="N96" s="100">
        <v>1.7</v>
      </c>
      <c r="O96" s="100">
        <v>0</v>
      </c>
      <c r="P96" s="100">
        <v>0.65</v>
      </c>
      <c r="Q96" s="100">
        <v>9.32</v>
      </c>
      <c r="R96" s="6"/>
      <c r="S96" s="6"/>
      <c r="T96" s="156"/>
      <c r="U96" s="6"/>
    </row>
    <row r="97" spans="1:28" customFormat="1">
      <c r="A97" s="201" t="s">
        <v>2444</v>
      </c>
      <c r="B97" s="100">
        <v>10.39</v>
      </c>
      <c r="C97" s="100">
        <v>14.09</v>
      </c>
      <c r="D97" s="100">
        <v>15.69</v>
      </c>
      <c r="E97" s="100">
        <v>6.81</v>
      </c>
      <c r="F97" s="151" t="s">
        <v>8</v>
      </c>
      <c r="G97" s="100">
        <v>47.07</v>
      </c>
      <c r="H97" s="100">
        <v>12.09</v>
      </c>
      <c r="I97" s="100">
        <v>12.31</v>
      </c>
      <c r="J97" s="100">
        <v>0.2</v>
      </c>
      <c r="K97" s="100">
        <v>175.09</v>
      </c>
      <c r="L97" s="100">
        <v>16.22</v>
      </c>
      <c r="M97" s="100">
        <v>22.99</v>
      </c>
      <c r="N97" s="100">
        <v>1.6</v>
      </c>
      <c r="O97" s="100">
        <v>0</v>
      </c>
      <c r="P97" s="100">
        <v>0.66</v>
      </c>
      <c r="Q97" s="100">
        <v>9.32</v>
      </c>
      <c r="R97" s="6"/>
      <c r="S97" s="6"/>
      <c r="T97" s="156"/>
      <c r="U97" s="6"/>
    </row>
    <row r="98" spans="1:28" customFormat="1">
      <c r="A98" s="201" t="s">
        <v>2445</v>
      </c>
      <c r="B98" s="100">
        <v>11.21</v>
      </c>
      <c r="C98" s="100">
        <v>14.75</v>
      </c>
      <c r="D98" s="100">
        <v>16.690000000000001</v>
      </c>
      <c r="E98" s="100">
        <v>6.74</v>
      </c>
      <c r="F98" s="151" t="s">
        <v>8</v>
      </c>
      <c r="G98" s="100">
        <v>47.07</v>
      </c>
      <c r="H98" s="100">
        <v>12.09</v>
      </c>
      <c r="I98" s="100">
        <v>12.29</v>
      </c>
      <c r="J98" s="100">
        <v>0.17</v>
      </c>
      <c r="K98" s="100">
        <v>202.37</v>
      </c>
      <c r="L98" s="100">
        <v>18.13</v>
      </c>
      <c r="M98" s="100">
        <v>27.77</v>
      </c>
      <c r="N98" s="100">
        <v>1.7</v>
      </c>
      <c r="O98" s="100">
        <v>0</v>
      </c>
      <c r="P98" s="100">
        <v>0.67</v>
      </c>
      <c r="Q98" s="100">
        <v>9.32</v>
      </c>
      <c r="R98" s="6"/>
      <c r="S98" s="6"/>
      <c r="T98" s="156"/>
      <c r="U98" s="6"/>
    </row>
    <row r="99" spans="1:28" customFormat="1">
      <c r="A99" s="201" t="s">
        <v>2446</v>
      </c>
      <c r="B99" s="100">
        <v>11.72</v>
      </c>
      <c r="C99" s="100">
        <v>15.05</v>
      </c>
      <c r="D99" s="100">
        <v>17.260000000000002</v>
      </c>
      <c r="E99" s="100">
        <v>7.19</v>
      </c>
      <c r="F99" s="151" t="s">
        <v>8</v>
      </c>
      <c r="G99" s="100">
        <v>47.42</v>
      </c>
      <c r="H99" s="100">
        <v>12.2</v>
      </c>
      <c r="I99" s="100">
        <v>12.26</v>
      </c>
      <c r="J99" s="100">
        <v>0.17</v>
      </c>
      <c r="K99" s="100">
        <v>202.17</v>
      </c>
      <c r="L99" s="100">
        <v>18.059999999999999</v>
      </c>
      <c r="M99" s="100">
        <v>27.6</v>
      </c>
      <c r="N99" s="100">
        <v>1.7</v>
      </c>
      <c r="O99" s="100">
        <v>0</v>
      </c>
      <c r="P99" s="100">
        <v>0.67</v>
      </c>
      <c r="Q99" s="100">
        <v>9.32</v>
      </c>
      <c r="R99" s="6"/>
      <c r="S99" s="6"/>
      <c r="T99" s="156"/>
      <c r="U99" s="6"/>
    </row>
    <row r="100" spans="1:28" customFormat="1">
      <c r="A100" s="201" t="s">
        <v>2447</v>
      </c>
      <c r="B100" s="100">
        <v>11.94</v>
      </c>
      <c r="C100" s="100">
        <v>15.08</v>
      </c>
      <c r="D100" s="100">
        <v>17.45</v>
      </c>
      <c r="E100" s="100">
        <v>6.98</v>
      </c>
      <c r="F100" s="151" t="s">
        <v>8</v>
      </c>
      <c r="G100" s="100">
        <v>50.55</v>
      </c>
      <c r="H100" s="100">
        <v>12.99</v>
      </c>
      <c r="I100" s="100">
        <v>12.22</v>
      </c>
      <c r="J100" s="100">
        <v>0.18</v>
      </c>
      <c r="K100" s="100">
        <v>203.42</v>
      </c>
      <c r="L100" s="100">
        <v>18.16</v>
      </c>
      <c r="M100" s="100">
        <v>27.85</v>
      </c>
      <c r="N100" s="100">
        <v>1.7</v>
      </c>
      <c r="O100" s="100">
        <v>0</v>
      </c>
      <c r="P100" s="100">
        <v>0.67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2448</v>
      </c>
      <c r="B101" s="100">
        <v>11.82</v>
      </c>
      <c r="C101" s="100">
        <v>14.93</v>
      </c>
      <c r="D101" s="100">
        <v>17.28</v>
      </c>
      <c r="E101" s="100">
        <v>7.04</v>
      </c>
      <c r="F101" s="151" t="s">
        <v>8</v>
      </c>
      <c r="G101" s="100">
        <v>50.55</v>
      </c>
      <c r="H101" s="100">
        <v>12.99</v>
      </c>
      <c r="I101" s="100">
        <v>12.15</v>
      </c>
      <c r="J101" s="100">
        <v>0.14000000000000001</v>
      </c>
      <c r="K101" s="100">
        <v>217.36</v>
      </c>
      <c r="L101" s="100">
        <v>19.36</v>
      </c>
      <c r="M101" s="100">
        <v>30.85</v>
      </c>
      <c r="N101" s="100">
        <v>1.7</v>
      </c>
      <c r="O101" s="100">
        <v>0</v>
      </c>
      <c r="P101" s="100">
        <v>0.67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2449</v>
      </c>
      <c r="B102" s="100">
        <v>11.54</v>
      </c>
      <c r="C102" s="100">
        <v>14.62</v>
      </c>
      <c r="D102" s="100">
        <v>16.89</v>
      </c>
      <c r="E102" s="100">
        <v>7.05</v>
      </c>
      <c r="F102" s="151" t="s">
        <v>8</v>
      </c>
      <c r="G102" s="100">
        <v>50.55</v>
      </c>
      <c r="H102" s="100">
        <v>12.99</v>
      </c>
      <c r="I102" s="100">
        <v>12.13</v>
      </c>
      <c r="J102" s="100">
        <v>0.17</v>
      </c>
      <c r="K102" s="100">
        <v>171.29</v>
      </c>
      <c r="L102" s="100">
        <v>16.149999999999999</v>
      </c>
      <c r="M102" s="100">
        <v>22.82</v>
      </c>
      <c r="N102" s="100">
        <v>1.7</v>
      </c>
      <c r="O102" s="100">
        <v>0</v>
      </c>
      <c r="P102" s="100">
        <v>0.67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2450</v>
      </c>
      <c r="B103" s="100">
        <v>11.23</v>
      </c>
      <c r="C103" s="100">
        <v>14.26</v>
      </c>
      <c r="D103" s="100">
        <v>16.46</v>
      </c>
      <c r="E103" s="100">
        <v>6.89</v>
      </c>
      <c r="F103" s="151" t="s">
        <v>8</v>
      </c>
      <c r="G103" s="100">
        <v>49.9</v>
      </c>
      <c r="H103" s="100">
        <v>13.12</v>
      </c>
      <c r="I103" s="100">
        <v>12.12</v>
      </c>
      <c r="J103" s="100">
        <v>0.14000000000000001</v>
      </c>
      <c r="K103" s="100">
        <v>193.81</v>
      </c>
      <c r="L103" s="100">
        <v>17.61</v>
      </c>
      <c r="M103" s="100">
        <v>26.49</v>
      </c>
      <c r="N103" s="100">
        <v>1.5</v>
      </c>
      <c r="O103" s="100">
        <v>0</v>
      </c>
      <c r="P103" s="100">
        <v>0.67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2451</v>
      </c>
      <c r="B104" s="100">
        <v>10.96</v>
      </c>
      <c r="C104" s="100">
        <v>14.02</v>
      </c>
      <c r="D104" s="100">
        <v>16.11</v>
      </c>
      <c r="E104" s="100">
        <v>6.71</v>
      </c>
      <c r="F104" s="151" t="s">
        <v>8</v>
      </c>
      <c r="G104" s="100">
        <v>44.05</v>
      </c>
      <c r="H104" s="100">
        <v>14</v>
      </c>
      <c r="I104" s="100">
        <v>12.05</v>
      </c>
      <c r="J104" s="100">
        <v>0.16</v>
      </c>
      <c r="K104" s="100">
        <v>217.92</v>
      </c>
      <c r="L104" s="100">
        <v>19.53</v>
      </c>
      <c r="M104" s="100">
        <v>31.27</v>
      </c>
      <c r="N104" s="100">
        <v>1.6</v>
      </c>
      <c r="O104" s="100">
        <v>0</v>
      </c>
      <c r="P104" s="100">
        <v>0.66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3.18</v>
      </c>
      <c r="C106" s="158">
        <f>MIN(C9:C104)</f>
        <v>10.88</v>
      </c>
      <c r="D106" s="158">
        <f t="shared" ref="D106:Q106" si="0">MIN(D9:D104)</f>
        <v>8.4</v>
      </c>
      <c r="E106" s="158">
        <f t="shared" si="0"/>
        <v>4.59</v>
      </c>
      <c r="F106" s="158">
        <f t="shared" si="0"/>
        <v>0</v>
      </c>
      <c r="G106" s="158">
        <f t="shared" si="0"/>
        <v>17.68</v>
      </c>
      <c r="H106" s="158">
        <f t="shared" si="0"/>
        <v>10.07</v>
      </c>
      <c r="I106" s="158">
        <f t="shared" si="0"/>
        <v>9.68</v>
      </c>
      <c r="J106" s="158">
        <f t="shared" si="0"/>
        <v>7.0000000000000007E-2</v>
      </c>
      <c r="K106" s="158">
        <f t="shared" si="0"/>
        <v>0.32</v>
      </c>
      <c r="L106" s="158">
        <f t="shared" si="0"/>
        <v>8.19</v>
      </c>
      <c r="M106" s="158">
        <f t="shared" si="0"/>
        <v>2.0299999999999998</v>
      </c>
      <c r="N106" s="158">
        <f t="shared" si="0"/>
        <v>1.4</v>
      </c>
      <c r="O106" s="158">
        <f t="shared" si="0"/>
        <v>0</v>
      </c>
      <c r="P106" s="158">
        <f t="shared" si="0"/>
        <v>0.48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23.28</v>
      </c>
      <c r="C107" s="157">
        <f t="shared" ref="C107:Q107" si="1">MAX(C9:C104)</f>
        <v>17.23</v>
      </c>
      <c r="D107" s="157">
        <f t="shared" si="1"/>
        <v>26.87</v>
      </c>
      <c r="E107" s="157">
        <f t="shared" si="1"/>
        <v>7.19</v>
      </c>
      <c r="F107" s="157">
        <f t="shared" si="1"/>
        <v>0</v>
      </c>
      <c r="G107" s="157">
        <f t="shared" si="1"/>
        <v>88.63</v>
      </c>
      <c r="H107" s="157">
        <f t="shared" si="1"/>
        <v>20.38</v>
      </c>
      <c r="I107" s="157">
        <f t="shared" si="1"/>
        <v>17.579999999999998</v>
      </c>
      <c r="J107" s="157">
        <f t="shared" si="1"/>
        <v>0.8</v>
      </c>
      <c r="K107" s="157">
        <f t="shared" si="1"/>
        <v>331.03</v>
      </c>
      <c r="L107" s="157">
        <f t="shared" si="1"/>
        <v>22.03</v>
      </c>
      <c r="M107" s="157">
        <f t="shared" si="1"/>
        <v>33.15</v>
      </c>
      <c r="N107" s="157">
        <f t="shared" si="1"/>
        <v>516.9</v>
      </c>
      <c r="O107" s="157">
        <f t="shared" si="1"/>
        <v>0</v>
      </c>
      <c r="P107" s="157">
        <f t="shared" si="1"/>
        <v>0.98</v>
      </c>
      <c r="Q107" s="157">
        <f t="shared" si="1"/>
        <v>9.32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11.465208333333337</v>
      </c>
      <c r="C108" s="158">
        <f t="shared" ref="C108:Q108" si="2">AVERAGE(C9:C104)</f>
        <v>14.214895833333332</v>
      </c>
      <c r="D108" s="158">
        <f t="shared" si="2"/>
        <v>16.620937500000004</v>
      </c>
      <c r="E108" s="158">
        <f t="shared" si="2"/>
        <v>6.0607291666666683</v>
      </c>
      <c r="F108" s="158" t="e">
        <f t="shared" si="2"/>
        <v>#DIV/0!</v>
      </c>
      <c r="G108" s="158">
        <f t="shared" si="2"/>
        <v>46.407812499999999</v>
      </c>
      <c r="H108" s="158">
        <f t="shared" si="2"/>
        <v>14.58510416666666</v>
      </c>
      <c r="I108" s="158">
        <f t="shared" si="2"/>
        <v>14.297500000000001</v>
      </c>
      <c r="J108" s="158">
        <f t="shared" si="2"/>
        <v>0.24416666666666673</v>
      </c>
      <c r="K108" s="158">
        <f t="shared" si="2"/>
        <v>143.35218750000001</v>
      </c>
      <c r="L108" s="158">
        <f t="shared" si="2"/>
        <v>15.791041666666667</v>
      </c>
      <c r="M108" s="158">
        <f t="shared" si="2"/>
        <v>19.423437499999995</v>
      </c>
      <c r="N108" s="158">
        <f t="shared" si="2"/>
        <v>102.59479166666675</v>
      </c>
      <c r="O108" s="158">
        <f t="shared" si="2"/>
        <v>0</v>
      </c>
      <c r="P108" s="158">
        <f t="shared" si="2"/>
        <v>0.75916666666666677</v>
      </c>
      <c r="Q108" s="158">
        <f t="shared" si="2"/>
        <v>9.320000000000018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5.7547477843432402</v>
      </c>
      <c r="C109" s="158">
        <f t="shared" ref="C109:Q109" si="3">STDEV(C9:C104)</f>
        <v>1.5179979854308219</v>
      </c>
      <c r="D109" s="158">
        <f t="shared" si="3"/>
        <v>4.9643686359845818</v>
      </c>
      <c r="E109" s="158">
        <f t="shared" si="3"/>
        <v>0.64872221740191394</v>
      </c>
      <c r="F109" s="158" t="e">
        <f t="shared" si="3"/>
        <v>#DIV/0!</v>
      </c>
      <c r="G109" s="158">
        <f t="shared" si="3"/>
        <v>14.925254274700798</v>
      </c>
      <c r="H109" s="158">
        <f t="shared" si="3"/>
        <v>3.1663746477774581</v>
      </c>
      <c r="I109" s="158">
        <f t="shared" si="3"/>
        <v>2.7155455010772518</v>
      </c>
      <c r="J109" s="158">
        <f t="shared" si="3"/>
        <v>0.13770805630728303</v>
      </c>
      <c r="K109" s="158">
        <f t="shared" si="3"/>
        <v>60.995160208402432</v>
      </c>
      <c r="L109" s="158">
        <f t="shared" si="3"/>
        <v>2.3578056163648045</v>
      </c>
      <c r="M109" s="158">
        <f t="shared" si="3"/>
        <v>6.9414788092459583</v>
      </c>
      <c r="N109" s="158">
        <f t="shared" si="3"/>
        <v>166.69162222486213</v>
      </c>
      <c r="O109" s="158">
        <f t="shared" si="3"/>
        <v>0</v>
      </c>
      <c r="P109" s="158">
        <f t="shared" si="3"/>
        <v>0.16892643473085436</v>
      </c>
      <c r="Q109" s="158">
        <f t="shared" si="3"/>
        <v>1.7856816112883485E-14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2452</v>
      </c>
      <c r="B9" s="100">
        <v>10.6</v>
      </c>
      <c r="C9" s="100">
        <v>13.26</v>
      </c>
      <c r="D9" s="100">
        <v>15.43</v>
      </c>
      <c r="E9" s="100">
        <v>6.93</v>
      </c>
      <c r="F9" s="151" t="s">
        <v>8</v>
      </c>
      <c r="G9" s="100">
        <v>44.05</v>
      </c>
      <c r="H9" s="100">
        <v>14</v>
      </c>
      <c r="I9" s="100">
        <v>12.01</v>
      </c>
      <c r="J9" s="100">
        <v>0.15</v>
      </c>
      <c r="K9" s="100">
        <v>208.75</v>
      </c>
      <c r="L9" s="100">
        <v>18.670000000000002</v>
      </c>
      <c r="M9" s="100">
        <v>29.15</v>
      </c>
      <c r="N9" s="100">
        <v>1.5</v>
      </c>
      <c r="O9" s="100">
        <v>0</v>
      </c>
      <c r="P9" s="100">
        <v>0.66</v>
      </c>
      <c r="Q9" s="100">
        <v>9.32</v>
      </c>
      <c r="R9" s="6"/>
      <c r="S9" s="6"/>
      <c r="T9" s="156"/>
      <c r="U9" s="6"/>
    </row>
    <row r="10" spans="1:21" customFormat="1">
      <c r="A10" s="201" t="s">
        <v>2453</v>
      </c>
      <c r="B10" s="100">
        <v>10.38</v>
      </c>
      <c r="C10" s="100">
        <v>13.55</v>
      </c>
      <c r="D10" s="100">
        <v>15.4</v>
      </c>
      <c r="E10" s="100">
        <v>6.87</v>
      </c>
      <c r="F10" s="151" t="s">
        <v>8</v>
      </c>
      <c r="G10" s="100">
        <v>44.05</v>
      </c>
      <c r="H10" s="100">
        <v>14</v>
      </c>
      <c r="I10" s="100">
        <v>11.98</v>
      </c>
      <c r="J10" s="100">
        <v>0.09</v>
      </c>
      <c r="K10" s="100">
        <v>167.97</v>
      </c>
      <c r="L10" s="100">
        <v>15.7</v>
      </c>
      <c r="M10" s="100">
        <v>21.63</v>
      </c>
      <c r="N10" s="100">
        <v>1.6</v>
      </c>
      <c r="O10" s="100">
        <v>0</v>
      </c>
      <c r="P10" s="100">
        <v>0.65</v>
      </c>
      <c r="Q10" s="100">
        <v>9.32</v>
      </c>
      <c r="R10" s="6"/>
      <c r="S10" s="6"/>
      <c r="T10" s="156"/>
      <c r="U10" s="6"/>
    </row>
    <row r="11" spans="1:21" customFormat="1">
      <c r="A11" s="201" t="s">
        <v>2454</v>
      </c>
      <c r="B11" s="100">
        <v>10.6</v>
      </c>
      <c r="C11" s="100">
        <v>13.63</v>
      </c>
      <c r="D11" s="100">
        <v>15.62</v>
      </c>
      <c r="E11" s="100">
        <v>7.41</v>
      </c>
      <c r="F11" s="151" t="s">
        <v>8</v>
      </c>
      <c r="G11" s="100">
        <v>43.51</v>
      </c>
      <c r="H11" s="100">
        <v>13.95</v>
      </c>
      <c r="I11" s="100">
        <v>11.97</v>
      </c>
      <c r="J11" s="100">
        <v>0.12</v>
      </c>
      <c r="K11" s="100">
        <v>164.01</v>
      </c>
      <c r="L11" s="100">
        <v>14.71</v>
      </c>
      <c r="M11" s="100">
        <v>19.2</v>
      </c>
      <c r="N11" s="100">
        <v>1.4</v>
      </c>
      <c r="O11" s="100">
        <v>0</v>
      </c>
      <c r="P11" s="100">
        <v>0.65</v>
      </c>
      <c r="Q11" s="100">
        <v>9.32</v>
      </c>
      <c r="R11" s="6"/>
      <c r="S11" s="6"/>
      <c r="T11" s="156"/>
      <c r="U11" s="6"/>
    </row>
    <row r="12" spans="1:21" customFormat="1">
      <c r="A12" s="201" t="s">
        <v>2455</v>
      </c>
      <c r="B12" s="100">
        <v>12.01</v>
      </c>
      <c r="C12" s="100">
        <v>13.97</v>
      </c>
      <c r="D12" s="100">
        <v>16.93</v>
      </c>
      <c r="E12" s="100">
        <v>7.17</v>
      </c>
      <c r="F12" s="151" t="s">
        <v>8</v>
      </c>
      <c r="G12" s="100">
        <v>38.68</v>
      </c>
      <c r="H12" s="100">
        <v>13.62</v>
      </c>
      <c r="I12" s="100">
        <v>11.95</v>
      </c>
      <c r="J12" s="100">
        <v>0.14000000000000001</v>
      </c>
      <c r="K12" s="100">
        <v>130.74</v>
      </c>
      <c r="L12" s="100">
        <v>13.16</v>
      </c>
      <c r="M12" s="100">
        <v>15.28</v>
      </c>
      <c r="N12" s="100">
        <v>1.5</v>
      </c>
      <c r="O12" s="100">
        <v>0</v>
      </c>
      <c r="P12" s="100">
        <v>0.66</v>
      </c>
      <c r="Q12" s="100">
        <v>9.32</v>
      </c>
      <c r="R12" s="6"/>
      <c r="S12" s="6"/>
      <c r="T12" s="156"/>
      <c r="U12" s="6"/>
    </row>
    <row r="13" spans="1:21" customFormat="1">
      <c r="A13" s="201" t="s">
        <v>2456</v>
      </c>
      <c r="B13" s="100">
        <v>14.81</v>
      </c>
      <c r="C13" s="100">
        <v>14.63</v>
      </c>
      <c r="D13" s="100">
        <v>19.52</v>
      </c>
      <c r="E13" s="100">
        <v>6.91</v>
      </c>
      <c r="F13" s="151" t="s">
        <v>8</v>
      </c>
      <c r="G13" s="100">
        <v>38.68</v>
      </c>
      <c r="H13" s="100">
        <v>13.62</v>
      </c>
      <c r="I13" s="100">
        <v>11.96</v>
      </c>
      <c r="J13" s="100">
        <v>0.17</v>
      </c>
      <c r="K13" s="100">
        <v>147.83000000000001</v>
      </c>
      <c r="L13" s="100">
        <v>13.81</v>
      </c>
      <c r="M13" s="100">
        <v>16.98</v>
      </c>
      <c r="N13" s="100">
        <v>1.5</v>
      </c>
      <c r="O13" s="100">
        <v>0</v>
      </c>
      <c r="P13" s="100">
        <v>0.68</v>
      </c>
      <c r="Q13" s="100">
        <v>9.32</v>
      </c>
      <c r="R13" s="6"/>
      <c r="S13" s="6"/>
      <c r="T13" s="156"/>
      <c r="U13" s="6"/>
    </row>
    <row r="14" spans="1:21" customFormat="1">
      <c r="A14" s="201" t="s">
        <v>2457</v>
      </c>
      <c r="B14" s="100">
        <v>17.3</v>
      </c>
      <c r="C14" s="100">
        <v>15.24</v>
      </c>
      <c r="D14" s="100">
        <v>21.84</v>
      </c>
      <c r="E14" s="100">
        <v>7.17</v>
      </c>
      <c r="F14" s="151" t="s">
        <v>8</v>
      </c>
      <c r="G14" s="100">
        <v>38.68</v>
      </c>
      <c r="H14" s="100">
        <v>13.62</v>
      </c>
      <c r="I14" s="100">
        <v>12.17</v>
      </c>
      <c r="J14" s="100">
        <v>0.18</v>
      </c>
      <c r="K14" s="100">
        <v>166.9</v>
      </c>
      <c r="L14" s="100">
        <v>15.66</v>
      </c>
      <c r="M14" s="100">
        <v>21.63</v>
      </c>
      <c r="N14" s="100">
        <v>1.7</v>
      </c>
      <c r="O14" s="100">
        <v>0</v>
      </c>
      <c r="P14" s="100">
        <v>0.68</v>
      </c>
      <c r="Q14" s="100">
        <v>9.32</v>
      </c>
      <c r="R14" s="6"/>
      <c r="S14" s="6"/>
      <c r="T14" s="156"/>
      <c r="U14" s="6"/>
    </row>
    <row r="15" spans="1:21" customFormat="1">
      <c r="A15" s="201" t="s">
        <v>2458</v>
      </c>
      <c r="B15" s="100">
        <v>18.850000000000001</v>
      </c>
      <c r="C15" s="100">
        <v>15.6</v>
      </c>
      <c r="D15" s="100">
        <v>23.27</v>
      </c>
      <c r="E15" s="100">
        <v>7.05</v>
      </c>
      <c r="F15" s="151" t="s">
        <v>8</v>
      </c>
      <c r="G15" s="100">
        <v>39.450000000000003</v>
      </c>
      <c r="H15" s="100">
        <v>13.69</v>
      </c>
      <c r="I15" s="100">
        <v>12.48</v>
      </c>
      <c r="J15" s="100">
        <v>0.14000000000000001</v>
      </c>
      <c r="K15" s="100">
        <v>195.83</v>
      </c>
      <c r="L15" s="100">
        <v>17.440000000000001</v>
      </c>
      <c r="M15" s="100">
        <v>26.09</v>
      </c>
      <c r="N15" s="100">
        <v>1.6</v>
      </c>
      <c r="O15" s="100">
        <v>0</v>
      </c>
      <c r="P15" s="100">
        <v>0.68</v>
      </c>
      <c r="Q15" s="100">
        <v>9.4700000000000006</v>
      </c>
      <c r="R15" s="6"/>
      <c r="S15" s="6"/>
      <c r="T15" s="156"/>
      <c r="U15" s="6"/>
    </row>
    <row r="16" spans="1:21" customFormat="1">
      <c r="A16" s="201" t="s">
        <v>2459</v>
      </c>
      <c r="B16" s="100">
        <v>19.8</v>
      </c>
      <c r="C16" s="100">
        <v>15.87</v>
      </c>
      <c r="D16" s="100">
        <v>24.17</v>
      </c>
      <c r="E16" s="100">
        <v>6.79</v>
      </c>
      <c r="F16" s="151" t="s">
        <v>8</v>
      </c>
      <c r="G16" s="100">
        <v>46.44</v>
      </c>
      <c r="H16" s="100">
        <v>14.19</v>
      </c>
      <c r="I16" s="100">
        <v>12.75</v>
      </c>
      <c r="J16" s="100">
        <v>0.17</v>
      </c>
      <c r="K16" s="100">
        <v>184.21</v>
      </c>
      <c r="L16" s="100">
        <v>16.79</v>
      </c>
      <c r="M16" s="100">
        <v>24.45</v>
      </c>
      <c r="N16" s="100">
        <v>1.7</v>
      </c>
      <c r="O16" s="100">
        <v>0</v>
      </c>
      <c r="P16" s="100">
        <v>0.69</v>
      </c>
      <c r="Q16" s="100">
        <v>9.5299999999999994</v>
      </c>
      <c r="R16" s="6"/>
      <c r="S16" s="6"/>
      <c r="T16" s="156"/>
      <c r="U16" s="6"/>
    </row>
    <row r="17" spans="1:21" customFormat="1">
      <c r="A17" s="201" t="s">
        <v>2460</v>
      </c>
      <c r="B17" s="100">
        <v>20.64</v>
      </c>
      <c r="C17" s="100">
        <v>16.07</v>
      </c>
      <c r="D17" s="100">
        <v>24.95</v>
      </c>
      <c r="E17" s="100">
        <v>5.34</v>
      </c>
      <c r="F17" s="151" t="s">
        <v>8</v>
      </c>
      <c r="G17" s="100">
        <v>46.44</v>
      </c>
      <c r="H17" s="100">
        <v>14.19</v>
      </c>
      <c r="I17" s="100">
        <v>13.01</v>
      </c>
      <c r="J17" s="100">
        <v>0.18</v>
      </c>
      <c r="K17" s="100">
        <v>202.22</v>
      </c>
      <c r="L17" s="100">
        <v>18.329999999999998</v>
      </c>
      <c r="M17" s="100">
        <v>28.3</v>
      </c>
      <c r="N17" s="100">
        <v>1.7</v>
      </c>
      <c r="O17" s="100">
        <v>0</v>
      </c>
      <c r="P17" s="100">
        <v>0.68</v>
      </c>
      <c r="Q17" s="100">
        <v>9.32</v>
      </c>
      <c r="R17" s="6"/>
      <c r="S17" s="6"/>
      <c r="T17" s="156"/>
      <c r="U17" s="6"/>
    </row>
    <row r="18" spans="1:21" customFormat="1">
      <c r="A18" s="201" t="s">
        <v>2461</v>
      </c>
      <c r="B18" s="100">
        <v>21.07</v>
      </c>
      <c r="C18" s="100">
        <v>16.170000000000002</v>
      </c>
      <c r="D18" s="100">
        <v>25.34</v>
      </c>
      <c r="E18" s="100">
        <v>6.27</v>
      </c>
      <c r="F18" s="151" t="s">
        <v>8</v>
      </c>
      <c r="G18" s="100">
        <v>46.44</v>
      </c>
      <c r="H18" s="100">
        <v>14.19</v>
      </c>
      <c r="I18" s="100">
        <v>13.16</v>
      </c>
      <c r="J18" s="100">
        <v>0.18</v>
      </c>
      <c r="K18" s="100">
        <v>221.39</v>
      </c>
      <c r="L18" s="100">
        <v>19.170000000000002</v>
      </c>
      <c r="M18" s="100">
        <v>30.39</v>
      </c>
      <c r="N18" s="100">
        <v>1.8</v>
      </c>
      <c r="O18" s="100">
        <v>0</v>
      </c>
      <c r="P18" s="100">
        <v>0.7</v>
      </c>
      <c r="Q18" s="100">
        <v>9.4499999999999993</v>
      </c>
      <c r="R18" s="6"/>
      <c r="S18" s="6"/>
      <c r="T18" s="156"/>
      <c r="U18" s="6"/>
    </row>
    <row r="19" spans="1:21" customFormat="1">
      <c r="A19" s="201" t="s">
        <v>2462</v>
      </c>
      <c r="B19" s="100">
        <v>21.41</v>
      </c>
      <c r="C19" s="100">
        <v>15.85</v>
      </c>
      <c r="D19" s="100">
        <v>25.45</v>
      </c>
      <c r="E19" s="100">
        <v>6.18</v>
      </c>
      <c r="F19" s="151" t="s">
        <v>8</v>
      </c>
      <c r="G19" s="100">
        <v>46.23</v>
      </c>
      <c r="H19" s="100">
        <v>14.29</v>
      </c>
      <c r="I19" s="100">
        <v>13.19</v>
      </c>
      <c r="J19" s="100">
        <v>0.13</v>
      </c>
      <c r="K19" s="100">
        <v>176.97</v>
      </c>
      <c r="L19" s="100">
        <v>15.84</v>
      </c>
      <c r="M19" s="100">
        <v>22</v>
      </c>
      <c r="N19" s="100">
        <v>1.7</v>
      </c>
      <c r="O19" s="100">
        <v>0</v>
      </c>
      <c r="P19" s="100">
        <v>0.7</v>
      </c>
      <c r="Q19" s="100">
        <v>9.32</v>
      </c>
      <c r="R19" s="6"/>
      <c r="S19" s="6"/>
      <c r="T19" s="156"/>
      <c r="U19" s="6"/>
    </row>
    <row r="20" spans="1:21" customFormat="1">
      <c r="A20" s="201" t="s">
        <v>2463</v>
      </c>
      <c r="B20" s="100">
        <v>21.69</v>
      </c>
      <c r="C20" s="100">
        <v>15.57</v>
      </c>
      <c r="D20" s="100">
        <v>25.53</v>
      </c>
      <c r="E20" s="100">
        <v>6.24</v>
      </c>
      <c r="F20" s="151" t="s">
        <v>8</v>
      </c>
      <c r="G20" s="100">
        <v>44.38</v>
      </c>
      <c r="H20" s="100">
        <v>14.99</v>
      </c>
      <c r="I20" s="100">
        <v>13.16</v>
      </c>
      <c r="J20" s="100">
        <v>0.14000000000000001</v>
      </c>
      <c r="K20" s="100">
        <v>150.91</v>
      </c>
      <c r="L20" s="100">
        <v>13.72</v>
      </c>
      <c r="M20" s="100">
        <v>16.63</v>
      </c>
      <c r="N20" s="100">
        <v>1.6</v>
      </c>
      <c r="O20" s="100">
        <v>0</v>
      </c>
      <c r="P20" s="100">
        <v>0.7</v>
      </c>
      <c r="Q20" s="100">
        <v>9.32</v>
      </c>
      <c r="R20" s="6"/>
      <c r="S20" s="6"/>
      <c r="T20" s="156"/>
      <c r="U20" s="6"/>
    </row>
    <row r="21" spans="1:21" customFormat="1">
      <c r="A21" s="201" t="s">
        <v>2464</v>
      </c>
      <c r="B21" s="100">
        <v>22.39</v>
      </c>
      <c r="C21" s="100">
        <v>15.42</v>
      </c>
      <c r="D21" s="100">
        <v>26.01</v>
      </c>
      <c r="E21" s="100">
        <v>6.09</v>
      </c>
      <c r="F21" s="151" t="s">
        <v>8</v>
      </c>
      <c r="G21" s="100">
        <v>44.38</v>
      </c>
      <c r="H21" s="100">
        <v>14.99</v>
      </c>
      <c r="I21" s="100">
        <v>13.11</v>
      </c>
      <c r="J21" s="100">
        <v>0.11</v>
      </c>
      <c r="K21" s="100">
        <v>152.47999999999999</v>
      </c>
      <c r="L21" s="100">
        <v>14.38</v>
      </c>
      <c r="M21" s="100">
        <v>18.3</v>
      </c>
      <c r="N21" s="100">
        <v>1.4</v>
      </c>
      <c r="O21" s="100">
        <v>0</v>
      </c>
      <c r="P21" s="100">
        <v>0.7</v>
      </c>
      <c r="Q21" s="100">
        <v>9.32</v>
      </c>
      <c r="R21" s="6"/>
      <c r="S21" s="6"/>
      <c r="T21" s="156"/>
      <c r="U21" s="6"/>
    </row>
    <row r="22" spans="1:21" customFormat="1">
      <c r="A22" s="201" t="s">
        <v>2465</v>
      </c>
      <c r="B22" s="100">
        <v>23.8</v>
      </c>
      <c r="C22" s="100">
        <v>15.51</v>
      </c>
      <c r="D22" s="100">
        <v>27.19</v>
      </c>
      <c r="E22" s="100">
        <v>6.37</v>
      </c>
      <c r="F22" s="151" t="s">
        <v>8</v>
      </c>
      <c r="G22" s="100">
        <v>44.38</v>
      </c>
      <c r="H22" s="100">
        <v>14.99</v>
      </c>
      <c r="I22" s="100">
        <v>13.1</v>
      </c>
      <c r="J22" s="100">
        <v>0.14000000000000001</v>
      </c>
      <c r="K22" s="100">
        <v>143.24</v>
      </c>
      <c r="L22" s="100">
        <v>13.41</v>
      </c>
      <c r="M22" s="100">
        <v>15.83</v>
      </c>
      <c r="N22" s="100">
        <v>1.6</v>
      </c>
      <c r="O22" s="100">
        <v>0</v>
      </c>
      <c r="P22" s="100">
        <v>0.7</v>
      </c>
      <c r="Q22" s="100">
        <v>9.32</v>
      </c>
      <c r="R22" s="6"/>
      <c r="S22" s="6"/>
      <c r="T22" s="156"/>
      <c r="U22" s="6"/>
    </row>
    <row r="23" spans="1:21" customFormat="1">
      <c r="A23" s="201" t="s">
        <v>2466</v>
      </c>
      <c r="B23" s="100">
        <v>24.76</v>
      </c>
      <c r="C23" s="100">
        <v>15.6</v>
      </c>
      <c r="D23" s="100">
        <v>28</v>
      </c>
      <c r="E23" s="100">
        <v>5.98</v>
      </c>
      <c r="F23" s="151" t="s">
        <v>8</v>
      </c>
      <c r="G23" s="100">
        <v>44.3</v>
      </c>
      <c r="H23" s="100">
        <v>14.89</v>
      </c>
      <c r="I23" s="100">
        <v>13.12</v>
      </c>
      <c r="J23" s="100">
        <v>0.37</v>
      </c>
      <c r="K23" s="100">
        <v>41.25</v>
      </c>
      <c r="L23" s="100">
        <v>7.96</v>
      </c>
      <c r="M23" s="100">
        <v>1.97</v>
      </c>
      <c r="N23" s="100">
        <v>1.2</v>
      </c>
      <c r="O23" s="100">
        <v>0</v>
      </c>
      <c r="P23" s="100">
        <v>0.7</v>
      </c>
      <c r="Q23" s="100">
        <v>9.32</v>
      </c>
      <c r="R23" s="6"/>
      <c r="S23" s="6"/>
      <c r="T23" s="156"/>
      <c r="U23" s="6"/>
    </row>
    <row r="24" spans="1:21" customFormat="1">
      <c r="A24" s="201" t="s">
        <v>2467</v>
      </c>
      <c r="B24" s="100">
        <v>25.21</v>
      </c>
      <c r="C24" s="100">
        <v>15.44</v>
      </c>
      <c r="D24" s="100">
        <v>28.28</v>
      </c>
      <c r="E24" s="100">
        <v>6.2</v>
      </c>
      <c r="F24" s="151" t="s">
        <v>8</v>
      </c>
      <c r="G24" s="100">
        <v>43.51</v>
      </c>
      <c r="H24" s="100">
        <v>14.12</v>
      </c>
      <c r="I24" s="100">
        <v>13.13</v>
      </c>
      <c r="J24" s="100">
        <v>0.35</v>
      </c>
      <c r="K24" s="100">
        <v>37.29</v>
      </c>
      <c r="L24" s="100">
        <v>7.56</v>
      </c>
      <c r="M24" s="100">
        <v>0.89</v>
      </c>
      <c r="N24" s="100">
        <v>1.3</v>
      </c>
      <c r="O24" s="100">
        <v>0</v>
      </c>
      <c r="P24" s="100">
        <v>0.68</v>
      </c>
      <c r="Q24" s="100">
        <v>9.32</v>
      </c>
      <c r="R24" s="6"/>
      <c r="S24" s="6"/>
      <c r="T24" s="156"/>
      <c r="U24" s="6"/>
    </row>
    <row r="25" spans="1:21" customFormat="1">
      <c r="A25" s="201" t="s">
        <v>2468</v>
      </c>
      <c r="B25" s="100">
        <v>25.34</v>
      </c>
      <c r="C25" s="100">
        <v>15.56</v>
      </c>
      <c r="D25" s="100">
        <v>28.45</v>
      </c>
      <c r="E25" s="100">
        <v>6.07</v>
      </c>
      <c r="F25" s="151" t="s">
        <v>8</v>
      </c>
      <c r="G25" s="100">
        <v>43.51</v>
      </c>
      <c r="H25" s="100">
        <v>14.12</v>
      </c>
      <c r="I25" s="100">
        <v>13.08</v>
      </c>
      <c r="J25" s="100">
        <v>0.31</v>
      </c>
      <c r="K25" s="100">
        <v>59.89</v>
      </c>
      <c r="L25" s="100">
        <v>7.68</v>
      </c>
      <c r="M25" s="100">
        <v>1.32</v>
      </c>
      <c r="N25" s="100">
        <v>1.7</v>
      </c>
      <c r="O25" s="100">
        <v>0</v>
      </c>
      <c r="P25" s="100">
        <v>0.69</v>
      </c>
      <c r="Q25" s="100">
        <v>9.32</v>
      </c>
      <c r="R25" s="6"/>
      <c r="S25" s="6"/>
      <c r="T25" s="156"/>
      <c r="U25" s="6"/>
    </row>
    <row r="26" spans="1:21" customFormat="1">
      <c r="A26" s="201" t="s">
        <v>2469</v>
      </c>
      <c r="B26" s="100">
        <v>25.46</v>
      </c>
      <c r="C26" s="100">
        <v>15.48</v>
      </c>
      <c r="D26" s="100">
        <v>28.5</v>
      </c>
      <c r="E26" s="100">
        <v>6.35</v>
      </c>
      <c r="F26" s="151" t="s">
        <v>8</v>
      </c>
      <c r="G26" s="100">
        <v>43.51</v>
      </c>
      <c r="H26" s="100">
        <v>14.12</v>
      </c>
      <c r="I26" s="100">
        <v>13.02</v>
      </c>
      <c r="J26" s="100">
        <v>0.38</v>
      </c>
      <c r="K26" s="100">
        <v>52.33</v>
      </c>
      <c r="L26" s="100">
        <v>8.31</v>
      </c>
      <c r="M26" s="100">
        <v>2.89</v>
      </c>
      <c r="N26" s="100">
        <v>1.6</v>
      </c>
      <c r="O26" s="100">
        <v>0</v>
      </c>
      <c r="P26" s="100">
        <v>0.68</v>
      </c>
      <c r="Q26" s="100">
        <v>9.32</v>
      </c>
      <c r="R26" s="6"/>
      <c r="S26" s="6"/>
      <c r="T26" s="156"/>
      <c r="U26" s="6"/>
    </row>
    <row r="27" spans="1:21" customFormat="1">
      <c r="A27" s="201" t="s">
        <v>2470</v>
      </c>
      <c r="B27" s="100">
        <v>25.6</v>
      </c>
      <c r="C27" s="100">
        <v>15.39</v>
      </c>
      <c r="D27" s="100">
        <v>28.57</v>
      </c>
      <c r="E27" s="100">
        <v>6.24</v>
      </c>
      <c r="F27" s="151" t="s">
        <v>8</v>
      </c>
      <c r="G27" s="100">
        <v>43.46</v>
      </c>
      <c r="H27" s="100">
        <v>14.15</v>
      </c>
      <c r="I27" s="100">
        <v>12.96</v>
      </c>
      <c r="J27" s="100">
        <v>0.41</v>
      </c>
      <c r="K27" s="100">
        <v>51.92</v>
      </c>
      <c r="L27" s="100">
        <v>7</v>
      </c>
      <c r="M27" s="100">
        <v>-0.4</v>
      </c>
      <c r="N27" s="100">
        <v>1.7</v>
      </c>
      <c r="O27" s="100">
        <v>0</v>
      </c>
      <c r="P27" s="100">
        <v>0.68</v>
      </c>
      <c r="Q27" s="100">
        <v>9.32</v>
      </c>
      <c r="R27" s="6"/>
      <c r="S27" s="6"/>
      <c r="T27" s="156"/>
      <c r="U27" s="6"/>
    </row>
    <row r="28" spans="1:21" customFormat="1">
      <c r="A28" s="201" t="s">
        <v>2471</v>
      </c>
      <c r="B28" s="100">
        <v>25.47</v>
      </c>
      <c r="C28" s="100">
        <v>15.34</v>
      </c>
      <c r="D28" s="100">
        <v>28.44</v>
      </c>
      <c r="E28" s="100">
        <v>6.14</v>
      </c>
      <c r="F28" s="151" t="s">
        <v>8</v>
      </c>
      <c r="G28" s="100">
        <v>43.02</v>
      </c>
      <c r="H28" s="100">
        <v>14.4</v>
      </c>
      <c r="I28" s="100">
        <v>12.89</v>
      </c>
      <c r="J28" s="100">
        <v>0.5</v>
      </c>
      <c r="K28" s="100">
        <v>52.37</v>
      </c>
      <c r="L28" s="100">
        <v>7.15</v>
      </c>
      <c r="M28" s="100">
        <v>-0.04</v>
      </c>
      <c r="N28" s="100">
        <v>1.7</v>
      </c>
      <c r="O28" s="100">
        <v>0</v>
      </c>
      <c r="P28" s="100">
        <v>0.67</v>
      </c>
      <c r="Q28" s="100">
        <v>9.32</v>
      </c>
      <c r="R28" s="6"/>
      <c r="S28" s="6"/>
      <c r="T28" s="156"/>
      <c r="U28" s="6"/>
    </row>
    <row r="29" spans="1:21" customFormat="1">
      <c r="A29" s="201" t="s">
        <v>2472</v>
      </c>
      <c r="B29" s="100">
        <v>25.27</v>
      </c>
      <c r="C29" s="100">
        <v>15.4</v>
      </c>
      <c r="D29" s="100">
        <v>28.32</v>
      </c>
      <c r="E29" s="100">
        <v>6.25</v>
      </c>
      <c r="F29" s="151" t="s">
        <v>8</v>
      </c>
      <c r="G29" s="100">
        <v>43.02</v>
      </c>
      <c r="H29" s="100">
        <v>14.4</v>
      </c>
      <c r="I29" s="100">
        <v>12.8</v>
      </c>
      <c r="J29" s="100">
        <v>0.55000000000000004</v>
      </c>
      <c r="K29" s="100">
        <v>41.08</v>
      </c>
      <c r="L29" s="100">
        <v>7.63</v>
      </c>
      <c r="M29" s="100">
        <v>1.1399999999999999</v>
      </c>
      <c r="N29" s="100">
        <v>1.7</v>
      </c>
      <c r="O29" s="100">
        <v>0</v>
      </c>
      <c r="P29" s="100">
        <v>0.66</v>
      </c>
      <c r="Q29" s="100">
        <v>9.33</v>
      </c>
      <c r="R29" s="6"/>
      <c r="S29" s="6"/>
      <c r="T29" s="156"/>
      <c r="U29" s="6"/>
    </row>
    <row r="30" spans="1:21" customFormat="1">
      <c r="A30" s="201" t="s">
        <v>2473</v>
      </c>
      <c r="B30" s="100">
        <v>25.09</v>
      </c>
      <c r="C30" s="100">
        <v>15.39</v>
      </c>
      <c r="D30" s="100">
        <v>28.16</v>
      </c>
      <c r="E30" s="100">
        <v>6.28</v>
      </c>
      <c r="F30" s="151" t="s">
        <v>8</v>
      </c>
      <c r="G30" s="100">
        <v>43.02</v>
      </c>
      <c r="H30" s="100">
        <v>14.4</v>
      </c>
      <c r="I30" s="100">
        <v>12.7</v>
      </c>
      <c r="J30" s="100">
        <v>0.52</v>
      </c>
      <c r="K30" s="100">
        <v>39.619999999999997</v>
      </c>
      <c r="L30" s="100">
        <v>7.99</v>
      </c>
      <c r="M30" s="100">
        <v>2.02</v>
      </c>
      <c r="N30" s="100">
        <v>1.6</v>
      </c>
      <c r="O30" s="100">
        <v>0</v>
      </c>
      <c r="P30" s="100">
        <v>0.66</v>
      </c>
      <c r="Q30" s="100">
        <v>9.52</v>
      </c>
      <c r="R30" s="6"/>
      <c r="S30" s="6"/>
      <c r="T30" s="156"/>
      <c r="U30" s="6"/>
    </row>
    <row r="31" spans="1:21" customFormat="1">
      <c r="A31" s="201" t="s">
        <v>2474</v>
      </c>
      <c r="B31" s="100">
        <v>24.96</v>
      </c>
      <c r="C31" s="100">
        <v>15.34</v>
      </c>
      <c r="D31" s="100">
        <v>28.03</v>
      </c>
      <c r="E31" s="100">
        <v>5.9</v>
      </c>
      <c r="F31" s="151" t="s">
        <v>8</v>
      </c>
      <c r="G31" s="100">
        <v>43.55</v>
      </c>
      <c r="H31" s="100">
        <v>14.48</v>
      </c>
      <c r="I31" s="100">
        <v>12.6</v>
      </c>
      <c r="J31" s="100">
        <v>0.51</v>
      </c>
      <c r="K31" s="100">
        <v>45.67</v>
      </c>
      <c r="L31" s="100">
        <v>6.29</v>
      </c>
      <c r="M31" s="100">
        <v>-2.25</v>
      </c>
      <c r="N31" s="100">
        <v>1.7</v>
      </c>
      <c r="O31" s="100">
        <v>0</v>
      </c>
      <c r="P31" s="100">
        <v>0.65</v>
      </c>
      <c r="Q31" s="100">
        <v>9.36</v>
      </c>
      <c r="R31" s="6"/>
      <c r="S31" s="6"/>
      <c r="T31" s="156"/>
      <c r="U31" s="6"/>
    </row>
    <row r="32" spans="1:21" customFormat="1">
      <c r="A32" s="201" t="s">
        <v>2475</v>
      </c>
      <c r="B32" s="100">
        <v>25.11</v>
      </c>
      <c r="C32" s="100">
        <v>15.29</v>
      </c>
      <c r="D32" s="100">
        <v>28.13</v>
      </c>
      <c r="E32" s="100">
        <v>6.01</v>
      </c>
      <c r="F32" s="151" t="s">
        <v>8</v>
      </c>
      <c r="G32" s="100">
        <v>48.37</v>
      </c>
      <c r="H32" s="100">
        <v>15.07</v>
      </c>
      <c r="I32" s="100">
        <v>12.51</v>
      </c>
      <c r="J32" s="100">
        <v>0.37</v>
      </c>
      <c r="K32" s="100">
        <v>20.02</v>
      </c>
      <c r="L32" s="100">
        <v>12.83</v>
      </c>
      <c r="M32" s="100">
        <v>14.09</v>
      </c>
      <c r="N32" s="100">
        <v>1.8</v>
      </c>
      <c r="O32" s="100">
        <v>0</v>
      </c>
      <c r="P32" s="100">
        <v>0.65</v>
      </c>
      <c r="Q32" s="100">
        <v>9.32</v>
      </c>
      <c r="R32" s="6"/>
      <c r="S32" s="6"/>
      <c r="T32" s="156"/>
      <c r="U32" s="6"/>
    </row>
    <row r="33" spans="1:21" customFormat="1">
      <c r="A33" s="201" t="s">
        <v>2476</v>
      </c>
      <c r="B33" s="100">
        <v>25.38</v>
      </c>
      <c r="C33" s="100">
        <v>15.4</v>
      </c>
      <c r="D33" s="100">
        <v>28.4</v>
      </c>
      <c r="E33" s="100">
        <v>6.04</v>
      </c>
      <c r="F33" s="151" t="s">
        <v>8</v>
      </c>
      <c r="G33" s="100">
        <v>48.37</v>
      </c>
      <c r="H33" s="100">
        <v>15.07</v>
      </c>
      <c r="I33" s="100">
        <v>12.43</v>
      </c>
      <c r="J33" s="100">
        <v>0.13</v>
      </c>
      <c r="K33" s="100">
        <v>60.22</v>
      </c>
      <c r="L33" s="100">
        <v>11.41</v>
      </c>
      <c r="M33" s="100">
        <v>10.68</v>
      </c>
      <c r="N33" s="100">
        <v>2.5</v>
      </c>
      <c r="O33" s="100">
        <v>0</v>
      </c>
      <c r="P33" s="100">
        <v>0.65</v>
      </c>
      <c r="Q33" s="100">
        <v>9.32</v>
      </c>
      <c r="R33" s="6"/>
      <c r="S33" s="6"/>
      <c r="T33" s="156"/>
      <c r="U33" s="6"/>
    </row>
    <row r="34" spans="1:21" customFormat="1">
      <c r="A34" s="201" t="s">
        <v>2477</v>
      </c>
      <c r="B34" s="100">
        <v>25.81</v>
      </c>
      <c r="C34" s="100">
        <v>15.48</v>
      </c>
      <c r="D34" s="100">
        <v>28.79</v>
      </c>
      <c r="E34" s="100">
        <v>6</v>
      </c>
      <c r="F34" s="151" t="s">
        <v>8</v>
      </c>
      <c r="G34" s="100">
        <v>48.37</v>
      </c>
      <c r="H34" s="100">
        <v>15.07</v>
      </c>
      <c r="I34" s="100">
        <v>12.37</v>
      </c>
      <c r="J34" s="100">
        <v>0.32</v>
      </c>
      <c r="K34" s="100">
        <v>48.3</v>
      </c>
      <c r="L34" s="100">
        <v>9.4600000000000009</v>
      </c>
      <c r="M34" s="100">
        <v>5.73</v>
      </c>
      <c r="N34" s="100">
        <v>5.2</v>
      </c>
      <c r="O34" s="100">
        <v>0</v>
      </c>
      <c r="P34" s="100">
        <v>0.65</v>
      </c>
      <c r="Q34" s="100">
        <v>9.32</v>
      </c>
      <c r="R34" s="6"/>
      <c r="S34" s="6"/>
      <c r="T34" s="156"/>
      <c r="U34" s="6"/>
    </row>
    <row r="35" spans="1:21" customFormat="1">
      <c r="A35" s="201" t="s">
        <v>2478</v>
      </c>
      <c r="B35" s="100">
        <v>26.35</v>
      </c>
      <c r="C35" s="100">
        <v>15.48</v>
      </c>
      <c r="D35" s="100">
        <v>29.22</v>
      </c>
      <c r="E35" s="100">
        <v>4.01</v>
      </c>
      <c r="F35" s="151" t="s">
        <v>8</v>
      </c>
      <c r="G35" s="100">
        <v>48.62</v>
      </c>
      <c r="H35" s="100">
        <v>15.13</v>
      </c>
      <c r="I35" s="100">
        <v>12.35</v>
      </c>
      <c r="J35" s="100">
        <v>0.57999999999999996</v>
      </c>
      <c r="K35" s="100">
        <v>43.41</v>
      </c>
      <c r="L35" s="100">
        <v>7.68</v>
      </c>
      <c r="M35" s="100">
        <v>0.99</v>
      </c>
      <c r="N35" s="100">
        <v>13.1</v>
      </c>
      <c r="O35" s="100">
        <v>0</v>
      </c>
      <c r="P35" s="100">
        <v>0.65</v>
      </c>
      <c r="Q35" s="100">
        <v>9.32</v>
      </c>
      <c r="R35" s="6"/>
      <c r="S35" s="6"/>
      <c r="T35" s="156"/>
      <c r="U35" s="6"/>
    </row>
    <row r="36" spans="1:21" customFormat="1">
      <c r="A36" s="201" t="s">
        <v>2479</v>
      </c>
      <c r="B36" s="100">
        <v>26.61</v>
      </c>
      <c r="C36" s="100">
        <v>15.45</v>
      </c>
      <c r="D36" s="100">
        <v>29.41</v>
      </c>
      <c r="E36" s="100">
        <v>6.18</v>
      </c>
      <c r="F36" s="151" t="s">
        <v>8</v>
      </c>
      <c r="G36" s="100">
        <v>50.87</v>
      </c>
      <c r="H36" s="100">
        <v>15.6</v>
      </c>
      <c r="I36" s="100">
        <v>12.34</v>
      </c>
      <c r="J36" s="100">
        <v>0.69</v>
      </c>
      <c r="K36" s="100">
        <v>47.18</v>
      </c>
      <c r="L36" s="100">
        <v>6.32</v>
      </c>
      <c r="M36" s="100">
        <v>-2.7</v>
      </c>
      <c r="N36" s="100">
        <v>24.2</v>
      </c>
      <c r="O36" s="100">
        <v>0</v>
      </c>
      <c r="P36" s="100">
        <v>0.66</v>
      </c>
      <c r="Q36" s="100">
        <v>9.32</v>
      </c>
      <c r="R36" s="6"/>
      <c r="S36" s="6"/>
      <c r="T36" s="156"/>
      <c r="U36" s="6"/>
    </row>
    <row r="37" spans="1:21" customFormat="1">
      <c r="A37" s="201" t="s">
        <v>2480</v>
      </c>
      <c r="B37" s="100">
        <v>26.61</v>
      </c>
      <c r="C37" s="100">
        <v>15.57</v>
      </c>
      <c r="D37" s="100">
        <v>29.47</v>
      </c>
      <c r="E37" s="100">
        <v>5.99</v>
      </c>
      <c r="F37" s="151" t="s">
        <v>8</v>
      </c>
      <c r="G37" s="100">
        <v>50.87</v>
      </c>
      <c r="H37" s="100">
        <v>15.6</v>
      </c>
      <c r="I37" s="100">
        <v>12.38</v>
      </c>
      <c r="J37" s="100">
        <v>0.48</v>
      </c>
      <c r="K37" s="100">
        <v>46.98</v>
      </c>
      <c r="L37" s="100">
        <v>7.55</v>
      </c>
      <c r="M37" s="100">
        <v>0.18</v>
      </c>
      <c r="N37" s="100">
        <v>36</v>
      </c>
      <c r="O37" s="100">
        <v>0</v>
      </c>
      <c r="P37" s="100">
        <v>0.65</v>
      </c>
      <c r="Q37" s="100">
        <v>9.32</v>
      </c>
      <c r="R37" s="6"/>
      <c r="S37" s="6"/>
      <c r="T37" s="156"/>
      <c r="U37" s="6"/>
    </row>
    <row r="38" spans="1:21" customFormat="1">
      <c r="A38" s="201" t="s">
        <v>2481</v>
      </c>
      <c r="B38" s="100">
        <v>26.3</v>
      </c>
      <c r="C38" s="100">
        <v>15.62</v>
      </c>
      <c r="D38" s="100">
        <v>29.25</v>
      </c>
      <c r="E38" s="100">
        <v>6.06</v>
      </c>
      <c r="F38" s="151" t="s">
        <v>8</v>
      </c>
      <c r="G38" s="100">
        <v>50.87</v>
      </c>
      <c r="H38" s="100">
        <v>15.6</v>
      </c>
      <c r="I38" s="100">
        <v>12.48</v>
      </c>
      <c r="J38" s="100">
        <v>0.45</v>
      </c>
      <c r="K38" s="100">
        <v>57.38</v>
      </c>
      <c r="L38" s="100">
        <v>7.9</v>
      </c>
      <c r="M38" s="100">
        <v>0.84</v>
      </c>
      <c r="N38" s="100">
        <v>48.2</v>
      </c>
      <c r="O38" s="100">
        <v>0</v>
      </c>
      <c r="P38" s="100">
        <v>0.64</v>
      </c>
      <c r="Q38" s="100">
        <v>9.32</v>
      </c>
      <c r="R38" s="6"/>
      <c r="S38" s="6"/>
      <c r="T38" s="156"/>
      <c r="U38" s="6"/>
    </row>
    <row r="39" spans="1:21" customFormat="1">
      <c r="A39" s="201" t="s">
        <v>2482</v>
      </c>
      <c r="B39" s="100">
        <v>25.88</v>
      </c>
      <c r="C39" s="100">
        <v>15.92</v>
      </c>
      <c r="D39" s="100">
        <v>29.08</v>
      </c>
      <c r="E39" s="100">
        <v>6.01</v>
      </c>
      <c r="F39" s="151" t="s">
        <v>8</v>
      </c>
      <c r="G39" s="100">
        <v>50.49</v>
      </c>
      <c r="H39" s="100">
        <v>15.43</v>
      </c>
      <c r="I39" s="100">
        <v>12.54</v>
      </c>
      <c r="J39" s="100">
        <v>0.72</v>
      </c>
      <c r="K39" s="100">
        <v>42.39</v>
      </c>
      <c r="L39" s="100">
        <v>6.76</v>
      </c>
      <c r="M39" s="100">
        <v>-2.44</v>
      </c>
      <c r="N39" s="100">
        <v>62.2</v>
      </c>
      <c r="O39" s="100">
        <v>0</v>
      </c>
      <c r="P39" s="100">
        <v>0.65</v>
      </c>
      <c r="Q39" s="100">
        <v>9.32</v>
      </c>
      <c r="R39" s="6"/>
      <c r="S39" s="6"/>
      <c r="T39" s="156"/>
      <c r="U39" s="6"/>
    </row>
    <row r="40" spans="1:21" customFormat="1">
      <c r="A40" s="201" t="s">
        <v>2483</v>
      </c>
      <c r="B40" s="100">
        <v>25.48</v>
      </c>
      <c r="C40" s="100">
        <v>16.11</v>
      </c>
      <c r="D40" s="100">
        <v>28.85</v>
      </c>
      <c r="E40" s="100">
        <v>6.02</v>
      </c>
      <c r="F40" s="151" t="s">
        <v>8</v>
      </c>
      <c r="G40" s="100">
        <v>46.53</v>
      </c>
      <c r="H40" s="100">
        <v>14.16</v>
      </c>
      <c r="I40" s="100">
        <v>12.57</v>
      </c>
      <c r="J40" s="100">
        <v>0.62</v>
      </c>
      <c r="K40" s="100">
        <v>55.03</v>
      </c>
      <c r="L40" s="100">
        <v>8.3800000000000008</v>
      </c>
      <c r="M40" s="100">
        <v>0.44</v>
      </c>
      <c r="N40" s="100">
        <v>113.4</v>
      </c>
      <c r="O40" s="100">
        <v>0</v>
      </c>
      <c r="P40" s="100">
        <v>0.65</v>
      </c>
      <c r="Q40" s="100">
        <v>9.32</v>
      </c>
      <c r="R40" s="6"/>
      <c r="S40" s="6"/>
      <c r="T40" s="156"/>
      <c r="U40" s="6"/>
    </row>
    <row r="41" spans="1:21" customFormat="1">
      <c r="A41" s="201" t="s">
        <v>2484</v>
      </c>
      <c r="B41" s="100">
        <v>24.87</v>
      </c>
      <c r="C41" s="100">
        <v>16.14</v>
      </c>
      <c r="D41" s="100">
        <v>28.38</v>
      </c>
      <c r="E41" s="100">
        <v>5.98</v>
      </c>
      <c r="F41" s="151" t="s">
        <v>8</v>
      </c>
      <c r="G41" s="100">
        <v>46.53</v>
      </c>
      <c r="H41" s="100">
        <v>14.16</v>
      </c>
      <c r="I41" s="100">
        <v>12.61</v>
      </c>
      <c r="J41" s="100">
        <v>0.56999999999999995</v>
      </c>
      <c r="K41" s="100">
        <v>53.59</v>
      </c>
      <c r="L41" s="100">
        <v>9.07</v>
      </c>
      <c r="M41" s="100">
        <v>1.1499999999999999</v>
      </c>
      <c r="N41" s="100">
        <v>157.80000000000001</v>
      </c>
      <c r="O41" s="100">
        <v>0</v>
      </c>
      <c r="P41" s="100">
        <v>0.65</v>
      </c>
      <c r="Q41" s="100">
        <v>9.32</v>
      </c>
      <c r="R41" s="6"/>
      <c r="S41" s="6"/>
      <c r="T41" s="156"/>
      <c r="U41" s="6"/>
    </row>
    <row r="42" spans="1:21" customFormat="1">
      <c r="A42" s="201" t="s">
        <v>2485</v>
      </c>
      <c r="B42" s="100">
        <v>23.97</v>
      </c>
      <c r="C42" s="100">
        <v>16.27</v>
      </c>
      <c r="D42" s="100">
        <v>27.72</v>
      </c>
      <c r="E42" s="100">
        <v>5.81</v>
      </c>
      <c r="F42" s="151" t="s">
        <v>8</v>
      </c>
      <c r="G42" s="100">
        <v>46.53</v>
      </c>
      <c r="H42" s="100">
        <v>14.16</v>
      </c>
      <c r="I42" s="100">
        <v>12.72</v>
      </c>
      <c r="J42" s="100">
        <v>0.55000000000000004</v>
      </c>
      <c r="K42" s="100">
        <v>50.26</v>
      </c>
      <c r="L42" s="100">
        <v>10</v>
      </c>
      <c r="M42" s="100">
        <v>2.78</v>
      </c>
      <c r="N42" s="100">
        <v>189.4</v>
      </c>
      <c r="O42" s="100">
        <v>0</v>
      </c>
      <c r="P42" s="100">
        <v>0.65</v>
      </c>
      <c r="Q42" s="100">
        <v>9.32</v>
      </c>
      <c r="R42" s="6"/>
      <c r="S42" s="6"/>
      <c r="T42" s="156"/>
      <c r="U42" s="6"/>
    </row>
    <row r="43" spans="1:21" customFormat="1">
      <c r="A43" s="201" t="s">
        <v>2486</v>
      </c>
      <c r="B43" s="100">
        <v>23.05</v>
      </c>
      <c r="C43" s="100">
        <v>16.41</v>
      </c>
      <c r="D43" s="100">
        <v>27.05</v>
      </c>
      <c r="E43" s="100">
        <v>5.65</v>
      </c>
      <c r="F43" s="151" t="s">
        <v>8</v>
      </c>
      <c r="G43" s="100">
        <v>47.5</v>
      </c>
      <c r="H43" s="100">
        <v>14.28</v>
      </c>
      <c r="I43" s="100">
        <v>12.81</v>
      </c>
      <c r="J43" s="100">
        <v>0.48</v>
      </c>
      <c r="K43" s="100">
        <v>75.66</v>
      </c>
      <c r="L43" s="100">
        <v>11.9</v>
      </c>
      <c r="M43" s="100">
        <v>6.74</v>
      </c>
      <c r="N43" s="100">
        <v>224.9</v>
      </c>
      <c r="O43" s="100">
        <v>0</v>
      </c>
      <c r="P43" s="100">
        <v>0.65</v>
      </c>
      <c r="Q43" s="100">
        <v>9.32</v>
      </c>
      <c r="R43" s="6"/>
      <c r="S43" s="6"/>
      <c r="T43" s="156"/>
      <c r="U43" s="6"/>
    </row>
    <row r="44" spans="1:21" customFormat="1">
      <c r="A44" s="201" t="s">
        <v>2487</v>
      </c>
      <c r="B44" s="100">
        <v>21.92</v>
      </c>
      <c r="C44" s="100">
        <v>16.61</v>
      </c>
      <c r="D44" s="100">
        <v>26.26</v>
      </c>
      <c r="E44" s="100">
        <v>5.83</v>
      </c>
      <c r="F44" s="151" t="s">
        <v>8</v>
      </c>
      <c r="G44" s="100">
        <v>56.17</v>
      </c>
      <c r="H44" s="100">
        <v>15.16</v>
      </c>
      <c r="I44" s="100">
        <v>12.88</v>
      </c>
      <c r="J44" s="100">
        <v>0.79</v>
      </c>
      <c r="K44" s="100">
        <v>53.3</v>
      </c>
      <c r="L44" s="100">
        <v>10.42</v>
      </c>
      <c r="M44" s="100">
        <v>2.25</v>
      </c>
      <c r="N44" s="100">
        <v>254.8</v>
      </c>
      <c r="O44" s="100">
        <v>0</v>
      </c>
      <c r="P44" s="100">
        <v>0.65</v>
      </c>
      <c r="Q44" s="100">
        <v>9.32</v>
      </c>
      <c r="R44" s="6"/>
      <c r="S44" s="6"/>
      <c r="T44" s="156"/>
      <c r="U44" s="6"/>
    </row>
    <row r="45" spans="1:21" customFormat="1">
      <c r="A45" s="201" t="s">
        <v>2488</v>
      </c>
      <c r="B45" s="100">
        <v>20.53</v>
      </c>
      <c r="C45" s="100">
        <v>16.77</v>
      </c>
      <c r="D45" s="100">
        <v>25.23</v>
      </c>
      <c r="E45" s="100">
        <v>6.07</v>
      </c>
      <c r="F45" s="151" t="s">
        <v>8</v>
      </c>
      <c r="G45" s="100">
        <v>56.17</v>
      </c>
      <c r="H45" s="100">
        <v>15.16</v>
      </c>
      <c r="I45" s="100">
        <v>12.95</v>
      </c>
      <c r="J45" s="100">
        <v>0.63</v>
      </c>
      <c r="K45" s="100">
        <v>50.69</v>
      </c>
      <c r="L45" s="100">
        <v>11.6</v>
      </c>
      <c r="M45" s="100">
        <v>5.47</v>
      </c>
      <c r="N45" s="100">
        <v>243.7</v>
      </c>
      <c r="O45" s="100">
        <v>0</v>
      </c>
      <c r="P45" s="100">
        <v>0.64</v>
      </c>
      <c r="Q45" s="100">
        <v>9.32</v>
      </c>
      <c r="R45" s="6"/>
      <c r="S45" s="6"/>
      <c r="T45" s="156"/>
      <c r="U45" s="6"/>
    </row>
    <row r="46" spans="1:21" customFormat="1">
      <c r="A46" s="201" t="s">
        <v>2489</v>
      </c>
      <c r="B46" s="100">
        <v>19.37</v>
      </c>
      <c r="C46" s="100">
        <v>16.98</v>
      </c>
      <c r="D46" s="100">
        <v>24.4</v>
      </c>
      <c r="E46" s="100">
        <v>6.02</v>
      </c>
      <c r="F46" s="151" t="s">
        <v>8</v>
      </c>
      <c r="G46" s="100">
        <v>56.17</v>
      </c>
      <c r="H46" s="100">
        <v>15.16</v>
      </c>
      <c r="I46" s="100">
        <v>12.88</v>
      </c>
      <c r="J46" s="100">
        <v>0.67</v>
      </c>
      <c r="K46" s="100">
        <v>49.5</v>
      </c>
      <c r="L46" s="100">
        <v>11.32</v>
      </c>
      <c r="M46" s="100">
        <v>3.74</v>
      </c>
      <c r="N46" s="100">
        <v>286.39999999999998</v>
      </c>
      <c r="O46" s="100">
        <v>0</v>
      </c>
      <c r="P46" s="100">
        <v>0.64</v>
      </c>
      <c r="Q46" s="100">
        <v>9.32</v>
      </c>
      <c r="R46" s="6"/>
      <c r="S46" s="6"/>
      <c r="T46" s="156"/>
      <c r="U46" s="6"/>
    </row>
    <row r="47" spans="1:21" customFormat="1">
      <c r="A47" s="201" t="s">
        <v>2490</v>
      </c>
      <c r="B47" s="100">
        <v>18.170000000000002</v>
      </c>
      <c r="C47" s="100">
        <v>17.22</v>
      </c>
      <c r="D47" s="100">
        <v>23.57</v>
      </c>
      <c r="E47" s="100">
        <v>5.73</v>
      </c>
      <c r="F47" s="151" t="s">
        <v>8</v>
      </c>
      <c r="G47" s="100">
        <v>55.65</v>
      </c>
      <c r="H47" s="100">
        <v>15.17</v>
      </c>
      <c r="I47" s="100">
        <v>12.81</v>
      </c>
      <c r="J47" s="100">
        <v>0.52</v>
      </c>
      <c r="K47" s="100">
        <v>55.68</v>
      </c>
      <c r="L47" s="100">
        <v>11.97</v>
      </c>
      <c r="M47" s="100">
        <v>6.44</v>
      </c>
      <c r="N47" s="100">
        <v>241.3</v>
      </c>
      <c r="O47" s="100">
        <v>0</v>
      </c>
      <c r="P47" s="100">
        <v>0.64</v>
      </c>
      <c r="Q47" s="100">
        <v>9.32</v>
      </c>
      <c r="R47" s="6"/>
      <c r="S47" s="6"/>
      <c r="T47" s="156"/>
      <c r="U47" s="6"/>
    </row>
    <row r="48" spans="1:21" customFormat="1">
      <c r="A48" s="201" t="s">
        <v>2491</v>
      </c>
      <c r="B48" s="100">
        <v>17.13</v>
      </c>
      <c r="C48" s="100">
        <v>17.52</v>
      </c>
      <c r="D48" s="100">
        <v>22.89</v>
      </c>
      <c r="E48" s="100">
        <v>5.71</v>
      </c>
      <c r="F48" s="151" t="s">
        <v>8</v>
      </c>
      <c r="G48" s="100">
        <v>50.97</v>
      </c>
      <c r="H48" s="100">
        <v>15.21</v>
      </c>
      <c r="I48" s="100">
        <v>12.76</v>
      </c>
      <c r="J48" s="100">
        <v>0.76</v>
      </c>
      <c r="K48" s="100">
        <v>48.01</v>
      </c>
      <c r="L48" s="100">
        <v>11.79</v>
      </c>
      <c r="M48" s="100">
        <v>4.13</v>
      </c>
      <c r="N48" s="100">
        <v>321.3</v>
      </c>
      <c r="O48" s="100">
        <v>0</v>
      </c>
      <c r="P48" s="100">
        <v>0.64</v>
      </c>
      <c r="Q48" s="100">
        <v>9.32</v>
      </c>
      <c r="R48" s="6"/>
      <c r="S48" s="6"/>
      <c r="T48" s="156"/>
      <c r="U48" s="6"/>
    </row>
    <row r="49" spans="1:21" customFormat="1">
      <c r="A49" s="201" t="s">
        <v>2492</v>
      </c>
      <c r="B49" s="100">
        <v>16.12</v>
      </c>
      <c r="C49" s="100">
        <v>17.89</v>
      </c>
      <c r="D49" s="100">
        <v>22.27</v>
      </c>
      <c r="E49" s="100">
        <v>4.72</v>
      </c>
      <c r="F49" s="151" t="s">
        <v>8</v>
      </c>
      <c r="G49" s="100">
        <v>50.97</v>
      </c>
      <c r="H49" s="100">
        <v>15.21</v>
      </c>
      <c r="I49" s="100">
        <v>12.65</v>
      </c>
      <c r="J49" s="100">
        <v>0.63</v>
      </c>
      <c r="K49" s="100">
        <v>45.95</v>
      </c>
      <c r="L49" s="100">
        <v>12.29</v>
      </c>
      <c r="M49" s="100">
        <v>3.72</v>
      </c>
      <c r="N49" s="100">
        <v>390.9</v>
      </c>
      <c r="O49" s="100">
        <v>0</v>
      </c>
      <c r="P49" s="100">
        <v>0.63</v>
      </c>
      <c r="Q49" s="100">
        <v>9.32</v>
      </c>
      <c r="R49" s="6"/>
      <c r="S49" s="6"/>
      <c r="T49" s="156"/>
      <c r="U49" s="6"/>
    </row>
    <row r="50" spans="1:21" customFormat="1">
      <c r="A50" s="201" t="s">
        <v>2493</v>
      </c>
      <c r="B50" s="100">
        <v>15.01</v>
      </c>
      <c r="C50" s="100">
        <v>18.21</v>
      </c>
      <c r="D50" s="100">
        <v>21.55</v>
      </c>
      <c r="E50" s="100">
        <v>6.21</v>
      </c>
      <c r="F50" s="151" t="s">
        <v>8</v>
      </c>
      <c r="G50" s="100">
        <v>50.97</v>
      </c>
      <c r="H50" s="100">
        <v>15.21</v>
      </c>
      <c r="I50" s="100">
        <v>12.54</v>
      </c>
      <c r="J50" s="100">
        <v>1.04</v>
      </c>
      <c r="K50" s="100">
        <v>37.869999999999997</v>
      </c>
      <c r="L50" s="100">
        <v>12.79</v>
      </c>
      <c r="M50" s="100">
        <v>4.33</v>
      </c>
      <c r="N50" s="100">
        <v>410.9</v>
      </c>
      <c r="O50" s="100">
        <v>0</v>
      </c>
      <c r="P50" s="100">
        <v>0.61</v>
      </c>
      <c r="Q50" s="100">
        <v>9.32</v>
      </c>
      <c r="R50" s="6"/>
      <c r="S50" s="6"/>
      <c r="T50" s="156"/>
      <c r="U50" s="6"/>
    </row>
    <row r="51" spans="1:21" customFormat="1">
      <c r="A51" s="201" t="s">
        <v>2494</v>
      </c>
      <c r="B51" s="100">
        <v>13.72</v>
      </c>
      <c r="C51" s="100">
        <v>18.39</v>
      </c>
      <c r="D51" s="100">
        <v>20.61</v>
      </c>
      <c r="E51" s="100">
        <v>6.31</v>
      </c>
      <c r="F51" s="151" t="s">
        <v>8</v>
      </c>
      <c r="G51" s="100">
        <v>50.29</v>
      </c>
      <c r="H51" s="100">
        <v>15.06</v>
      </c>
      <c r="I51" s="100">
        <v>12.39</v>
      </c>
      <c r="J51" s="100">
        <v>0.73</v>
      </c>
      <c r="K51" s="100">
        <v>24.09</v>
      </c>
      <c r="L51" s="100">
        <v>17.260000000000002</v>
      </c>
      <c r="M51" s="100">
        <v>15.28</v>
      </c>
      <c r="N51" s="100">
        <v>427.9</v>
      </c>
      <c r="O51" s="100">
        <v>0</v>
      </c>
      <c r="P51" s="100">
        <v>0.61</v>
      </c>
      <c r="Q51" s="100">
        <v>9.32</v>
      </c>
      <c r="R51" s="6"/>
      <c r="S51" s="6"/>
      <c r="T51" s="156"/>
      <c r="U51" s="6"/>
    </row>
    <row r="52" spans="1:21" customFormat="1">
      <c r="A52" s="201" t="s">
        <v>2495</v>
      </c>
      <c r="B52" s="100">
        <v>11.44</v>
      </c>
      <c r="C52" s="100">
        <v>18.62</v>
      </c>
      <c r="D52" s="100">
        <v>18.899999999999999</v>
      </c>
      <c r="E52" s="100">
        <v>6.36</v>
      </c>
      <c r="F52" s="151" t="s">
        <v>8</v>
      </c>
      <c r="G52" s="100">
        <v>44.23</v>
      </c>
      <c r="H52" s="100">
        <v>13.97</v>
      </c>
      <c r="I52" s="100">
        <v>12.03</v>
      </c>
      <c r="J52" s="100">
        <v>0.46</v>
      </c>
      <c r="K52" s="100">
        <v>87.44</v>
      </c>
      <c r="L52" s="100">
        <v>15.09</v>
      </c>
      <c r="M52" s="100">
        <v>10.050000000000001</v>
      </c>
      <c r="N52" s="100">
        <v>423.6</v>
      </c>
      <c r="O52" s="100">
        <v>0</v>
      </c>
      <c r="P52" s="100">
        <v>0.59</v>
      </c>
      <c r="Q52" s="100">
        <v>9.32</v>
      </c>
      <c r="R52" s="6"/>
      <c r="S52" s="6"/>
      <c r="T52" s="156"/>
      <c r="U52" s="6"/>
    </row>
    <row r="53" spans="1:21" customFormat="1">
      <c r="A53" s="201" t="s">
        <v>2496</v>
      </c>
      <c r="B53" s="100">
        <v>8.4499999999999993</v>
      </c>
      <c r="C53" s="100">
        <v>18.64</v>
      </c>
      <c r="D53" s="100">
        <v>16.510000000000002</v>
      </c>
      <c r="E53" s="100">
        <v>6.2</v>
      </c>
      <c r="F53" s="151" t="s">
        <v>8</v>
      </c>
      <c r="G53" s="100">
        <v>44.23</v>
      </c>
      <c r="H53" s="100">
        <v>13.97</v>
      </c>
      <c r="I53" s="100">
        <v>11.79</v>
      </c>
      <c r="J53" s="100">
        <v>0.32</v>
      </c>
      <c r="K53" s="100">
        <v>40.36</v>
      </c>
      <c r="L53" s="100">
        <v>18.05</v>
      </c>
      <c r="M53" s="100">
        <v>16.61</v>
      </c>
      <c r="N53" s="100">
        <v>459.6</v>
      </c>
      <c r="O53" s="100">
        <v>0</v>
      </c>
      <c r="P53" s="100">
        <v>0.56999999999999995</v>
      </c>
      <c r="Q53" s="100">
        <v>9.32</v>
      </c>
      <c r="R53" s="6"/>
      <c r="S53" s="6"/>
      <c r="T53" s="156"/>
      <c r="U53" s="6"/>
    </row>
    <row r="54" spans="1:21" customFormat="1">
      <c r="A54" s="201" t="s">
        <v>2497</v>
      </c>
      <c r="B54" s="100">
        <v>6.35</v>
      </c>
      <c r="C54" s="100">
        <v>18.46</v>
      </c>
      <c r="D54" s="100">
        <v>14.73</v>
      </c>
      <c r="E54" s="100">
        <v>6.2</v>
      </c>
      <c r="F54" s="151" t="s">
        <v>8</v>
      </c>
      <c r="G54" s="100">
        <v>44.23</v>
      </c>
      <c r="H54" s="100">
        <v>13.97</v>
      </c>
      <c r="I54" s="100">
        <v>11.57</v>
      </c>
      <c r="J54" s="100">
        <v>0.37</v>
      </c>
      <c r="K54" s="100">
        <v>64.69</v>
      </c>
      <c r="L54" s="100">
        <v>15.56</v>
      </c>
      <c r="M54" s="100">
        <v>10.119999999999999</v>
      </c>
      <c r="N54" s="100">
        <v>472.7</v>
      </c>
      <c r="O54" s="100">
        <v>0</v>
      </c>
      <c r="P54" s="100">
        <v>0.55000000000000004</v>
      </c>
      <c r="Q54" s="100">
        <v>9.32</v>
      </c>
      <c r="R54" s="6"/>
      <c r="S54" s="6"/>
      <c r="T54" s="156"/>
      <c r="U54" s="6"/>
    </row>
    <row r="55" spans="1:21" customFormat="1">
      <c r="A55" s="201" t="s">
        <v>2498</v>
      </c>
      <c r="B55" s="100">
        <v>4.8099999999999996</v>
      </c>
      <c r="C55" s="100">
        <v>17.829999999999998</v>
      </c>
      <c r="D55" s="100">
        <v>13.17</v>
      </c>
      <c r="E55" s="100">
        <v>5.63</v>
      </c>
      <c r="F55" s="151" t="s">
        <v>8</v>
      </c>
      <c r="G55" s="100">
        <v>43.73</v>
      </c>
      <c r="H55" s="100">
        <v>13.86</v>
      </c>
      <c r="I55" s="100">
        <v>11.1</v>
      </c>
      <c r="J55" s="100">
        <v>0.54</v>
      </c>
      <c r="K55" s="100">
        <v>60.57</v>
      </c>
      <c r="L55" s="100">
        <v>13.86</v>
      </c>
      <c r="M55" s="100">
        <v>5.56</v>
      </c>
      <c r="N55" s="100">
        <v>479.9</v>
      </c>
      <c r="O55" s="100">
        <v>0</v>
      </c>
      <c r="P55" s="100">
        <v>0.53</v>
      </c>
      <c r="Q55" s="100">
        <v>9.32</v>
      </c>
      <c r="R55" s="6"/>
      <c r="S55" s="6"/>
      <c r="T55" s="156"/>
      <c r="U55" s="6"/>
    </row>
    <row r="56" spans="1:21" customFormat="1">
      <c r="A56" s="201" t="s">
        <v>2499</v>
      </c>
      <c r="B56" s="100">
        <v>4.18</v>
      </c>
      <c r="C56" s="100">
        <v>16.89</v>
      </c>
      <c r="D56" s="100">
        <v>12.18</v>
      </c>
      <c r="E56" s="100">
        <v>5.62</v>
      </c>
      <c r="F56" s="151" t="s">
        <v>8</v>
      </c>
      <c r="G56" s="100">
        <v>39.25</v>
      </c>
      <c r="H56" s="100">
        <v>13.01</v>
      </c>
      <c r="I56" s="100">
        <v>10.72</v>
      </c>
      <c r="J56" s="100">
        <v>0.48</v>
      </c>
      <c r="K56" s="100">
        <v>64.56</v>
      </c>
      <c r="L56" s="100">
        <v>15.98</v>
      </c>
      <c r="M56" s="100">
        <v>10.99</v>
      </c>
      <c r="N56" s="100">
        <v>478.5</v>
      </c>
      <c r="O56" s="100">
        <v>0</v>
      </c>
      <c r="P56" s="100">
        <v>0.51</v>
      </c>
      <c r="Q56" s="100">
        <v>9.32</v>
      </c>
      <c r="R56" s="6"/>
      <c r="S56" s="6"/>
      <c r="T56" s="156"/>
      <c r="U56" s="6"/>
    </row>
    <row r="57" spans="1:21" customFormat="1">
      <c r="A57" s="201" t="s">
        <v>2500</v>
      </c>
      <c r="B57" s="100">
        <v>3.98</v>
      </c>
      <c r="C57" s="100">
        <v>16.14</v>
      </c>
      <c r="D57" s="100">
        <v>11.63</v>
      </c>
      <c r="E57" s="100">
        <v>5.96</v>
      </c>
      <c r="F57" s="151" t="s">
        <v>8</v>
      </c>
      <c r="G57" s="100">
        <v>39.25</v>
      </c>
      <c r="H57" s="100">
        <v>13.01</v>
      </c>
      <c r="I57" s="100">
        <v>10.41</v>
      </c>
      <c r="J57" s="100">
        <v>0.43</v>
      </c>
      <c r="K57" s="100">
        <v>34.880000000000003</v>
      </c>
      <c r="L57" s="100">
        <v>17.25</v>
      </c>
      <c r="M57" s="100">
        <v>14.01</v>
      </c>
      <c r="N57" s="100">
        <v>475.5</v>
      </c>
      <c r="O57" s="100">
        <v>0</v>
      </c>
      <c r="P57" s="100">
        <v>0.51</v>
      </c>
      <c r="Q57" s="100">
        <v>9.32</v>
      </c>
      <c r="R57" s="6"/>
      <c r="S57" s="6"/>
      <c r="T57" s="156"/>
      <c r="U57" s="6"/>
    </row>
    <row r="58" spans="1:21" customFormat="1">
      <c r="A58" s="201" t="s">
        <v>2501</v>
      </c>
      <c r="B58" s="100">
        <v>3.66</v>
      </c>
      <c r="C58" s="100">
        <v>15.5</v>
      </c>
      <c r="D58" s="100">
        <v>11.03</v>
      </c>
      <c r="E58" s="100">
        <v>5.94</v>
      </c>
      <c r="F58" s="151" t="s">
        <v>8</v>
      </c>
      <c r="G58" s="100">
        <v>39.25</v>
      </c>
      <c r="H58" s="100">
        <v>13.01</v>
      </c>
      <c r="I58" s="100">
        <v>10.210000000000001</v>
      </c>
      <c r="J58" s="100">
        <v>0.76</v>
      </c>
      <c r="K58" s="100">
        <v>36.909999999999997</v>
      </c>
      <c r="L58" s="100">
        <v>14.75</v>
      </c>
      <c r="M58" s="100">
        <v>8.14</v>
      </c>
      <c r="N58" s="100">
        <v>457.5</v>
      </c>
      <c r="O58" s="100">
        <v>0</v>
      </c>
      <c r="P58" s="100">
        <v>0.5</v>
      </c>
      <c r="Q58" s="100">
        <v>9.32</v>
      </c>
      <c r="R58" s="6"/>
      <c r="S58" s="6"/>
      <c r="T58" s="156"/>
      <c r="U58" s="6"/>
    </row>
    <row r="59" spans="1:21" customFormat="1">
      <c r="A59" s="201" t="s">
        <v>2502</v>
      </c>
      <c r="B59" s="100">
        <v>3.4</v>
      </c>
      <c r="C59" s="100">
        <v>15.27</v>
      </c>
      <c r="D59" s="100">
        <v>10.71</v>
      </c>
      <c r="E59" s="100">
        <v>6.37</v>
      </c>
      <c r="F59" s="151" t="s">
        <v>8</v>
      </c>
      <c r="G59" s="100">
        <v>39.25</v>
      </c>
      <c r="H59" s="100">
        <v>13.01</v>
      </c>
      <c r="I59" s="100">
        <v>9.8800000000000008</v>
      </c>
      <c r="J59" s="100">
        <v>0.47</v>
      </c>
      <c r="K59" s="100">
        <v>40.46</v>
      </c>
      <c r="L59" s="100">
        <v>17.329999999999998</v>
      </c>
      <c r="M59" s="100">
        <v>14.84</v>
      </c>
      <c r="N59" s="100">
        <v>446.5</v>
      </c>
      <c r="O59" s="100">
        <v>0</v>
      </c>
      <c r="P59" s="100">
        <v>0.46</v>
      </c>
      <c r="Q59" s="100">
        <v>9.32</v>
      </c>
      <c r="R59" s="6"/>
      <c r="S59" s="6"/>
      <c r="T59" s="156"/>
      <c r="U59" s="6"/>
    </row>
    <row r="60" spans="1:21" customFormat="1">
      <c r="A60" s="201" t="s">
        <v>2503</v>
      </c>
      <c r="B60" s="100">
        <v>3.29</v>
      </c>
      <c r="C60" s="100">
        <v>14.76</v>
      </c>
      <c r="D60" s="100">
        <v>10.35</v>
      </c>
      <c r="E60" s="100">
        <v>6.6</v>
      </c>
      <c r="F60" s="151" t="s">
        <v>8</v>
      </c>
      <c r="G60" s="100">
        <v>39.25</v>
      </c>
      <c r="H60" s="100">
        <v>13.01</v>
      </c>
      <c r="I60" s="100">
        <v>9.2899999999999991</v>
      </c>
      <c r="J60" s="100">
        <v>0.52</v>
      </c>
      <c r="K60" s="100">
        <v>33.99</v>
      </c>
      <c r="L60" s="100">
        <v>16.940000000000001</v>
      </c>
      <c r="M60" s="100">
        <v>14.41</v>
      </c>
      <c r="N60" s="100">
        <v>418.3</v>
      </c>
      <c r="O60" s="100">
        <v>0</v>
      </c>
      <c r="P60" s="100">
        <v>0.45</v>
      </c>
      <c r="Q60" s="100">
        <v>9.32</v>
      </c>
      <c r="R60" s="6"/>
      <c r="S60" s="6"/>
      <c r="T60" s="156"/>
      <c r="U60" s="6"/>
    </row>
    <row r="61" spans="1:21" customFormat="1">
      <c r="A61" s="201" t="s">
        <v>2504</v>
      </c>
      <c r="B61" s="100">
        <v>3.44</v>
      </c>
      <c r="C61" s="100">
        <v>15.26</v>
      </c>
      <c r="D61" s="100">
        <v>10.73</v>
      </c>
      <c r="E61" s="100">
        <v>6.51</v>
      </c>
      <c r="F61" s="151" t="s">
        <v>8</v>
      </c>
      <c r="G61" s="100">
        <v>39.25</v>
      </c>
      <c r="H61" s="100">
        <v>13.01</v>
      </c>
      <c r="I61" s="100">
        <v>8.68</v>
      </c>
      <c r="J61" s="100">
        <v>0.77</v>
      </c>
      <c r="K61" s="100">
        <v>30.19</v>
      </c>
      <c r="L61" s="100">
        <v>16.03</v>
      </c>
      <c r="M61" s="100">
        <v>12.67</v>
      </c>
      <c r="N61" s="100">
        <v>393.7</v>
      </c>
      <c r="O61" s="100">
        <v>0</v>
      </c>
      <c r="P61" s="100">
        <v>0.45</v>
      </c>
      <c r="Q61" s="100">
        <v>9.32</v>
      </c>
      <c r="R61" s="6"/>
      <c r="S61" s="6"/>
      <c r="T61" s="156"/>
      <c r="U61" s="6"/>
    </row>
    <row r="62" spans="1:21" customFormat="1">
      <c r="A62" s="201" t="s">
        <v>2505</v>
      </c>
      <c r="B62" s="100">
        <v>3.57</v>
      </c>
      <c r="C62" s="100">
        <v>16.010000000000002</v>
      </c>
      <c r="D62" s="100">
        <v>11.23</v>
      </c>
      <c r="E62" s="100">
        <v>7.51</v>
      </c>
      <c r="F62" s="151" t="s">
        <v>8</v>
      </c>
      <c r="G62" s="100">
        <v>39.25</v>
      </c>
      <c r="H62" s="100">
        <v>13.01</v>
      </c>
      <c r="I62" s="100">
        <v>8.43</v>
      </c>
      <c r="J62" s="100">
        <v>0.32</v>
      </c>
      <c r="K62" s="100">
        <v>30.3</v>
      </c>
      <c r="L62" s="100">
        <v>17.07</v>
      </c>
      <c r="M62" s="100">
        <v>19.63</v>
      </c>
      <c r="N62" s="100">
        <v>201.1</v>
      </c>
      <c r="O62" s="100">
        <v>0</v>
      </c>
      <c r="P62" s="100">
        <v>0.43</v>
      </c>
      <c r="Q62" s="100">
        <v>9.32</v>
      </c>
      <c r="R62" s="6"/>
      <c r="S62" s="6"/>
      <c r="T62" s="156"/>
      <c r="U62" s="6"/>
    </row>
    <row r="63" spans="1:21" customFormat="1">
      <c r="A63" s="201" t="s">
        <v>2506</v>
      </c>
      <c r="B63" s="100">
        <v>3.44</v>
      </c>
      <c r="C63" s="100">
        <v>15.69</v>
      </c>
      <c r="D63" s="100">
        <v>10.95</v>
      </c>
      <c r="E63" s="100">
        <v>7.53</v>
      </c>
      <c r="F63" s="151" t="s">
        <v>8</v>
      </c>
      <c r="G63" s="100">
        <v>39.25</v>
      </c>
      <c r="H63" s="100">
        <v>13.01</v>
      </c>
      <c r="I63" s="100">
        <v>7.5</v>
      </c>
      <c r="J63" s="100">
        <v>0.23</v>
      </c>
      <c r="K63" s="100">
        <v>20.41</v>
      </c>
      <c r="L63" s="100">
        <v>17.190000000000001</v>
      </c>
      <c r="M63" s="100">
        <v>20.239999999999998</v>
      </c>
      <c r="N63" s="100">
        <v>188.7</v>
      </c>
      <c r="O63" s="100">
        <v>0</v>
      </c>
      <c r="P63" s="100">
        <v>0.39</v>
      </c>
      <c r="Q63" s="100">
        <v>9.32</v>
      </c>
      <c r="R63" s="6"/>
      <c r="S63" s="6"/>
      <c r="T63" s="156"/>
      <c r="U63" s="6"/>
    </row>
    <row r="64" spans="1:21" customFormat="1">
      <c r="A64" s="201" t="s">
        <v>2507</v>
      </c>
      <c r="B64" s="100">
        <v>3.34</v>
      </c>
      <c r="C64" s="100">
        <v>14.89</v>
      </c>
      <c r="D64" s="100">
        <v>10.46</v>
      </c>
      <c r="E64" s="100">
        <v>7.25</v>
      </c>
      <c r="F64" s="151" t="s">
        <v>8</v>
      </c>
      <c r="G64" s="100">
        <v>39.25</v>
      </c>
      <c r="H64" s="100">
        <v>13.01</v>
      </c>
      <c r="I64" s="100">
        <v>6.13</v>
      </c>
      <c r="J64" s="100">
        <v>0.33</v>
      </c>
      <c r="K64" s="100">
        <v>80.42</v>
      </c>
      <c r="L64" s="100">
        <v>14.4</v>
      </c>
      <c r="M64" s="100">
        <v>14.4</v>
      </c>
      <c r="N64" s="100">
        <v>146.30000000000001</v>
      </c>
      <c r="O64" s="100">
        <v>0</v>
      </c>
      <c r="P64" s="100">
        <v>0.37</v>
      </c>
      <c r="Q64" s="100">
        <v>9.32</v>
      </c>
      <c r="R64" s="6"/>
      <c r="S64" s="6"/>
      <c r="T64" s="156"/>
      <c r="U64" s="6"/>
    </row>
    <row r="65" spans="1:21" customFormat="1">
      <c r="A65" s="201" t="s">
        <v>2508</v>
      </c>
      <c r="B65" s="100">
        <v>4.3499999999999996</v>
      </c>
      <c r="C65" s="100">
        <v>17.41</v>
      </c>
      <c r="D65" s="100">
        <v>12.59</v>
      </c>
      <c r="E65" s="100">
        <v>7.15</v>
      </c>
      <c r="F65" s="151" t="s">
        <v>8</v>
      </c>
      <c r="G65" s="100">
        <v>39.25</v>
      </c>
      <c r="H65" s="100">
        <v>13.01</v>
      </c>
      <c r="I65" s="100">
        <v>6.51</v>
      </c>
      <c r="J65" s="100">
        <v>0.66</v>
      </c>
      <c r="K65" s="100">
        <v>56.49</v>
      </c>
      <c r="L65" s="100">
        <v>11.14</v>
      </c>
      <c r="M65" s="100">
        <v>6.57</v>
      </c>
      <c r="N65" s="100">
        <v>127.8</v>
      </c>
      <c r="O65" s="100">
        <v>0</v>
      </c>
      <c r="P65" s="100">
        <v>0.34</v>
      </c>
      <c r="Q65" s="100">
        <v>9.32</v>
      </c>
      <c r="R65" s="6"/>
      <c r="S65" s="6"/>
      <c r="T65" s="156"/>
      <c r="U65" s="6"/>
    </row>
    <row r="66" spans="1:21" customFormat="1">
      <c r="A66" s="201" t="s">
        <v>2509</v>
      </c>
      <c r="B66" s="100">
        <v>3.54</v>
      </c>
      <c r="C66" s="100">
        <v>15.78</v>
      </c>
      <c r="D66" s="100">
        <v>11.08</v>
      </c>
      <c r="E66" s="100">
        <v>7.18</v>
      </c>
      <c r="F66" s="151" t="s">
        <v>8</v>
      </c>
      <c r="G66" s="100">
        <v>39.25</v>
      </c>
      <c r="H66" s="100">
        <v>13.01</v>
      </c>
      <c r="I66" s="100">
        <v>7.02</v>
      </c>
      <c r="J66" s="100">
        <v>0.33</v>
      </c>
      <c r="K66" s="100">
        <v>113.14</v>
      </c>
      <c r="L66" s="100">
        <v>13.81</v>
      </c>
      <c r="M66" s="100">
        <v>13.61</v>
      </c>
      <c r="N66" s="100">
        <v>121</v>
      </c>
      <c r="O66" s="100">
        <v>0</v>
      </c>
      <c r="P66" s="100">
        <v>0.34</v>
      </c>
      <c r="Q66" s="100">
        <v>9.32</v>
      </c>
      <c r="R66" s="6"/>
      <c r="S66" s="6"/>
      <c r="T66" s="156"/>
      <c r="U66" s="6"/>
    </row>
    <row r="67" spans="1:21" customFormat="1">
      <c r="A67" s="201" t="s">
        <v>2510</v>
      </c>
      <c r="B67" s="100">
        <v>3.25</v>
      </c>
      <c r="C67" s="100">
        <v>14.38</v>
      </c>
      <c r="D67" s="100">
        <v>10.119999999999999</v>
      </c>
      <c r="E67" s="100">
        <v>9.09</v>
      </c>
      <c r="F67" s="151" t="s">
        <v>8</v>
      </c>
      <c r="G67" s="100">
        <v>39.25</v>
      </c>
      <c r="H67" s="100">
        <v>13.01</v>
      </c>
      <c r="I67" s="100">
        <v>6.69</v>
      </c>
      <c r="J67" s="100">
        <v>0.94</v>
      </c>
      <c r="K67" s="100">
        <v>47.87</v>
      </c>
      <c r="L67" s="100">
        <v>9.6300000000000008</v>
      </c>
      <c r="M67" s="100">
        <v>3.29</v>
      </c>
      <c r="N67" s="100">
        <v>111.5</v>
      </c>
      <c r="O67" s="100">
        <v>0</v>
      </c>
      <c r="P67" s="100">
        <v>0.33</v>
      </c>
      <c r="Q67" s="100">
        <v>9.32</v>
      </c>
      <c r="R67" s="6"/>
      <c r="S67" s="6"/>
      <c r="T67" s="156"/>
      <c r="U67" s="6"/>
    </row>
    <row r="68" spans="1:21" customFormat="1">
      <c r="A68" s="201" t="s">
        <v>2511</v>
      </c>
      <c r="B68" s="100">
        <v>3.36</v>
      </c>
      <c r="C68" s="100">
        <v>16.690000000000001</v>
      </c>
      <c r="D68" s="100">
        <v>11.41</v>
      </c>
      <c r="E68" s="100">
        <v>9.61</v>
      </c>
      <c r="F68" s="151" t="s">
        <v>8</v>
      </c>
      <c r="G68" s="100">
        <v>39.25</v>
      </c>
      <c r="H68" s="100">
        <v>13.01</v>
      </c>
      <c r="I68" s="100">
        <v>6.28</v>
      </c>
      <c r="J68" s="100">
        <v>0.72</v>
      </c>
      <c r="K68" s="100">
        <v>51.99</v>
      </c>
      <c r="L68" s="100">
        <v>9.1300000000000008</v>
      </c>
      <c r="M68" s="100">
        <v>2.4700000000000002</v>
      </c>
      <c r="N68" s="100">
        <v>91.6</v>
      </c>
      <c r="O68" s="100">
        <v>0</v>
      </c>
      <c r="P68" s="100">
        <v>0.35</v>
      </c>
      <c r="Q68" s="100">
        <v>9.32</v>
      </c>
      <c r="R68" s="6"/>
      <c r="S68" s="6"/>
      <c r="T68" s="156"/>
      <c r="U68" s="6"/>
    </row>
    <row r="69" spans="1:21" customFormat="1">
      <c r="A69" s="201" t="s">
        <v>2512</v>
      </c>
      <c r="B69" s="100">
        <v>3.3</v>
      </c>
      <c r="C69" s="100">
        <v>18.100000000000001</v>
      </c>
      <c r="D69" s="100">
        <v>12.11</v>
      </c>
      <c r="E69" s="100">
        <v>10.38</v>
      </c>
      <c r="F69" s="151" t="s">
        <v>8</v>
      </c>
      <c r="G69" s="100">
        <v>39.25</v>
      </c>
      <c r="H69" s="100">
        <v>13.01</v>
      </c>
      <c r="I69" s="100">
        <v>5.99</v>
      </c>
      <c r="J69" s="100">
        <v>0.45</v>
      </c>
      <c r="K69" s="100">
        <v>49.92</v>
      </c>
      <c r="L69" s="100">
        <v>11.11</v>
      </c>
      <c r="M69" s="100">
        <v>7.37</v>
      </c>
      <c r="N69" s="100">
        <v>92</v>
      </c>
      <c r="O69" s="100">
        <v>0</v>
      </c>
      <c r="P69" s="100">
        <v>0.34</v>
      </c>
      <c r="Q69" s="100">
        <v>9.32</v>
      </c>
      <c r="R69" s="6"/>
      <c r="S69" s="6"/>
      <c r="T69" s="156"/>
      <c r="U69" s="6"/>
    </row>
    <row r="70" spans="1:21" customFormat="1">
      <c r="A70" s="201" t="s">
        <v>2513</v>
      </c>
      <c r="B70" s="100">
        <v>3.74</v>
      </c>
      <c r="C70" s="100">
        <v>20.43</v>
      </c>
      <c r="D70" s="100">
        <v>13.68</v>
      </c>
      <c r="E70" s="100">
        <v>11.32</v>
      </c>
      <c r="F70" s="151" t="s">
        <v>8</v>
      </c>
      <c r="G70" s="100">
        <v>39.25</v>
      </c>
      <c r="H70" s="100">
        <v>13.01</v>
      </c>
      <c r="I70" s="100">
        <v>5.93</v>
      </c>
      <c r="J70" s="100">
        <v>0.5</v>
      </c>
      <c r="K70" s="100">
        <v>54</v>
      </c>
      <c r="L70" s="100">
        <v>9.6999999999999993</v>
      </c>
      <c r="M70" s="100">
        <v>4.2300000000000004</v>
      </c>
      <c r="N70" s="100">
        <v>78.3</v>
      </c>
      <c r="O70" s="100">
        <v>0</v>
      </c>
      <c r="P70" s="100">
        <v>0.35</v>
      </c>
      <c r="Q70" s="100">
        <v>9.32</v>
      </c>
      <c r="R70" s="6"/>
      <c r="S70" s="6"/>
      <c r="T70" s="156"/>
      <c r="U70" s="6"/>
    </row>
    <row r="71" spans="1:21" customFormat="1">
      <c r="A71" s="201" t="s">
        <v>2514</v>
      </c>
      <c r="B71" s="100">
        <v>3.58</v>
      </c>
      <c r="C71" s="100">
        <v>21.46</v>
      </c>
      <c r="D71" s="100">
        <v>14.08</v>
      </c>
      <c r="E71" s="100">
        <v>11.28</v>
      </c>
      <c r="F71" s="151" t="s">
        <v>8</v>
      </c>
      <c r="G71" s="100">
        <v>39.25</v>
      </c>
      <c r="H71" s="100">
        <v>13.01</v>
      </c>
      <c r="I71" s="100">
        <v>5.83</v>
      </c>
      <c r="J71" s="100">
        <v>0.51</v>
      </c>
      <c r="K71" s="100">
        <v>44.66</v>
      </c>
      <c r="L71" s="100">
        <v>10.19</v>
      </c>
      <c r="M71" s="100">
        <v>5.74</v>
      </c>
      <c r="N71" s="100">
        <v>66</v>
      </c>
      <c r="O71" s="100">
        <v>0</v>
      </c>
      <c r="P71" s="100">
        <v>0.36</v>
      </c>
      <c r="Q71" s="100">
        <v>9.32</v>
      </c>
      <c r="R71" s="6"/>
      <c r="S71" s="6"/>
      <c r="T71" s="156"/>
      <c r="U71" s="6"/>
    </row>
    <row r="72" spans="1:21" customFormat="1">
      <c r="A72" s="201" t="s">
        <v>2515</v>
      </c>
      <c r="B72" s="100">
        <v>4.78</v>
      </c>
      <c r="C72" s="100">
        <v>25.99</v>
      </c>
      <c r="D72" s="100">
        <v>17.420000000000002</v>
      </c>
      <c r="E72" s="100">
        <v>12.44</v>
      </c>
      <c r="F72" s="151" t="s">
        <v>8</v>
      </c>
      <c r="G72" s="100">
        <v>39.25</v>
      </c>
      <c r="H72" s="100">
        <v>13.01</v>
      </c>
      <c r="I72" s="100">
        <v>5.87</v>
      </c>
      <c r="J72" s="100">
        <v>0.75</v>
      </c>
      <c r="K72" s="100">
        <v>45.39</v>
      </c>
      <c r="L72" s="100">
        <v>7.86</v>
      </c>
      <c r="M72" s="100">
        <v>0.22</v>
      </c>
      <c r="N72" s="100">
        <v>52.3</v>
      </c>
      <c r="O72" s="100">
        <v>0</v>
      </c>
      <c r="P72" s="100">
        <v>0.41</v>
      </c>
      <c r="Q72" s="100">
        <v>9.32</v>
      </c>
      <c r="R72" s="6"/>
      <c r="S72" s="6"/>
      <c r="T72" s="156"/>
      <c r="U72" s="6"/>
    </row>
    <row r="73" spans="1:21" customFormat="1">
      <c r="A73" s="201" t="s">
        <v>2516</v>
      </c>
      <c r="B73" s="100">
        <v>4.2300000000000004</v>
      </c>
      <c r="C73" s="100">
        <v>27.06</v>
      </c>
      <c r="D73" s="100">
        <v>17.53</v>
      </c>
      <c r="E73" s="100">
        <v>10.99</v>
      </c>
      <c r="F73" s="151" t="s">
        <v>8</v>
      </c>
      <c r="G73" s="100">
        <v>39.25</v>
      </c>
      <c r="H73" s="100">
        <v>13.01</v>
      </c>
      <c r="I73" s="100">
        <v>6.11</v>
      </c>
      <c r="J73" s="100">
        <v>0.67</v>
      </c>
      <c r="K73" s="100">
        <v>46.4</v>
      </c>
      <c r="L73" s="100">
        <v>7.51</v>
      </c>
      <c r="M73" s="100">
        <v>-0.4</v>
      </c>
      <c r="N73" s="100">
        <v>42.6</v>
      </c>
      <c r="O73" s="100">
        <v>0</v>
      </c>
      <c r="P73" s="100">
        <v>0.42</v>
      </c>
      <c r="Q73" s="100">
        <v>9.32</v>
      </c>
      <c r="R73" s="6"/>
      <c r="S73" s="6"/>
      <c r="T73" s="156"/>
      <c r="U73" s="6"/>
    </row>
    <row r="74" spans="1:21" customFormat="1">
      <c r="A74" s="201" t="s">
        <v>2517</v>
      </c>
      <c r="B74" s="100">
        <v>3.87</v>
      </c>
      <c r="C74" s="100">
        <v>27.87</v>
      </c>
      <c r="D74" s="100">
        <v>17.670000000000002</v>
      </c>
      <c r="E74" s="100">
        <v>9.4700000000000006</v>
      </c>
      <c r="F74" s="151" t="s">
        <v>8</v>
      </c>
      <c r="G74" s="100">
        <v>0</v>
      </c>
      <c r="H74" s="100">
        <v>0</v>
      </c>
      <c r="I74" s="100">
        <v>6.44</v>
      </c>
      <c r="J74" s="100">
        <v>0.39</v>
      </c>
      <c r="K74" s="100">
        <v>63.43</v>
      </c>
      <c r="L74" s="100">
        <v>8.94</v>
      </c>
      <c r="M74" s="100">
        <v>3.38</v>
      </c>
      <c r="N74" s="100">
        <v>33</v>
      </c>
      <c r="O74" s="100">
        <v>0</v>
      </c>
      <c r="P74" s="100">
        <v>0.41</v>
      </c>
      <c r="Q74" s="100">
        <v>9.32</v>
      </c>
      <c r="R74" s="6"/>
      <c r="S74" s="6"/>
      <c r="T74" s="156"/>
      <c r="U74" s="6"/>
    </row>
    <row r="75" spans="1:21" customFormat="1">
      <c r="A75" s="201" t="s">
        <v>2518</v>
      </c>
      <c r="B75" s="100">
        <v>3.66</v>
      </c>
      <c r="C75" s="100">
        <v>27.1</v>
      </c>
      <c r="D75" s="100">
        <v>17.09</v>
      </c>
      <c r="E75" s="100">
        <v>9.11</v>
      </c>
      <c r="F75" s="151" t="s">
        <v>8</v>
      </c>
      <c r="G75" s="100">
        <v>0</v>
      </c>
      <c r="H75" s="100">
        <v>0</v>
      </c>
      <c r="I75" s="100">
        <v>6.43</v>
      </c>
      <c r="J75" s="100">
        <v>0.27</v>
      </c>
      <c r="K75" s="100">
        <v>66.48</v>
      </c>
      <c r="L75" s="100">
        <v>10.11</v>
      </c>
      <c r="M75" s="100">
        <v>6.62</v>
      </c>
      <c r="N75" s="100">
        <v>22.7</v>
      </c>
      <c r="O75" s="100">
        <v>0</v>
      </c>
      <c r="P75" s="100">
        <v>0.45</v>
      </c>
      <c r="Q75" s="100">
        <v>9.32</v>
      </c>
      <c r="R75" s="6"/>
      <c r="S75" s="6"/>
      <c r="T75" s="156"/>
      <c r="U75" s="6"/>
    </row>
    <row r="76" spans="1:21" customFormat="1">
      <c r="A76" s="201" t="s">
        <v>2519</v>
      </c>
      <c r="B76" s="100">
        <v>3.76</v>
      </c>
      <c r="C76" s="100">
        <v>27.4</v>
      </c>
      <c r="D76" s="100">
        <v>17.329999999999998</v>
      </c>
      <c r="E76" s="100">
        <v>7.72</v>
      </c>
      <c r="F76" s="151" t="s">
        <v>8</v>
      </c>
      <c r="G76" s="100">
        <v>0</v>
      </c>
      <c r="H76" s="100">
        <v>0</v>
      </c>
      <c r="I76" s="100">
        <v>6.49</v>
      </c>
      <c r="J76" s="100">
        <v>0.35</v>
      </c>
      <c r="K76" s="100">
        <v>59</v>
      </c>
      <c r="L76" s="100">
        <v>8.26</v>
      </c>
      <c r="M76" s="100">
        <v>2.25</v>
      </c>
      <c r="N76" s="100">
        <v>13.4</v>
      </c>
      <c r="O76" s="100">
        <v>0</v>
      </c>
      <c r="P76" s="100">
        <v>0.49</v>
      </c>
      <c r="Q76" s="100">
        <v>9.32</v>
      </c>
      <c r="R76" s="6"/>
      <c r="S76" s="6"/>
      <c r="T76" s="156"/>
      <c r="U76" s="6"/>
    </row>
    <row r="77" spans="1:21" customFormat="1">
      <c r="A77" s="201" t="s">
        <v>2520</v>
      </c>
      <c r="B77" s="100">
        <v>3.55</v>
      </c>
      <c r="C77" s="100">
        <v>24.21</v>
      </c>
      <c r="D77" s="100">
        <v>15.5</v>
      </c>
      <c r="E77" s="100">
        <v>6.28</v>
      </c>
      <c r="F77" s="151" t="s">
        <v>8</v>
      </c>
      <c r="G77" s="100">
        <v>0</v>
      </c>
      <c r="H77" s="100">
        <v>0</v>
      </c>
      <c r="I77" s="100">
        <v>13.38</v>
      </c>
      <c r="J77" s="100">
        <v>0.23</v>
      </c>
      <c r="K77" s="100">
        <v>82.12</v>
      </c>
      <c r="L77" s="100">
        <v>10.39</v>
      </c>
      <c r="M77" s="100">
        <v>7.92</v>
      </c>
      <c r="N77" s="100">
        <v>6.2</v>
      </c>
      <c r="O77" s="100">
        <v>0</v>
      </c>
      <c r="P77" s="100">
        <v>0.48</v>
      </c>
      <c r="Q77" s="100">
        <v>9.32</v>
      </c>
      <c r="R77" s="6"/>
      <c r="S77" s="6"/>
      <c r="T77" s="156"/>
      <c r="U77" s="6"/>
    </row>
    <row r="78" spans="1:21" customFormat="1">
      <c r="A78" s="201" t="s">
        <v>2521</v>
      </c>
      <c r="B78" s="100">
        <v>3.38</v>
      </c>
      <c r="C78" s="100">
        <v>23</v>
      </c>
      <c r="D78" s="100">
        <v>14.73</v>
      </c>
      <c r="E78" s="100">
        <v>5.27</v>
      </c>
      <c r="F78" s="151" t="s">
        <v>8</v>
      </c>
      <c r="G78" s="100">
        <v>79</v>
      </c>
      <c r="H78" s="100">
        <v>34.11</v>
      </c>
      <c r="I78" s="100">
        <v>20.39</v>
      </c>
      <c r="J78" s="100">
        <v>0.17</v>
      </c>
      <c r="K78" s="100">
        <v>137.04</v>
      </c>
      <c r="L78" s="100">
        <v>13.58</v>
      </c>
      <c r="M78" s="100">
        <v>16.2</v>
      </c>
      <c r="N78" s="100">
        <v>3</v>
      </c>
      <c r="O78" s="100">
        <v>0</v>
      </c>
      <c r="P78" s="100">
        <v>0.48</v>
      </c>
      <c r="Q78" s="100">
        <v>9.32</v>
      </c>
      <c r="R78" s="6"/>
      <c r="S78" s="6"/>
      <c r="T78" s="156"/>
      <c r="U78" s="6"/>
    </row>
    <row r="79" spans="1:21" customFormat="1">
      <c r="A79" s="201" t="s">
        <v>2522</v>
      </c>
      <c r="B79" s="100">
        <v>3.38</v>
      </c>
      <c r="C79" s="100">
        <v>21.49</v>
      </c>
      <c r="D79" s="100">
        <v>13.94</v>
      </c>
      <c r="E79" s="100">
        <v>4.99</v>
      </c>
      <c r="F79" s="151" t="s">
        <v>8</v>
      </c>
      <c r="G79" s="100">
        <v>116.56</v>
      </c>
      <c r="H79" s="100">
        <v>37.57</v>
      </c>
      <c r="I79" s="100">
        <v>23.17</v>
      </c>
      <c r="J79" s="100">
        <v>0.17</v>
      </c>
      <c r="K79" s="100">
        <v>137.71</v>
      </c>
      <c r="L79" s="100">
        <v>12.96</v>
      </c>
      <c r="M79" s="100">
        <v>14.74</v>
      </c>
      <c r="N79" s="100">
        <v>2.1</v>
      </c>
      <c r="O79" s="100">
        <v>0</v>
      </c>
      <c r="P79" s="100">
        <v>0.49</v>
      </c>
      <c r="Q79" s="100">
        <v>9.32</v>
      </c>
      <c r="R79" s="6"/>
      <c r="S79" s="6"/>
      <c r="T79" s="156"/>
      <c r="U79" s="6"/>
    </row>
    <row r="80" spans="1:21" customFormat="1">
      <c r="A80" s="201" t="s">
        <v>2523</v>
      </c>
      <c r="B80" s="100">
        <v>3.55</v>
      </c>
      <c r="C80" s="100">
        <v>20.079999999999998</v>
      </c>
      <c r="D80" s="100">
        <v>13.34</v>
      </c>
      <c r="E80" s="100">
        <v>5.18</v>
      </c>
      <c r="F80" s="151" t="s">
        <v>8</v>
      </c>
      <c r="G80" s="100">
        <v>116.56</v>
      </c>
      <c r="H80" s="100">
        <v>37.57</v>
      </c>
      <c r="I80" s="100">
        <v>26.65</v>
      </c>
      <c r="J80" s="100">
        <v>0.22</v>
      </c>
      <c r="K80" s="100">
        <v>153.01</v>
      </c>
      <c r="L80" s="100">
        <v>14.55</v>
      </c>
      <c r="M80" s="100">
        <v>18.68</v>
      </c>
      <c r="N80" s="100">
        <v>2.1</v>
      </c>
      <c r="O80" s="100">
        <v>0</v>
      </c>
      <c r="P80" s="100">
        <v>0.49</v>
      </c>
      <c r="Q80" s="100">
        <v>9.32</v>
      </c>
      <c r="R80" s="6"/>
      <c r="S80" s="6"/>
      <c r="T80" s="156"/>
      <c r="U80" s="6"/>
    </row>
    <row r="81" spans="1:21" customFormat="1">
      <c r="A81" s="201" t="s">
        <v>2524</v>
      </c>
      <c r="B81" s="100">
        <v>3.76</v>
      </c>
      <c r="C81" s="100">
        <v>18.96</v>
      </c>
      <c r="D81" s="100">
        <v>12.92</v>
      </c>
      <c r="E81" s="100">
        <v>3.8</v>
      </c>
      <c r="F81" s="151" t="s">
        <v>8</v>
      </c>
      <c r="G81" s="100">
        <v>116.56</v>
      </c>
      <c r="H81" s="100">
        <v>37.57</v>
      </c>
      <c r="I81" s="100">
        <v>26.27</v>
      </c>
      <c r="J81" s="100">
        <v>0.17</v>
      </c>
      <c r="K81" s="100">
        <v>146.26</v>
      </c>
      <c r="L81" s="100">
        <v>14.01</v>
      </c>
      <c r="M81" s="100">
        <v>17.329999999999998</v>
      </c>
      <c r="N81" s="100">
        <v>2</v>
      </c>
      <c r="O81" s="100">
        <v>0</v>
      </c>
      <c r="P81" s="100">
        <v>0.5</v>
      </c>
      <c r="Q81" s="100">
        <v>9.32</v>
      </c>
      <c r="R81" s="6"/>
      <c r="S81" s="6"/>
      <c r="T81" s="156"/>
      <c r="U81" s="6"/>
    </row>
    <row r="82" spans="1:21" customFormat="1">
      <c r="A82" s="201" t="s">
        <v>2525</v>
      </c>
      <c r="B82" s="100">
        <v>3.98</v>
      </c>
      <c r="C82" s="100">
        <v>18.22</v>
      </c>
      <c r="D82" s="100">
        <v>12.71</v>
      </c>
      <c r="E82" s="100">
        <v>4.01</v>
      </c>
      <c r="F82" s="151" t="s">
        <v>8</v>
      </c>
      <c r="G82" s="100">
        <v>123.45</v>
      </c>
      <c r="H82" s="100">
        <v>38.64</v>
      </c>
      <c r="I82" s="100">
        <v>25.48</v>
      </c>
      <c r="J82" s="100">
        <v>0.2</v>
      </c>
      <c r="K82" s="100">
        <v>147.25</v>
      </c>
      <c r="L82" s="100">
        <v>13.94</v>
      </c>
      <c r="M82" s="100">
        <v>17.22</v>
      </c>
      <c r="N82" s="100">
        <v>1.9</v>
      </c>
      <c r="O82" s="100">
        <v>0</v>
      </c>
      <c r="P82" s="100">
        <v>0.51</v>
      </c>
      <c r="Q82" s="100">
        <v>9.32</v>
      </c>
      <c r="R82" s="6"/>
      <c r="S82" s="6"/>
      <c r="T82" s="156"/>
      <c r="U82" s="6"/>
    </row>
    <row r="83" spans="1:21" customFormat="1">
      <c r="A83" s="201" t="s">
        <v>2526</v>
      </c>
      <c r="B83" s="100">
        <v>4.2</v>
      </c>
      <c r="C83" s="100">
        <v>17.440000000000001</v>
      </c>
      <c r="D83" s="100">
        <v>12.48</v>
      </c>
      <c r="E83" s="100">
        <v>4.24</v>
      </c>
      <c r="F83" s="151" t="s">
        <v>8</v>
      </c>
      <c r="G83" s="100">
        <v>126.73</v>
      </c>
      <c r="H83" s="100">
        <v>38.75</v>
      </c>
      <c r="I83" s="100">
        <v>24.68</v>
      </c>
      <c r="J83" s="100">
        <v>0.18</v>
      </c>
      <c r="K83" s="100">
        <v>143.79</v>
      </c>
      <c r="L83" s="100">
        <v>13.96</v>
      </c>
      <c r="M83" s="100">
        <v>17.260000000000002</v>
      </c>
      <c r="N83" s="100">
        <v>1.8</v>
      </c>
      <c r="O83" s="100">
        <v>0</v>
      </c>
      <c r="P83" s="100">
        <v>0.51</v>
      </c>
      <c r="Q83" s="100">
        <v>9.32</v>
      </c>
      <c r="R83" s="6"/>
      <c r="S83" s="6"/>
      <c r="T83" s="156"/>
      <c r="U83" s="6"/>
    </row>
    <row r="84" spans="1:21" customFormat="1">
      <c r="A84" s="201" t="s">
        <v>2527</v>
      </c>
      <c r="B84" s="100">
        <v>4.3</v>
      </c>
      <c r="C84" s="100">
        <v>16.75</v>
      </c>
      <c r="D84" s="100">
        <v>12.2</v>
      </c>
      <c r="E84" s="100">
        <v>3.97</v>
      </c>
      <c r="F84" s="151" t="s">
        <v>8</v>
      </c>
      <c r="G84" s="100">
        <v>126.73</v>
      </c>
      <c r="H84" s="100">
        <v>38.75</v>
      </c>
      <c r="I84" s="100">
        <v>23.97</v>
      </c>
      <c r="J84" s="100">
        <v>0.17</v>
      </c>
      <c r="K84" s="100">
        <v>136.09</v>
      </c>
      <c r="L84" s="100">
        <v>13.12</v>
      </c>
      <c r="M84" s="100">
        <v>15.2</v>
      </c>
      <c r="N84" s="100">
        <v>1.7</v>
      </c>
      <c r="O84" s="100">
        <v>0</v>
      </c>
      <c r="P84" s="100">
        <v>0.51</v>
      </c>
      <c r="Q84" s="100">
        <v>9.32</v>
      </c>
      <c r="R84" s="6"/>
      <c r="S84" s="6"/>
      <c r="T84" s="156"/>
      <c r="U84" s="6"/>
    </row>
    <row r="85" spans="1:21" customFormat="1">
      <c r="A85" s="201" t="s">
        <v>2528</v>
      </c>
      <c r="B85" s="100">
        <v>4.34</v>
      </c>
      <c r="C85" s="100">
        <v>16.32</v>
      </c>
      <c r="D85" s="100">
        <v>12.01</v>
      </c>
      <c r="E85" s="100">
        <v>4.33</v>
      </c>
      <c r="F85" s="151" t="s">
        <v>8</v>
      </c>
      <c r="G85" s="100">
        <v>126.73</v>
      </c>
      <c r="H85" s="100">
        <v>38.75</v>
      </c>
      <c r="I85" s="100">
        <v>23.35</v>
      </c>
      <c r="J85" s="100">
        <v>0.15</v>
      </c>
      <c r="K85" s="100">
        <v>124.67</v>
      </c>
      <c r="L85" s="100">
        <v>12.38</v>
      </c>
      <c r="M85" s="100">
        <v>13.32</v>
      </c>
      <c r="N85" s="100">
        <v>1.9</v>
      </c>
      <c r="O85" s="100">
        <v>0</v>
      </c>
      <c r="P85" s="100">
        <v>0.53</v>
      </c>
      <c r="Q85" s="100">
        <v>9.32</v>
      </c>
      <c r="R85" s="6"/>
      <c r="S85" s="6"/>
      <c r="T85" s="156"/>
      <c r="U85" s="6"/>
    </row>
    <row r="86" spans="1:21" customFormat="1">
      <c r="A86" s="201" t="s">
        <v>2529</v>
      </c>
      <c r="B86" s="100">
        <v>4.4400000000000004</v>
      </c>
      <c r="C86" s="100">
        <v>16.11</v>
      </c>
      <c r="D86" s="100">
        <v>11.98</v>
      </c>
      <c r="E86" s="100">
        <v>4.47</v>
      </c>
      <c r="F86" s="151" t="s">
        <v>8</v>
      </c>
      <c r="G86" s="100">
        <v>125.39</v>
      </c>
      <c r="H86" s="100">
        <v>38.5</v>
      </c>
      <c r="I86" s="100">
        <v>22.77</v>
      </c>
      <c r="J86" s="100">
        <v>0.18</v>
      </c>
      <c r="K86" s="100">
        <v>104.33</v>
      </c>
      <c r="L86" s="100">
        <v>11.94</v>
      </c>
      <c r="M86" s="100">
        <v>12.14</v>
      </c>
      <c r="N86" s="100">
        <v>1.8</v>
      </c>
      <c r="O86" s="100">
        <v>0</v>
      </c>
      <c r="P86" s="100">
        <v>0.54</v>
      </c>
      <c r="Q86" s="100">
        <v>9.32</v>
      </c>
      <c r="R86" s="6"/>
      <c r="S86" s="6"/>
      <c r="T86" s="156"/>
      <c r="U86" s="6"/>
    </row>
    <row r="87" spans="1:21" customFormat="1">
      <c r="A87" s="201" t="s">
        <v>2530</v>
      </c>
      <c r="B87" s="100">
        <v>4.55</v>
      </c>
      <c r="C87" s="100">
        <v>15.9</v>
      </c>
      <c r="D87" s="100">
        <v>11.96</v>
      </c>
      <c r="E87" s="100">
        <v>4.12</v>
      </c>
      <c r="F87" s="151" t="s">
        <v>8</v>
      </c>
      <c r="G87" s="100">
        <v>124.75</v>
      </c>
      <c r="H87" s="100">
        <v>38.479999999999997</v>
      </c>
      <c r="I87" s="100">
        <v>22.17</v>
      </c>
      <c r="J87" s="100">
        <v>0.36</v>
      </c>
      <c r="K87" s="100">
        <v>73.510000000000005</v>
      </c>
      <c r="L87" s="100">
        <v>8.9600000000000009</v>
      </c>
      <c r="M87" s="100">
        <v>4.62</v>
      </c>
      <c r="N87" s="100">
        <v>1.7</v>
      </c>
      <c r="O87" s="100">
        <v>0</v>
      </c>
      <c r="P87" s="100">
        <v>0.54</v>
      </c>
      <c r="Q87" s="100">
        <v>9.32</v>
      </c>
      <c r="R87" s="6"/>
      <c r="S87" s="6"/>
      <c r="T87" s="156"/>
      <c r="U87" s="6"/>
    </row>
    <row r="88" spans="1:21" customFormat="1">
      <c r="A88" s="201" t="s">
        <v>2531</v>
      </c>
      <c r="B88" s="100">
        <v>4.63</v>
      </c>
      <c r="C88" s="100">
        <v>15.68</v>
      </c>
      <c r="D88" s="100">
        <v>11.91</v>
      </c>
      <c r="E88" s="100">
        <v>4.29</v>
      </c>
      <c r="F88" s="151" t="s">
        <v>8</v>
      </c>
      <c r="G88" s="100">
        <v>124.75</v>
      </c>
      <c r="H88" s="100">
        <v>38.479999999999997</v>
      </c>
      <c r="I88" s="100">
        <v>21.59</v>
      </c>
      <c r="J88" s="100">
        <v>0.28000000000000003</v>
      </c>
      <c r="K88" s="100">
        <v>83.2</v>
      </c>
      <c r="L88" s="100">
        <v>10.01</v>
      </c>
      <c r="M88" s="100">
        <v>7.27</v>
      </c>
      <c r="N88" s="100">
        <v>1.8</v>
      </c>
      <c r="O88" s="100">
        <v>0</v>
      </c>
      <c r="P88" s="100">
        <v>0.54</v>
      </c>
      <c r="Q88" s="100">
        <v>9.32</v>
      </c>
      <c r="R88" s="6"/>
      <c r="S88" s="6"/>
      <c r="T88" s="156"/>
      <c r="U88" s="6"/>
    </row>
    <row r="89" spans="1:21" customFormat="1">
      <c r="A89" s="201" t="s">
        <v>2532</v>
      </c>
      <c r="B89" s="100">
        <v>4.67</v>
      </c>
      <c r="C89" s="100">
        <v>15.5</v>
      </c>
      <c r="D89" s="100">
        <v>11.84</v>
      </c>
      <c r="E89" s="100">
        <v>4.6500000000000004</v>
      </c>
      <c r="F89" s="151" t="s">
        <v>8</v>
      </c>
      <c r="G89" s="100">
        <v>124.75</v>
      </c>
      <c r="H89" s="100">
        <v>38.479999999999997</v>
      </c>
      <c r="I89" s="100">
        <v>21.05</v>
      </c>
      <c r="J89" s="100">
        <v>0.52</v>
      </c>
      <c r="K89" s="100">
        <v>62.02</v>
      </c>
      <c r="L89" s="100">
        <v>7.78</v>
      </c>
      <c r="M89" s="100">
        <v>1.58</v>
      </c>
      <c r="N89" s="100">
        <v>1.7</v>
      </c>
      <c r="O89" s="100">
        <v>0</v>
      </c>
      <c r="P89" s="100">
        <v>0.55000000000000004</v>
      </c>
      <c r="Q89" s="100">
        <v>9.32</v>
      </c>
      <c r="R89" s="6"/>
      <c r="S89" s="6"/>
      <c r="T89" s="156"/>
      <c r="U89" s="6"/>
    </row>
    <row r="90" spans="1:21" customFormat="1">
      <c r="A90" s="201" t="s">
        <v>2533</v>
      </c>
      <c r="B90" s="100">
        <v>4.74</v>
      </c>
      <c r="C90" s="100">
        <v>15.41</v>
      </c>
      <c r="D90" s="100">
        <v>11.85</v>
      </c>
      <c r="E90" s="100">
        <v>4.51</v>
      </c>
      <c r="F90" s="151" t="s">
        <v>8</v>
      </c>
      <c r="G90" s="100">
        <v>124.83</v>
      </c>
      <c r="H90" s="100">
        <v>41.23</v>
      </c>
      <c r="I90" s="100">
        <v>20.54</v>
      </c>
      <c r="J90" s="100">
        <v>0.25</v>
      </c>
      <c r="K90" s="100">
        <v>76</v>
      </c>
      <c r="L90" s="100">
        <v>10.01</v>
      </c>
      <c r="M90" s="100">
        <v>7.26</v>
      </c>
      <c r="N90" s="100">
        <v>1.8</v>
      </c>
      <c r="O90" s="100">
        <v>0</v>
      </c>
      <c r="P90" s="100">
        <v>0.55000000000000004</v>
      </c>
      <c r="Q90" s="100">
        <v>9.32</v>
      </c>
      <c r="R90" s="6"/>
      <c r="S90" s="6"/>
      <c r="T90" s="156"/>
      <c r="U90" s="6"/>
    </row>
    <row r="91" spans="1:21" customFormat="1">
      <c r="A91" s="201" t="s">
        <v>2534</v>
      </c>
      <c r="B91" s="100">
        <v>4.79</v>
      </c>
      <c r="C91" s="100">
        <v>15.12</v>
      </c>
      <c r="D91" s="100">
        <v>11.74</v>
      </c>
      <c r="E91" s="100">
        <v>4.46</v>
      </c>
      <c r="F91" s="151" t="s">
        <v>8</v>
      </c>
      <c r="G91" s="100">
        <v>124.87</v>
      </c>
      <c r="H91" s="100">
        <v>41.51</v>
      </c>
      <c r="I91" s="100">
        <v>20.09</v>
      </c>
      <c r="J91" s="100">
        <v>0.32</v>
      </c>
      <c r="K91" s="100">
        <v>69.73</v>
      </c>
      <c r="L91" s="100">
        <v>9.64</v>
      </c>
      <c r="M91" s="100">
        <v>6.32</v>
      </c>
      <c r="N91" s="100">
        <v>1.7</v>
      </c>
      <c r="O91" s="100">
        <v>0</v>
      </c>
      <c r="P91" s="100">
        <v>0.55000000000000004</v>
      </c>
      <c r="Q91" s="100">
        <v>9.32</v>
      </c>
      <c r="R91" s="6"/>
      <c r="S91" s="6"/>
      <c r="T91" s="156"/>
      <c r="U91" s="6"/>
    </row>
    <row r="92" spans="1:21" customFormat="1">
      <c r="A92" s="201" t="s">
        <v>2535</v>
      </c>
      <c r="B92" s="100">
        <v>4.8499999999999996</v>
      </c>
      <c r="C92" s="100">
        <v>15.05</v>
      </c>
      <c r="D92" s="100">
        <v>11.75</v>
      </c>
      <c r="E92" s="100">
        <v>4.8</v>
      </c>
      <c r="F92" s="151" t="s">
        <v>8</v>
      </c>
      <c r="G92" s="100">
        <v>124.87</v>
      </c>
      <c r="H92" s="100">
        <v>41.51</v>
      </c>
      <c r="I92" s="100">
        <v>19.64</v>
      </c>
      <c r="J92" s="100">
        <v>0.16</v>
      </c>
      <c r="K92" s="100">
        <v>142.88</v>
      </c>
      <c r="L92" s="100">
        <v>13.54</v>
      </c>
      <c r="M92" s="100">
        <v>16.21</v>
      </c>
      <c r="N92" s="100">
        <v>1.8</v>
      </c>
      <c r="O92" s="100">
        <v>0</v>
      </c>
      <c r="P92" s="100">
        <v>0.56000000000000005</v>
      </c>
      <c r="Q92" s="100">
        <v>9.32</v>
      </c>
      <c r="R92" s="6"/>
      <c r="S92" s="6"/>
      <c r="T92" s="156"/>
      <c r="U92" s="6"/>
    </row>
    <row r="93" spans="1:21" customFormat="1">
      <c r="A93" s="201" t="s">
        <v>2536</v>
      </c>
      <c r="B93" s="100">
        <v>4.8099999999999996</v>
      </c>
      <c r="C93" s="100">
        <v>14.71</v>
      </c>
      <c r="D93" s="100">
        <v>11.54</v>
      </c>
      <c r="E93" s="100">
        <v>4.57</v>
      </c>
      <c r="F93" s="151" t="s">
        <v>8</v>
      </c>
      <c r="G93" s="100">
        <v>124.87</v>
      </c>
      <c r="H93" s="100">
        <v>41.51</v>
      </c>
      <c r="I93" s="100">
        <v>19.260000000000002</v>
      </c>
      <c r="J93" s="100">
        <v>0.2</v>
      </c>
      <c r="K93" s="100">
        <v>183.15</v>
      </c>
      <c r="L93" s="100">
        <v>16.97</v>
      </c>
      <c r="M93" s="100">
        <v>24.94</v>
      </c>
      <c r="N93" s="100">
        <v>2.1</v>
      </c>
      <c r="O93" s="100">
        <v>0</v>
      </c>
      <c r="P93" s="100">
        <v>0.56000000000000005</v>
      </c>
      <c r="Q93" s="100">
        <v>9.32</v>
      </c>
      <c r="R93" s="6"/>
      <c r="S93" s="6"/>
      <c r="T93" s="156"/>
      <c r="U93" s="6"/>
    </row>
    <row r="94" spans="1:21" customFormat="1">
      <c r="A94" s="201" t="s">
        <v>2537</v>
      </c>
      <c r="B94" s="100">
        <v>4.74</v>
      </c>
      <c r="C94" s="100">
        <v>14.35</v>
      </c>
      <c r="D94" s="100">
        <v>11.3</v>
      </c>
      <c r="E94" s="100">
        <v>4.54</v>
      </c>
      <c r="F94" s="151" t="s">
        <v>8</v>
      </c>
      <c r="G94" s="100">
        <v>117.31</v>
      </c>
      <c r="H94" s="100">
        <v>44.06</v>
      </c>
      <c r="I94" s="100">
        <v>18.87</v>
      </c>
      <c r="J94" s="100">
        <v>0.19</v>
      </c>
      <c r="K94" s="100">
        <v>176.68</v>
      </c>
      <c r="L94" s="100">
        <v>15.98</v>
      </c>
      <c r="M94" s="100">
        <v>22.39</v>
      </c>
      <c r="N94" s="100">
        <v>2</v>
      </c>
      <c r="O94" s="100">
        <v>0</v>
      </c>
      <c r="P94" s="100">
        <v>0.56000000000000005</v>
      </c>
      <c r="Q94" s="100">
        <v>9.32</v>
      </c>
      <c r="R94" s="6"/>
      <c r="S94" s="6"/>
      <c r="T94" s="156"/>
      <c r="U94" s="6"/>
    </row>
    <row r="95" spans="1:21" customFormat="1">
      <c r="A95" s="201" t="s">
        <v>2538</v>
      </c>
      <c r="B95" s="100">
        <v>4.7300000000000004</v>
      </c>
      <c r="C95" s="100">
        <v>13.96</v>
      </c>
      <c r="D95" s="100">
        <v>11.09</v>
      </c>
      <c r="E95" s="100">
        <v>5.03</v>
      </c>
      <c r="F95" s="151" t="s">
        <v>8</v>
      </c>
      <c r="G95" s="100">
        <v>113.72</v>
      </c>
      <c r="H95" s="100">
        <v>44.32</v>
      </c>
      <c r="I95" s="100">
        <v>18.45</v>
      </c>
      <c r="J95" s="100">
        <v>0.14000000000000001</v>
      </c>
      <c r="K95" s="100">
        <v>107.55</v>
      </c>
      <c r="L95" s="100">
        <v>12.15</v>
      </c>
      <c r="M95" s="100">
        <v>12.68</v>
      </c>
      <c r="N95" s="100">
        <v>1.6</v>
      </c>
      <c r="O95" s="100">
        <v>0</v>
      </c>
      <c r="P95" s="100">
        <v>0.55000000000000004</v>
      </c>
      <c r="Q95" s="100">
        <v>9.32</v>
      </c>
      <c r="R95" s="6"/>
      <c r="S95" s="6"/>
      <c r="T95" s="156"/>
      <c r="U95" s="6"/>
    </row>
    <row r="96" spans="1:21" customFormat="1">
      <c r="A96" s="201" t="s">
        <v>2539</v>
      </c>
      <c r="B96" s="100">
        <v>4.78</v>
      </c>
      <c r="C96" s="100">
        <v>13.86</v>
      </c>
      <c r="D96" s="100">
        <v>11.07</v>
      </c>
      <c r="E96" s="100">
        <v>4.95</v>
      </c>
      <c r="F96" s="151" t="s">
        <v>8</v>
      </c>
      <c r="G96" s="100">
        <v>113.72</v>
      </c>
      <c r="H96" s="100">
        <v>44.32</v>
      </c>
      <c r="I96" s="100">
        <v>18.079999999999998</v>
      </c>
      <c r="J96" s="100">
        <v>0.25</v>
      </c>
      <c r="K96" s="100">
        <v>73.72</v>
      </c>
      <c r="L96" s="100">
        <v>9.59</v>
      </c>
      <c r="M96" s="100">
        <v>6.26</v>
      </c>
      <c r="N96" s="100">
        <v>1.4</v>
      </c>
      <c r="O96" s="100">
        <v>0</v>
      </c>
      <c r="P96" s="100">
        <v>0.56000000000000005</v>
      </c>
      <c r="Q96" s="100">
        <v>9.32</v>
      </c>
      <c r="R96" s="6"/>
      <c r="S96" s="6"/>
      <c r="T96" s="156"/>
      <c r="U96" s="6"/>
    </row>
    <row r="97" spans="1:28" customFormat="1">
      <c r="A97" s="201" t="s">
        <v>2540</v>
      </c>
      <c r="B97" s="100">
        <v>5</v>
      </c>
      <c r="C97" s="100">
        <v>13.78</v>
      </c>
      <c r="D97" s="100">
        <v>11.21</v>
      </c>
      <c r="E97" s="100">
        <v>5.09</v>
      </c>
      <c r="F97" s="151" t="s">
        <v>8</v>
      </c>
      <c r="G97" s="100">
        <v>113.72</v>
      </c>
      <c r="H97" s="100">
        <v>44.32</v>
      </c>
      <c r="I97" s="100">
        <v>17.73</v>
      </c>
      <c r="J97" s="100">
        <v>0.39</v>
      </c>
      <c r="K97" s="100">
        <v>56.67</v>
      </c>
      <c r="L97" s="100">
        <v>8.18</v>
      </c>
      <c r="M97" s="100">
        <v>2.58</v>
      </c>
      <c r="N97" s="100">
        <v>1.5</v>
      </c>
      <c r="O97" s="100">
        <v>0</v>
      </c>
      <c r="P97" s="100">
        <v>0.56999999999999995</v>
      </c>
      <c r="Q97" s="100">
        <v>9.32</v>
      </c>
      <c r="R97" s="6"/>
      <c r="S97" s="6"/>
      <c r="T97" s="156"/>
      <c r="U97" s="6"/>
    </row>
    <row r="98" spans="1:28" customFormat="1">
      <c r="A98" s="201" t="s">
        <v>2541</v>
      </c>
      <c r="B98" s="100">
        <v>5.46</v>
      </c>
      <c r="C98" s="100">
        <v>13.89</v>
      </c>
      <c r="D98" s="100">
        <v>11.64</v>
      </c>
      <c r="E98" s="100">
        <v>4.96</v>
      </c>
      <c r="F98" s="151" t="s">
        <v>8</v>
      </c>
      <c r="G98" s="100">
        <v>112.48</v>
      </c>
      <c r="H98" s="100">
        <v>44.83</v>
      </c>
      <c r="I98" s="100">
        <v>15.46</v>
      </c>
      <c r="J98" s="100">
        <v>0.33</v>
      </c>
      <c r="K98" s="100">
        <v>60.9</v>
      </c>
      <c r="L98" s="100">
        <v>8.4</v>
      </c>
      <c r="M98" s="100">
        <v>3.06</v>
      </c>
      <c r="N98" s="100">
        <v>1.6</v>
      </c>
      <c r="O98" s="100">
        <v>0</v>
      </c>
      <c r="P98" s="100">
        <v>0.57999999999999996</v>
      </c>
      <c r="Q98" s="100">
        <v>9.32</v>
      </c>
      <c r="R98" s="6"/>
      <c r="S98" s="6"/>
      <c r="T98" s="156"/>
      <c r="U98" s="6"/>
    </row>
    <row r="99" spans="1:28" customFormat="1">
      <c r="A99" s="201" t="s">
        <v>2542</v>
      </c>
      <c r="B99" s="100">
        <v>5.87</v>
      </c>
      <c r="C99" s="100">
        <v>13.71</v>
      </c>
      <c r="D99" s="100">
        <v>11.87</v>
      </c>
      <c r="E99" s="100">
        <v>5.03</v>
      </c>
      <c r="F99" s="151" t="s">
        <v>8</v>
      </c>
      <c r="G99" s="100">
        <v>111.89</v>
      </c>
      <c r="H99" s="100">
        <v>44.92</v>
      </c>
      <c r="I99" s="100">
        <v>13.04</v>
      </c>
      <c r="J99" s="100">
        <v>0.23</v>
      </c>
      <c r="K99" s="100">
        <v>172.33</v>
      </c>
      <c r="L99" s="100">
        <v>16.79</v>
      </c>
      <c r="M99" s="100">
        <v>24.17</v>
      </c>
      <c r="N99" s="100">
        <v>2.1</v>
      </c>
      <c r="O99" s="100">
        <v>0</v>
      </c>
      <c r="P99" s="100">
        <v>0.56999999999999995</v>
      </c>
      <c r="Q99" s="100">
        <v>9.32</v>
      </c>
      <c r="R99" s="6"/>
      <c r="S99" s="6"/>
      <c r="T99" s="156"/>
      <c r="U99" s="6"/>
    </row>
    <row r="100" spans="1:28" customFormat="1">
      <c r="A100" s="201" t="s">
        <v>2543</v>
      </c>
      <c r="B100" s="100">
        <v>6.09</v>
      </c>
      <c r="C100" s="100">
        <v>13.39</v>
      </c>
      <c r="D100" s="100">
        <v>11.88</v>
      </c>
      <c r="E100" s="100">
        <v>5.17</v>
      </c>
      <c r="F100" s="151" t="s">
        <v>8</v>
      </c>
      <c r="G100" s="100">
        <v>111.89</v>
      </c>
      <c r="H100" s="100">
        <v>44.92</v>
      </c>
      <c r="I100" s="100">
        <v>12.81</v>
      </c>
      <c r="J100" s="100">
        <v>0.1</v>
      </c>
      <c r="K100" s="100">
        <v>144.9</v>
      </c>
      <c r="L100" s="100">
        <v>15.05</v>
      </c>
      <c r="M100" s="100">
        <v>19.809999999999999</v>
      </c>
      <c r="N100" s="100">
        <v>2</v>
      </c>
      <c r="O100" s="100">
        <v>0</v>
      </c>
      <c r="P100" s="100">
        <v>0.56999999999999995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2544</v>
      </c>
      <c r="B101" s="100">
        <v>6.3</v>
      </c>
      <c r="C101" s="100">
        <v>13.2</v>
      </c>
      <c r="D101" s="100">
        <v>11.95</v>
      </c>
      <c r="E101" s="100">
        <v>5.29</v>
      </c>
      <c r="F101" s="151" t="s">
        <v>8</v>
      </c>
      <c r="G101" s="100">
        <v>111.89</v>
      </c>
      <c r="H101" s="100">
        <v>44.92</v>
      </c>
      <c r="I101" s="100">
        <v>12.58</v>
      </c>
      <c r="J101" s="100">
        <v>0.17</v>
      </c>
      <c r="K101" s="100">
        <v>191.88</v>
      </c>
      <c r="L101" s="100">
        <v>17.53</v>
      </c>
      <c r="M101" s="100">
        <v>26.13</v>
      </c>
      <c r="N101" s="100">
        <v>1.8</v>
      </c>
      <c r="O101" s="100">
        <v>0</v>
      </c>
      <c r="P101" s="100">
        <v>0.57999999999999996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2545</v>
      </c>
      <c r="B102" s="100">
        <v>6.49</v>
      </c>
      <c r="C102" s="100">
        <v>12.94</v>
      </c>
      <c r="D102" s="100">
        <v>11.96</v>
      </c>
      <c r="E102" s="100">
        <v>5.16</v>
      </c>
      <c r="F102" s="151" t="s">
        <v>8</v>
      </c>
      <c r="G102" s="100">
        <v>109.74</v>
      </c>
      <c r="H102" s="100">
        <v>46.14</v>
      </c>
      <c r="I102" s="100">
        <v>12.36</v>
      </c>
      <c r="J102" s="100">
        <v>0.1</v>
      </c>
      <c r="K102" s="100">
        <v>174.07</v>
      </c>
      <c r="L102" s="100">
        <v>15</v>
      </c>
      <c r="M102" s="100">
        <v>19.77</v>
      </c>
      <c r="N102" s="100">
        <v>1.8</v>
      </c>
      <c r="O102" s="100">
        <v>0</v>
      </c>
      <c r="P102" s="100">
        <v>0.56999999999999995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2546</v>
      </c>
      <c r="B103" s="100">
        <v>6.66</v>
      </c>
      <c r="C103" s="100">
        <v>12.64</v>
      </c>
      <c r="D103" s="100">
        <v>11.94</v>
      </c>
      <c r="E103" s="100">
        <v>5.3</v>
      </c>
      <c r="F103" s="151" t="s">
        <v>8</v>
      </c>
      <c r="G103" s="100">
        <v>108.72</v>
      </c>
      <c r="H103" s="100">
        <v>46.26</v>
      </c>
      <c r="I103" s="100">
        <v>12.15</v>
      </c>
      <c r="J103" s="100">
        <v>0.21</v>
      </c>
      <c r="K103" s="100">
        <v>229.85</v>
      </c>
      <c r="L103" s="100">
        <v>19.98</v>
      </c>
      <c r="M103" s="100">
        <v>32.24</v>
      </c>
      <c r="N103" s="100">
        <v>1.6</v>
      </c>
      <c r="O103" s="100">
        <v>0</v>
      </c>
      <c r="P103" s="100">
        <v>0.56999999999999995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2547</v>
      </c>
      <c r="B104" s="100">
        <v>6.78</v>
      </c>
      <c r="C104" s="100">
        <v>12.44</v>
      </c>
      <c r="D104" s="100">
        <v>11.94</v>
      </c>
      <c r="E104" s="100">
        <v>4.97</v>
      </c>
      <c r="F104" s="151" t="s">
        <v>8</v>
      </c>
      <c r="G104" s="100">
        <v>108.72</v>
      </c>
      <c r="H104" s="100">
        <v>46.26</v>
      </c>
      <c r="I104" s="100">
        <v>13.14</v>
      </c>
      <c r="J104" s="100">
        <v>0.08</v>
      </c>
      <c r="K104" s="100">
        <v>178.89</v>
      </c>
      <c r="L104" s="100">
        <v>16.55</v>
      </c>
      <c r="M104" s="100">
        <v>23.69</v>
      </c>
      <c r="N104" s="100">
        <v>1.7</v>
      </c>
      <c r="O104" s="100">
        <v>0</v>
      </c>
      <c r="P104" s="100">
        <v>0.56999999999999995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3.25</v>
      </c>
      <c r="C106" s="158">
        <f>MIN(C9:C104)</f>
        <v>12.44</v>
      </c>
      <c r="D106" s="158">
        <f t="shared" ref="D106:Q106" si="0">MIN(D9:D104)</f>
        <v>10.119999999999999</v>
      </c>
      <c r="E106" s="158">
        <f t="shared" si="0"/>
        <v>3.8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5.83</v>
      </c>
      <c r="J106" s="158">
        <f t="shared" si="0"/>
        <v>0.08</v>
      </c>
      <c r="K106" s="158">
        <f t="shared" si="0"/>
        <v>20.02</v>
      </c>
      <c r="L106" s="158">
        <f t="shared" si="0"/>
        <v>6.29</v>
      </c>
      <c r="M106" s="158">
        <f t="shared" si="0"/>
        <v>-2.7</v>
      </c>
      <c r="N106" s="158">
        <f t="shared" si="0"/>
        <v>1.2</v>
      </c>
      <c r="O106" s="158">
        <f t="shared" si="0"/>
        <v>0</v>
      </c>
      <c r="P106" s="158">
        <f t="shared" si="0"/>
        <v>0.33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26.61</v>
      </c>
      <c r="C107" s="157">
        <f t="shared" ref="C107:Q107" si="1">MAX(C9:C104)</f>
        <v>27.87</v>
      </c>
      <c r="D107" s="157">
        <f t="shared" si="1"/>
        <v>29.47</v>
      </c>
      <c r="E107" s="157">
        <f t="shared" si="1"/>
        <v>12.44</v>
      </c>
      <c r="F107" s="157">
        <f t="shared" si="1"/>
        <v>0</v>
      </c>
      <c r="G107" s="157">
        <f t="shared" si="1"/>
        <v>126.73</v>
      </c>
      <c r="H107" s="157">
        <f t="shared" si="1"/>
        <v>46.26</v>
      </c>
      <c r="I107" s="157">
        <f t="shared" si="1"/>
        <v>26.65</v>
      </c>
      <c r="J107" s="157">
        <f t="shared" si="1"/>
        <v>1.04</v>
      </c>
      <c r="K107" s="157">
        <f t="shared" si="1"/>
        <v>229.85</v>
      </c>
      <c r="L107" s="157">
        <f t="shared" si="1"/>
        <v>19.98</v>
      </c>
      <c r="M107" s="157">
        <f t="shared" si="1"/>
        <v>32.24</v>
      </c>
      <c r="N107" s="157">
        <f t="shared" si="1"/>
        <v>479.9</v>
      </c>
      <c r="O107" s="157">
        <f t="shared" si="1"/>
        <v>0</v>
      </c>
      <c r="P107" s="157">
        <f t="shared" si="1"/>
        <v>0.7</v>
      </c>
      <c r="Q107" s="157">
        <f t="shared" si="1"/>
        <v>9.5299999999999994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12.119687499999998</v>
      </c>
      <c r="C108" s="158">
        <f t="shared" ref="C108:Q108" si="2">AVERAGE(C9:C104)</f>
        <v>16.6640625</v>
      </c>
      <c r="D108" s="158">
        <f t="shared" si="2"/>
        <v>18.425729166666667</v>
      </c>
      <c r="E108" s="158">
        <f t="shared" si="2"/>
        <v>6.2230208333333321</v>
      </c>
      <c r="F108" s="158" t="e">
        <f t="shared" si="2"/>
        <v>#DIV/0!</v>
      </c>
      <c r="G108" s="158">
        <f t="shared" si="2"/>
        <v>63.084270833333335</v>
      </c>
      <c r="H108" s="158">
        <f t="shared" si="2"/>
        <v>21.194895833333334</v>
      </c>
      <c r="I108" s="158">
        <f t="shared" si="2"/>
        <v>13.403333333333329</v>
      </c>
      <c r="J108" s="158">
        <f t="shared" si="2"/>
        <v>0.37843750000000015</v>
      </c>
      <c r="K108" s="158">
        <f t="shared" si="2"/>
        <v>90.568020833333321</v>
      </c>
      <c r="L108" s="158">
        <f t="shared" si="2"/>
        <v>12.363437500000003</v>
      </c>
      <c r="M108" s="158">
        <f t="shared" si="2"/>
        <v>10.78385416666667</v>
      </c>
      <c r="N108" s="158">
        <f t="shared" si="2"/>
        <v>98.361458333333317</v>
      </c>
      <c r="O108" s="158">
        <f t="shared" si="2"/>
        <v>0</v>
      </c>
      <c r="P108" s="158">
        <f t="shared" si="2"/>
        <v>0.56770833333333315</v>
      </c>
      <c r="Q108" s="158">
        <f t="shared" si="2"/>
        <v>9.3277083333333533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9.0810931933069767</v>
      </c>
      <c r="C109" s="158">
        <f t="shared" ref="C109:Q109" si="3">STDEV(C9:C104)</f>
        <v>3.1964633674125844</v>
      </c>
      <c r="D109" s="158">
        <f t="shared" si="3"/>
        <v>7.0475830488998321</v>
      </c>
      <c r="E109" s="158">
        <f t="shared" si="3"/>
        <v>1.6569503501068825</v>
      </c>
      <c r="F109" s="158" t="e">
        <f t="shared" si="3"/>
        <v>#DIV/0!</v>
      </c>
      <c r="G109" s="158">
        <f t="shared" si="3"/>
        <v>35.799997110990503</v>
      </c>
      <c r="H109" s="158">
        <f t="shared" si="3"/>
        <v>13.132184489365018</v>
      </c>
      <c r="I109" s="158">
        <f t="shared" si="3"/>
        <v>4.9969809130728304</v>
      </c>
      <c r="J109" s="158">
        <f t="shared" si="3"/>
        <v>0.21975262707249513</v>
      </c>
      <c r="K109" s="158">
        <f t="shared" si="3"/>
        <v>56.443669704634594</v>
      </c>
      <c r="L109" s="158">
        <f t="shared" si="3"/>
        <v>3.6060364093456174</v>
      </c>
      <c r="M109" s="158">
        <f t="shared" si="3"/>
        <v>8.7866157031789438</v>
      </c>
      <c r="N109" s="158">
        <f t="shared" si="3"/>
        <v>155.22763411725495</v>
      </c>
      <c r="O109" s="158">
        <f t="shared" si="3"/>
        <v>0</v>
      </c>
      <c r="P109" s="158">
        <f t="shared" si="3"/>
        <v>0.10443309786568916</v>
      </c>
      <c r="Q109" s="158">
        <f t="shared" si="3"/>
        <v>3.5466193440979447E-2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2548</v>
      </c>
      <c r="B9" s="100">
        <v>7.24</v>
      </c>
      <c r="C9" s="100">
        <v>12.1</v>
      </c>
      <c r="D9" s="100">
        <v>12.13</v>
      </c>
      <c r="E9" s="100">
        <v>5.4</v>
      </c>
      <c r="F9" s="151" t="s">
        <v>8</v>
      </c>
      <c r="G9" s="100">
        <v>108.72</v>
      </c>
      <c r="H9" s="100">
        <v>46.26</v>
      </c>
      <c r="I9" s="100">
        <v>14.27</v>
      </c>
      <c r="J9" s="100">
        <v>0.08</v>
      </c>
      <c r="K9" s="100">
        <v>167.53</v>
      </c>
      <c r="L9" s="100">
        <v>13.73</v>
      </c>
      <c r="M9" s="100">
        <v>16.61</v>
      </c>
      <c r="N9" s="100">
        <v>1.4</v>
      </c>
      <c r="O9" s="100">
        <v>0</v>
      </c>
      <c r="P9" s="100">
        <v>0.56999999999999995</v>
      </c>
      <c r="Q9" s="100">
        <v>9.32</v>
      </c>
      <c r="R9" s="6"/>
      <c r="S9" s="6"/>
      <c r="T9" s="156"/>
      <c r="U9" s="6"/>
    </row>
    <row r="10" spans="1:21" customFormat="1">
      <c r="A10" s="201" t="s">
        <v>2549</v>
      </c>
      <c r="B10" s="100">
        <v>7.53</v>
      </c>
      <c r="C10" s="100">
        <v>12.42</v>
      </c>
      <c r="D10" s="100">
        <v>12.53</v>
      </c>
      <c r="E10" s="100">
        <v>5.33</v>
      </c>
      <c r="F10" s="151" t="s">
        <v>8</v>
      </c>
      <c r="G10" s="100">
        <v>105.63</v>
      </c>
      <c r="H10" s="100">
        <v>45.64</v>
      </c>
      <c r="I10" s="100">
        <v>14.09</v>
      </c>
      <c r="J10" s="100">
        <v>0.14000000000000001</v>
      </c>
      <c r="K10" s="100">
        <v>188.71</v>
      </c>
      <c r="L10" s="100">
        <v>17.059999999999999</v>
      </c>
      <c r="M10" s="100">
        <v>24.95</v>
      </c>
      <c r="N10" s="100">
        <v>1.6</v>
      </c>
      <c r="O10" s="100">
        <v>0</v>
      </c>
      <c r="P10" s="100">
        <v>0.56999999999999995</v>
      </c>
      <c r="Q10" s="100">
        <v>9.32</v>
      </c>
      <c r="R10" s="6"/>
      <c r="S10" s="6"/>
      <c r="T10" s="156"/>
      <c r="U10" s="6"/>
    </row>
    <row r="11" spans="1:21" customFormat="1">
      <c r="A11" s="201" t="s">
        <v>2550</v>
      </c>
      <c r="B11" s="100">
        <v>7.78</v>
      </c>
      <c r="C11" s="100">
        <v>12.52</v>
      </c>
      <c r="D11" s="100">
        <v>12.78</v>
      </c>
      <c r="E11" s="100">
        <v>5.63</v>
      </c>
      <c r="F11" s="151" t="s">
        <v>8</v>
      </c>
      <c r="G11" s="100">
        <v>104.16</v>
      </c>
      <c r="H11" s="100">
        <v>45.57</v>
      </c>
      <c r="I11" s="100">
        <v>13.92</v>
      </c>
      <c r="J11" s="100">
        <v>0.14000000000000001</v>
      </c>
      <c r="K11" s="100">
        <v>181.92</v>
      </c>
      <c r="L11" s="100">
        <v>16.350000000000001</v>
      </c>
      <c r="M11" s="100">
        <v>23.19</v>
      </c>
      <c r="N11" s="100">
        <v>1.7</v>
      </c>
      <c r="O11" s="100">
        <v>0</v>
      </c>
      <c r="P11" s="100">
        <v>0.56000000000000005</v>
      </c>
      <c r="Q11" s="100">
        <v>9.32</v>
      </c>
      <c r="R11" s="6"/>
      <c r="S11" s="6"/>
      <c r="T11" s="156"/>
      <c r="U11" s="6"/>
    </row>
    <row r="12" spans="1:21" customFormat="1">
      <c r="A12" s="201" t="s">
        <v>2551</v>
      </c>
      <c r="B12" s="100">
        <v>7.96</v>
      </c>
      <c r="C12" s="100">
        <v>12.55</v>
      </c>
      <c r="D12" s="100">
        <v>12.94</v>
      </c>
      <c r="E12" s="100">
        <v>5.36</v>
      </c>
      <c r="F12" s="151" t="s">
        <v>8</v>
      </c>
      <c r="G12" s="100">
        <v>104.16</v>
      </c>
      <c r="H12" s="100">
        <v>45.57</v>
      </c>
      <c r="I12" s="100">
        <v>13.74</v>
      </c>
      <c r="J12" s="100">
        <v>0.15</v>
      </c>
      <c r="K12" s="100">
        <v>196.61</v>
      </c>
      <c r="L12" s="100">
        <v>17.45</v>
      </c>
      <c r="M12" s="100">
        <v>25.96</v>
      </c>
      <c r="N12" s="100">
        <v>1.7</v>
      </c>
      <c r="O12" s="100">
        <v>0</v>
      </c>
      <c r="P12" s="100">
        <v>0.56000000000000005</v>
      </c>
      <c r="Q12" s="100">
        <v>9.32</v>
      </c>
      <c r="R12" s="6"/>
      <c r="S12" s="6"/>
      <c r="T12" s="156"/>
      <c r="U12" s="6"/>
    </row>
    <row r="13" spans="1:21" customFormat="1">
      <c r="A13" s="201" t="s">
        <v>2552</v>
      </c>
      <c r="B13" s="100">
        <v>8.08</v>
      </c>
      <c r="C13" s="100">
        <v>12.46</v>
      </c>
      <c r="D13" s="100">
        <v>12.99</v>
      </c>
      <c r="E13" s="100">
        <v>4.99</v>
      </c>
      <c r="F13" s="151" t="s">
        <v>8</v>
      </c>
      <c r="G13" s="100">
        <v>104.16</v>
      </c>
      <c r="H13" s="100">
        <v>45.57</v>
      </c>
      <c r="I13" s="100">
        <v>13.54</v>
      </c>
      <c r="J13" s="100">
        <v>0.15</v>
      </c>
      <c r="K13" s="100">
        <v>209.61</v>
      </c>
      <c r="L13" s="100">
        <v>18.68</v>
      </c>
      <c r="M13" s="100">
        <v>29.04</v>
      </c>
      <c r="N13" s="100">
        <v>1.7</v>
      </c>
      <c r="O13" s="100">
        <v>0</v>
      </c>
      <c r="P13" s="100">
        <v>0.56000000000000005</v>
      </c>
      <c r="Q13" s="100">
        <v>9.32</v>
      </c>
      <c r="R13" s="6"/>
      <c r="S13" s="6"/>
      <c r="T13" s="156"/>
      <c r="U13" s="6"/>
    </row>
    <row r="14" spans="1:21" customFormat="1">
      <c r="A14" s="201" t="s">
        <v>2553</v>
      </c>
      <c r="B14" s="100">
        <v>8.2200000000000006</v>
      </c>
      <c r="C14" s="100">
        <v>12.23</v>
      </c>
      <c r="D14" s="100">
        <v>12.98</v>
      </c>
      <c r="E14" s="100">
        <v>5.38</v>
      </c>
      <c r="F14" s="151" t="s">
        <v>8</v>
      </c>
      <c r="G14" s="100">
        <v>103.03</v>
      </c>
      <c r="H14" s="100">
        <v>47</v>
      </c>
      <c r="I14" s="100">
        <v>13.35</v>
      </c>
      <c r="J14" s="100">
        <v>0.13</v>
      </c>
      <c r="K14" s="100">
        <v>232.77</v>
      </c>
      <c r="L14" s="100">
        <v>20.65</v>
      </c>
      <c r="M14" s="100">
        <v>33.909999999999997</v>
      </c>
      <c r="N14" s="100">
        <v>1.7</v>
      </c>
      <c r="O14" s="100">
        <v>0</v>
      </c>
      <c r="P14" s="100">
        <v>0.56000000000000005</v>
      </c>
      <c r="Q14" s="100">
        <v>9.32</v>
      </c>
      <c r="R14" s="6"/>
      <c r="S14" s="6"/>
      <c r="T14" s="156"/>
      <c r="U14" s="6"/>
    </row>
    <row r="15" spans="1:21" customFormat="1">
      <c r="A15" s="201" t="s">
        <v>2554</v>
      </c>
      <c r="B15" s="100">
        <v>8.36</v>
      </c>
      <c r="C15" s="100">
        <v>12.02</v>
      </c>
      <c r="D15" s="100">
        <v>12.99</v>
      </c>
      <c r="E15" s="100">
        <v>3.01</v>
      </c>
      <c r="F15" s="151" t="s">
        <v>8</v>
      </c>
      <c r="G15" s="100">
        <v>102.49</v>
      </c>
      <c r="H15" s="100">
        <v>47.15</v>
      </c>
      <c r="I15" s="100">
        <v>13.17</v>
      </c>
      <c r="J15" s="100">
        <v>0.15</v>
      </c>
      <c r="K15" s="100">
        <v>231.76</v>
      </c>
      <c r="L15" s="100">
        <v>20.45</v>
      </c>
      <c r="M15" s="100">
        <v>33.39</v>
      </c>
      <c r="N15" s="100">
        <v>1.6</v>
      </c>
      <c r="O15" s="100">
        <v>0</v>
      </c>
      <c r="P15" s="100">
        <v>0.55000000000000004</v>
      </c>
      <c r="Q15" s="100">
        <v>9.32</v>
      </c>
      <c r="R15" s="6"/>
      <c r="S15" s="6"/>
      <c r="T15" s="156"/>
      <c r="U15" s="6"/>
    </row>
    <row r="16" spans="1:21" customFormat="1">
      <c r="A16" s="201" t="s">
        <v>2555</v>
      </c>
      <c r="B16" s="100">
        <v>8.48</v>
      </c>
      <c r="C16" s="100">
        <v>11.87</v>
      </c>
      <c r="D16" s="100">
        <v>13</v>
      </c>
      <c r="E16" s="100">
        <v>4.97</v>
      </c>
      <c r="F16" s="151" t="s">
        <v>8</v>
      </c>
      <c r="G16" s="100">
        <v>102.49</v>
      </c>
      <c r="H16" s="100">
        <v>47.15</v>
      </c>
      <c r="I16" s="100">
        <v>12.96</v>
      </c>
      <c r="J16" s="100">
        <v>0.15</v>
      </c>
      <c r="K16" s="100">
        <v>221.57</v>
      </c>
      <c r="L16" s="100">
        <v>19.55</v>
      </c>
      <c r="M16" s="100">
        <v>31.2</v>
      </c>
      <c r="N16" s="100">
        <v>1.7</v>
      </c>
      <c r="O16" s="100">
        <v>0</v>
      </c>
      <c r="P16" s="100">
        <v>0.55000000000000004</v>
      </c>
      <c r="Q16" s="100">
        <v>9.32</v>
      </c>
      <c r="R16" s="6"/>
      <c r="S16" s="6"/>
      <c r="T16" s="156"/>
      <c r="U16" s="6"/>
    </row>
    <row r="17" spans="1:21" customFormat="1">
      <c r="A17" s="201" t="s">
        <v>2556</v>
      </c>
      <c r="B17" s="100">
        <v>8.5399999999999991</v>
      </c>
      <c r="C17" s="100">
        <v>11.75</v>
      </c>
      <c r="D17" s="100">
        <v>12.99</v>
      </c>
      <c r="E17" s="100">
        <v>4.4800000000000004</v>
      </c>
      <c r="F17" s="151" t="s">
        <v>8</v>
      </c>
      <c r="G17" s="100">
        <v>102.49</v>
      </c>
      <c r="H17" s="100">
        <v>47.15</v>
      </c>
      <c r="I17" s="100">
        <v>12.75</v>
      </c>
      <c r="J17" s="100">
        <v>0.09</v>
      </c>
      <c r="K17" s="100">
        <v>174.41</v>
      </c>
      <c r="L17" s="100">
        <v>16.39</v>
      </c>
      <c r="M17" s="100">
        <v>23.31</v>
      </c>
      <c r="N17" s="100">
        <v>1.5</v>
      </c>
      <c r="O17" s="100">
        <v>0</v>
      </c>
      <c r="P17" s="100">
        <v>0.55000000000000004</v>
      </c>
      <c r="Q17" s="100">
        <v>9.32</v>
      </c>
      <c r="R17" s="6"/>
      <c r="S17" s="6"/>
      <c r="T17" s="156"/>
      <c r="U17" s="6"/>
    </row>
    <row r="18" spans="1:21" customFormat="1">
      <c r="A18" s="201" t="s">
        <v>2557</v>
      </c>
      <c r="B18" s="100">
        <v>8.82</v>
      </c>
      <c r="C18" s="100">
        <v>11.86</v>
      </c>
      <c r="D18" s="100">
        <v>13.27</v>
      </c>
      <c r="E18" s="100">
        <v>5.67</v>
      </c>
      <c r="F18" s="151" t="s">
        <v>8</v>
      </c>
      <c r="G18" s="100">
        <v>97.82</v>
      </c>
      <c r="H18" s="100">
        <v>43.09</v>
      </c>
      <c r="I18" s="100">
        <v>12.55</v>
      </c>
      <c r="J18" s="100">
        <v>0.11</v>
      </c>
      <c r="K18" s="100">
        <v>156.25</v>
      </c>
      <c r="L18" s="100">
        <v>14.64</v>
      </c>
      <c r="M18" s="100">
        <v>18.940000000000001</v>
      </c>
      <c r="N18" s="100">
        <v>1.4</v>
      </c>
      <c r="O18" s="100">
        <v>0</v>
      </c>
      <c r="P18" s="100">
        <v>0.54</v>
      </c>
      <c r="Q18" s="100">
        <v>9.32</v>
      </c>
      <c r="R18" s="6"/>
      <c r="S18" s="6"/>
      <c r="T18" s="156"/>
      <c r="U18" s="6"/>
    </row>
    <row r="19" spans="1:21" customFormat="1">
      <c r="A19" s="201" t="s">
        <v>2558</v>
      </c>
      <c r="B19" s="100">
        <v>9.81</v>
      </c>
      <c r="C19" s="100">
        <v>12.27</v>
      </c>
      <c r="D19" s="100">
        <v>14.28</v>
      </c>
      <c r="E19" s="100">
        <v>5.65</v>
      </c>
      <c r="F19" s="151" t="s">
        <v>8</v>
      </c>
      <c r="G19" s="100">
        <v>95.61</v>
      </c>
      <c r="H19" s="100">
        <v>42.67</v>
      </c>
      <c r="I19" s="100">
        <v>12.36</v>
      </c>
      <c r="J19" s="100">
        <v>0.09</v>
      </c>
      <c r="K19" s="100">
        <v>109.09</v>
      </c>
      <c r="L19" s="100">
        <v>11.69</v>
      </c>
      <c r="M19" s="100">
        <v>11.49</v>
      </c>
      <c r="N19" s="100">
        <v>1.4</v>
      </c>
      <c r="O19" s="100">
        <v>0</v>
      </c>
      <c r="P19" s="100">
        <v>0.54</v>
      </c>
      <c r="Q19" s="100">
        <v>9.32</v>
      </c>
      <c r="R19" s="6"/>
      <c r="S19" s="6"/>
      <c r="T19" s="156"/>
      <c r="U19" s="6"/>
    </row>
    <row r="20" spans="1:21" customFormat="1">
      <c r="A20" s="201" t="s">
        <v>2559</v>
      </c>
      <c r="B20" s="100">
        <v>10.81</v>
      </c>
      <c r="C20" s="100">
        <v>12.5</v>
      </c>
      <c r="D20" s="100">
        <v>15.2</v>
      </c>
      <c r="E20" s="100">
        <v>5.66</v>
      </c>
      <c r="F20" s="151" t="s">
        <v>8</v>
      </c>
      <c r="G20" s="100">
        <v>95.61</v>
      </c>
      <c r="H20" s="100">
        <v>42.67</v>
      </c>
      <c r="I20" s="100">
        <v>12.21</v>
      </c>
      <c r="J20" s="100">
        <v>0.1</v>
      </c>
      <c r="K20" s="100">
        <v>190.05</v>
      </c>
      <c r="L20" s="100">
        <v>16.91</v>
      </c>
      <c r="M20" s="100">
        <v>24.69</v>
      </c>
      <c r="N20" s="100">
        <v>1.5</v>
      </c>
      <c r="O20" s="100">
        <v>0</v>
      </c>
      <c r="P20" s="100">
        <v>0.54</v>
      </c>
      <c r="Q20" s="100">
        <v>9.32</v>
      </c>
      <c r="R20" s="6"/>
      <c r="S20" s="6"/>
      <c r="T20" s="156"/>
      <c r="U20" s="6"/>
    </row>
    <row r="21" spans="1:21" customFormat="1">
      <c r="A21" s="201" t="s">
        <v>2560</v>
      </c>
      <c r="B21" s="100">
        <v>11.41</v>
      </c>
      <c r="C21" s="100">
        <v>12.97</v>
      </c>
      <c r="D21" s="100">
        <v>15.93</v>
      </c>
      <c r="E21" s="100">
        <v>5.85</v>
      </c>
      <c r="F21" s="151" t="s">
        <v>8</v>
      </c>
      <c r="G21" s="100">
        <v>95.61</v>
      </c>
      <c r="H21" s="100">
        <v>42.67</v>
      </c>
      <c r="I21" s="100">
        <v>12.09</v>
      </c>
      <c r="J21" s="100">
        <v>0.11</v>
      </c>
      <c r="K21" s="100">
        <v>198.4</v>
      </c>
      <c r="L21" s="100">
        <v>17.489999999999998</v>
      </c>
      <c r="M21" s="100">
        <v>26.18</v>
      </c>
      <c r="N21" s="100">
        <v>1.6</v>
      </c>
      <c r="O21" s="100">
        <v>0</v>
      </c>
      <c r="P21" s="100">
        <v>0.53</v>
      </c>
      <c r="Q21" s="100">
        <v>9.32</v>
      </c>
      <c r="R21" s="6"/>
      <c r="S21" s="6"/>
      <c r="T21" s="156"/>
      <c r="U21" s="6"/>
    </row>
    <row r="22" spans="1:21" customFormat="1">
      <c r="A22" s="201" t="s">
        <v>2561</v>
      </c>
      <c r="B22" s="100">
        <v>11.77</v>
      </c>
      <c r="C22" s="100">
        <v>13.4</v>
      </c>
      <c r="D22" s="100">
        <v>16.440000000000001</v>
      </c>
      <c r="E22" s="100">
        <v>5.95</v>
      </c>
      <c r="F22" s="151" t="s">
        <v>8</v>
      </c>
      <c r="G22" s="100">
        <v>96.22</v>
      </c>
      <c r="H22" s="100">
        <v>44.25</v>
      </c>
      <c r="I22" s="100">
        <v>11.95</v>
      </c>
      <c r="J22" s="100">
        <v>0.23</v>
      </c>
      <c r="K22" s="100">
        <v>31.57</v>
      </c>
      <c r="L22" s="100">
        <v>10.52</v>
      </c>
      <c r="M22" s="100">
        <v>8.39</v>
      </c>
      <c r="N22" s="100">
        <v>1.2</v>
      </c>
      <c r="O22" s="100">
        <v>0</v>
      </c>
      <c r="P22" s="100">
        <v>0.54</v>
      </c>
      <c r="Q22" s="100">
        <v>9.32</v>
      </c>
      <c r="R22" s="6"/>
      <c r="S22" s="6"/>
      <c r="T22" s="156"/>
      <c r="U22" s="6"/>
    </row>
    <row r="23" spans="1:21" customFormat="1">
      <c r="A23" s="201" t="s">
        <v>2562</v>
      </c>
      <c r="B23" s="100">
        <v>12.03</v>
      </c>
      <c r="C23" s="100">
        <v>13.64</v>
      </c>
      <c r="D23" s="100">
        <v>16.77</v>
      </c>
      <c r="E23" s="100">
        <v>5.71</v>
      </c>
      <c r="F23" s="151" t="s">
        <v>8</v>
      </c>
      <c r="G23" s="100">
        <v>96.52</v>
      </c>
      <c r="H23" s="100">
        <v>44.41</v>
      </c>
      <c r="I23" s="100">
        <v>11.79</v>
      </c>
      <c r="J23" s="100">
        <v>0.28000000000000003</v>
      </c>
      <c r="K23" s="100">
        <v>50.19</v>
      </c>
      <c r="L23" s="100">
        <v>9.15</v>
      </c>
      <c r="M23" s="100">
        <v>5.09</v>
      </c>
      <c r="N23" s="100">
        <v>1.3</v>
      </c>
      <c r="O23" s="100">
        <v>0</v>
      </c>
      <c r="P23" s="100">
        <v>0.53</v>
      </c>
      <c r="Q23" s="100">
        <v>9.32</v>
      </c>
      <c r="R23" s="6"/>
      <c r="S23" s="6"/>
      <c r="T23" s="156"/>
      <c r="U23" s="6"/>
    </row>
    <row r="24" spans="1:21" customFormat="1">
      <c r="A24" s="201" t="s">
        <v>2563</v>
      </c>
      <c r="B24" s="100">
        <v>12.06</v>
      </c>
      <c r="C24" s="100">
        <v>13.63</v>
      </c>
      <c r="D24" s="100">
        <v>16.79</v>
      </c>
      <c r="E24" s="100">
        <v>5.71</v>
      </c>
      <c r="F24" s="151" t="s">
        <v>8</v>
      </c>
      <c r="G24" s="100">
        <v>96.52</v>
      </c>
      <c r="H24" s="100">
        <v>44.41</v>
      </c>
      <c r="I24" s="100">
        <v>11.62</v>
      </c>
      <c r="J24" s="100">
        <v>0.26</v>
      </c>
      <c r="K24" s="100">
        <v>20.98</v>
      </c>
      <c r="L24" s="100">
        <v>12.94</v>
      </c>
      <c r="M24" s="100">
        <v>14.42</v>
      </c>
      <c r="N24" s="100">
        <v>1.4</v>
      </c>
      <c r="O24" s="100">
        <v>0</v>
      </c>
      <c r="P24" s="100">
        <v>0.52</v>
      </c>
      <c r="Q24" s="100">
        <v>9.32</v>
      </c>
      <c r="R24" s="6"/>
      <c r="S24" s="6"/>
      <c r="T24" s="156"/>
      <c r="U24" s="6"/>
    </row>
    <row r="25" spans="1:21" customFormat="1">
      <c r="A25" s="201" t="s">
        <v>2564</v>
      </c>
      <c r="B25" s="100">
        <v>12.04</v>
      </c>
      <c r="C25" s="100">
        <v>13.52</v>
      </c>
      <c r="D25" s="100">
        <v>16.72</v>
      </c>
      <c r="E25" s="100">
        <v>5.55</v>
      </c>
      <c r="F25" s="151" t="s">
        <v>8</v>
      </c>
      <c r="G25" s="100">
        <v>96.52</v>
      </c>
      <c r="H25" s="100">
        <v>44.41</v>
      </c>
      <c r="I25" s="100">
        <v>11.43</v>
      </c>
      <c r="J25" s="100">
        <v>0.19</v>
      </c>
      <c r="K25" s="100">
        <v>44.18</v>
      </c>
      <c r="L25" s="100">
        <v>11.87</v>
      </c>
      <c r="M25" s="100">
        <v>11.93</v>
      </c>
      <c r="N25" s="100">
        <v>1.6</v>
      </c>
      <c r="O25" s="100">
        <v>0</v>
      </c>
      <c r="P25" s="100">
        <v>0.52</v>
      </c>
      <c r="Q25" s="100">
        <v>9.32</v>
      </c>
      <c r="R25" s="6"/>
      <c r="S25" s="6"/>
      <c r="T25" s="156"/>
      <c r="U25" s="6"/>
    </row>
    <row r="26" spans="1:21" customFormat="1">
      <c r="A26" s="201" t="s">
        <v>2565</v>
      </c>
      <c r="B26" s="100">
        <v>11.98</v>
      </c>
      <c r="C26" s="100">
        <v>13.4</v>
      </c>
      <c r="D26" s="100">
        <v>16.600000000000001</v>
      </c>
      <c r="E26" s="100">
        <v>5.69</v>
      </c>
      <c r="F26" s="151" t="s">
        <v>8</v>
      </c>
      <c r="G26" s="100">
        <v>98.63</v>
      </c>
      <c r="H26" s="100">
        <v>45.45</v>
      </c>
      <c r="I26" s="100">
        <v>11.24</v>
      </c>
      <c r="J26" s="100">
        <v>0.17</v>
      </c>
      <c r="K26" s="100">
        <v>67.13</v>
      </c>
      <c r="L26" s="100">
        <v>8.6999999999999993</v>
      </c>
      <c r="M26" s="100">
        <v>3.95</v>
      </c>
      <c r="N26" s="100">
        <v>1.7</v>
      </c>
      <c r="O26" s="100">
        <v>0</v>
      </c>
      <c r="P26" s="100">
        <v>0.53</v>
      </c>
      <c r="Q26" s="100">
        <v>9.32</v>
      </c>
      <c r="R26" s="6"/>
      <c r="S26" s="6"/>
      <c r="T26" s="156"/>
      <c r="U26" s="6"/>
    </row>
    <row r="27" spans="1:21" customFormat="1">
      <c r="A27" s="201" t="s">
        <v>2566</v>
      </c>
      <c r="B27" s="100">
        <v>11.98</v>
      </c>
      <c r="C27" s="100">
        <v>13.36</v>
      </c>
      <c r="D27" s="100">
        <v>16.59</v>
      </c>
      <c r="E27" s="100">
        <v>5.79</v>
      </c>
      <c r="F27" s="151" t="s">
        <v>8</v>
      </c>
      <c r="G27" s="100">
        <v>99.64</v>
      </c>
      <c r="H27" s="100">
        <v>45.64</v>
      </c>
      <c r="I27" s="100">
        <v>11.1</v>
      </c>
      <c r="J27" s="100">
        <v>0.13</v>
      </c>
      <c r="K27" s="100">
        <v>139.04</v>
      </c>
      <c r="L27" s="100">
        <v>13</v>
      </c>
      <c r="M27" s="100">
        <v>14.9</v>
      </c>
      <c r="N27" s="100">
        <v>1.7</v>
      </c>
      <c r="O27" s="100">
        <v>0</v>
      </c>
      <c r="P27" s="100">
        <v>0.52</v>
      </c>
      <c r="Q27" s="100">
        <v>9.32</v>
      </c>
      <c r="R27" s="6"/>
      <c r="S27" s="6"/>
      <c r="T27" s="156"/>
      <c r="U27" s="6"/>
    </row>
    <row r="28" spans="1:21" customFormat="1">
      <c r="A28" s="201" t="s">
        <v>2567</v>
      </c>
      <c r="B28" s="100">
        <v>11.94</v>
      </c>
      <c r="C28" s="100">
        <v>13.28</v>
      </c>
      <c r="D28" s="100">
        <v>16.52</v>
      </c>
      <c r="E28" s="100">
        <v>5.91</v>
      </c>
      <c r="F28" s="151" t="s">
        <v>8</v>
      </c>
      <c r="G28" s="100">
        <v>99.64</v>
      </c>
      <c r="H28" s="100">
        <v>45.64</v>
      </c>
      <c r="I28" s="100">
        <v>11</v>
      </c>
      <c r="J28" s="100">
        <v>0.2</v>
      </c>
      <c r="K28" s="100">
        <v>184.58</v>
      </c>
      <c r="L28" s="100">
        <v>17.29</v>
      </c>
      <c r="M28" s="100">
        <v>25.72</v>
      </c>
      <c r="N28" s="100">
        <v>1.7</v>
      </c>
      <c r="O28" s="100">
        <v>0</v>
      </c>
      <c r="P28" s="100">
        <v>0.52</v>
      </c>
      <c r="Q28" s="100">
        <v>9.32</v>
      </c>
      <c r="R28" s="6"/>
      <c r="S28" s="6"/>
      <c r="T28" s="156"/>
      <c r="U28" s="6"/>
    </row>
    <row r="29" spans="1:21" customFormat="1">
      <c r="A29" s="201" t="s">
        <v>2568</v>
      </c>
      <c r="B29" s="100">
        <v>11.75</v>
      </c>
      <c r="C29" s="100">
        <v>13.19</v>
      </c>
      <c r="D29" s="100">
        <v>16.32</v>
      </c>
      <c r="E29" s="100">
        <v>5.97</v>
      </c>
      <c r="F29" s="151" t="s">
        <v>8</v>
      </c>
      <c r="G29" s="100">
        <v>99.64</v>
      </c>
      <c r="H29" s="100">
        <v>45.64</v>
      </c>
      <c r="I29" s="100">
        <v>10.91</v>
      </c>
      <c r="J29" s="100">
        <v>0.13</v>
      </c>
      <c r="K29" s="100">
        <v>203.63</v>
      </c>
      <c r="L29" s="100">
        <v>18.14</v>
      </c>
      <c r="M29" s="100">
        <v>27.85</v>
      </c>
      <c r="N29" s="100">
        <v>1.7</v>
      </c>
      <c r="O29" s="100">
        <v>0</v>
      </c>
      <c r="P29" s="100">
        <v>0.52</v>
      </c>
      <c r="Q29" s="100">
        <v>9.32</v>
      </c>
      <c r="R29" s="6"/>
      <c r="S29" s="6"/>
      <c r="T29" s="156"/>
      <c r="U29" s="6"/>
    </row>
    <row r="30" spans="1:21" customFormat="1">
      <c r="A30" s="201" t="s">
        <v>2569</v>
      </c>
      <c r="B30" s="100">
        <v>11.83</v>
      </c>
      <c r="C30" s="100">
        <v>12.97</v>
      </c>
      <c r="D30" s="100">
        <v>16.27</v>
      </c>
      <c r="E30" s="100">
        <v>5.66</v>
      </c>
      <c r="F30" s="151" t="s">
        <v>8</v>
      </c>
      <c r="G30" s="100">
        <v>98.39</v>
      </c>
      <c r="H30" s="100">
        <v>43.05</v>
      </c>
      <c r="I30" s="100">
        <v>10.78</v>
      </c>
      <c r="J30" s="100">
        <v>0.15</v>
      </c>
      <c r="K30" s="100">
        <v>168.98</v>
      </c>
      <c r="L30" s="100">
        <v>15.58</v>
      </c>
      <c r="M30" s="100">
        <v>21.47</v>
      </c>
      <c r="N30" s="100">
        <v>1.7</v>
      </c>
      <c r="O30" s="100">
        <v>0</v>
      </c>
      <c r="P30" s="100">
        <v>0.52</v>
      </c>
      <c r="Q30" s="100">
        <v>9.32</v>
      </c>
      <c r="R30" s="6"/>
      <c r="S30" s="6"/>
      <c r="T30" s="156"/>
      <c r="U30" s="6"/>
    </row>
    <row r="31" spans="1:21" customFormat="1">
      <c r="A31" s="201" t="s">
        <v>2570</v>
      </c>
      <c r="B31" s="100">
        <v>12.4</v>
      </c>
      <c r="C31" s="100">
        <v>12.93</v>
      </c>
      <c r="D31" s="100">
        <v>16.7</v>
      </c>
      <c r="E31" s="100">
        <v>5.83</v>
      </c>
      <c r="F31" s="151" t="s">
        <v>8</v>
      </c>
      <c r="G31" s="100">
        <v>97.8</v>
      </c>
      <c r="H31" s="100">
        <v>42.79</v>
      </c>
      <c r="I31" s="100">
        <v>10.63</v>
      </c>
      <c r="J31" s="100">
        <v>0.18</v>
      </c>
      <c r="K31" s="100">
        <v>175.23</v>
      </c>
      <c r="L31" s="100">
        <v>16.079999999999998</v>
      </c>
      <c r="M31" s="100">
        <v>22.69</v>
      </c>
      <c r="N31" s="100">
        <v>1.5</v>
      </c>
      <c r="O31" s="100">
        <v>0</v>
      </c>
      <c r="P31" s="100">
        <v>0.52</v>
      </c>
      <c r="Q31" s="100">
        <v>9.32</v>
      </c>
      <c r="R31" s="6"/>
      <c r="S31" s="6"/>
      <c r="T31" s="156"/>
      <c r="U31" s="6"/>
    </row>
    <row r="32" spans="1:21" customFormat="1">
      <c r="A32" s="201" t="s">
        <v>2571</v>
      </c>
      <c r="B32" s="100">
        <v>13.29</v>
      </c>
      <c r="C32" s="100">
        <v>13.03</v>
      </c>
      <c r="D32" s="100">
        <v>17.47</v>
      </c>
      <c r="E32" s="100">
        <v>5.84</v>
      </c>
      <c r="F32" s="151" t="s">
        <v>8</v>
      </c>
      <c r="G32" s="100">
        <v>97.8</v>
      </c>
      <c r="H32" s="100">
        <v>42.79</v>
      </c>
      <c r="I32" s="100">
        <v>10.53</v>
      </c>
      <c r="J32" s="100">
        <v>0.14000000000000001</v>
      </c>
      <c r="K32" s="100">
        <v>213.39</v>
      </c>
      <c r="L32" s="100">
        <v>18.7</v>
      </c>
      <c r="M32" s="100">
        <v>29.26</v>
      </c>
      <c r="N32" s="100">
        <v>1.5</v>
      </c>
      <c r="O32" s="100">
        <v>0</v>
      </c>
      <c r="P32" s="100">
        <v>0.52</v>
      </c>
      <c r="Q32" s="100">
        <v>9.32</v>
      </c>
      <c r="R32" s="6"/>
      <c r="S32" s="6"/>
      <c r="T32" s="156"/>
      <c r="U32" s="6"/>
    </row>
    <row r="33" spans="1:21" customFormat="1">
      <c r="A33" s="201" t="s">
        <v>2572</v>
      </c>
      <c r="B33" s="100">
        <v>14.16</v>
      </c>
      <c r="C33" s="100">
        <v>13.32</v>
      </c>
      <c r="D33" s="100">
        <v>18.32</v>
      </c>
      <c r="E33" s="100">
        <v>5.93</v>
      </c>
      <c r="F33" s="151" t="s">
        <v>8</v>
      </c>
      <c r="G33" s="100">
        <v>97.8</v>
      </c>
      <c r="H33" s="100">
        <v>42.79</v>
      </c>
      <c r="I33" s="100">
        <v>10.49</v>
      </c>
      <c r="J33" s="100">
        <v>0.09</v>
      </c>
      <c r="K33" s="100">
        <v>48.33</v>
      </c>
      <c r="L33" s="100">
        <v>11.65</v>
      </c>
      <c r="M33" s="100">
        <v>11.34</v>
      </c>
      <c r="N33" s="100">
        <v>2.1</v>
      </c>
      <c r="O33" s="100">
        <v>0</v>
      </c>
      <c r="P33" s="100">
        <v>0.53</v>
      </c>
      <c r="Q33" s="100">
        <v>9.32</v>
      </c>
      <c r="R33" s="6"/>
      <c r="S33" s="6"/>
      <c r="T33" s="156"/>
      <c r="U33" s="6"/>
    </row>
    <row r="34" spans="1:21" customFormat="1">
      <c r="A34" s="201" t="s">
        <v>2573</v>
      </c>
      <c r="B34" s="100">
        <v>14.98</v>
      </c>
      <c r="C34" s="100">
        <v>13.42</v>
      </c>
      <c r="D34" s="100">
        <v>19.02</v>
      </c>
      <c r="E34" s="100">
        <v>5.98</v>
      </c>
      <c r="F34" s="151" t="s">
        <v>8</v>
      </c>
      <c r="G34" s="100">
        <v>97.32</v>
      </c>
      <c r="H34" s="100">
        <v>46.33</v>
      </c>
      <c r="I34" s="100">
        <v>10.45</v>
      </c>
      <c r="J34" s="100">
        <v>0.06</v>
      </c>
      <c r="K34" s="100">
        <v>132.58000000000001</v>
      </c>
      <c r="L34" s="100">
        <v>13.53</v>
      </c>
      <c r="M34" s="100">
        <v>16.11</v>
      </c>
      <c r="N34" s="100">
        <v>5.0999999999999996</v>
      </c>
      <c r="O34" s="100">
        <v>0</v>
      </c>
      <c r="P34" s="100">
        <v>0.52</v>
      </c>
      <c r="Q34" s="100">
        <v>9.32</v>
      </c>
      <c r="R34" s="6"/>
      <c r="S34" s="6"/>
      <c r="T34" s="156"/>
      <c r="U34" s="6"/>
    </row>
    <row r="35" spans="1:21" customFormat="1">
      <c r="A35" s="201" t="s">
        <v>2574</v>
      </c>
      <c r="B35" s="100">
        <v>15.53</v>
      </c>
      <c r="C35" s="100">
        <v>13.6</v>
      </c>
      <c r="D35" s="100">
        <v>19.559999999999999</v>
      </c>
      <c r="E35" s="100">
        <v>6.01</v>
      </c>
      <c r="F35" s="151" t="s">
        <v>8</v>
      </c>
      <c r="G35" s="100">
        <v>97.1</v>
      </c>
      <c r="H35" s="100">
        <v>46.69</v>
      </c>
      <c r="I35" s="100">
        <v>10.4</v>
      </c>
      <c r="J35" s="100">
        <v>0.18</v>
      </c>
      <c r="K35" s="100">
        <v>188.52</v>
      </c>
      <c r="L35" s="100">
        <v>17.23</v>
      </c>
      <c r="M35" s="100">
        <v>25.32</v>
      </c>
      <c r="N35" s="100">
        <v>12.6</v>
      </c>
      <c r="O35" s="100">
        <v>0</v>
      </c>
      <c r="P35" s="100">
        <v>0.52</v>
      </c>
      <c r="Q35" s="100">
        <v>9.32</v>
      </c>
      <c r="R35" s="6"/>
      <c r="S35" s="6"/>
      <c r="T35" s="156"/>
      <c r="U35" s="6"/>
    </row>
    <row r="36" spans="1:21" customFormat="1">
      <c r="A36" s="201" t="s">
        <v>2575</v>
      </c>
      <c r="B36" s="100">
        <v>15.63</v>
      </c>
      <c r="C36" s="100">
        <v>13.48</v>
      </c>
      <c r="D36" s="100">
        <v>19.57</v>
      </c>
      <c r="E36" s="100">
        <v>5.82</v>
      </c>
      <c r="F36" s="151" t="s">
        <v>8</v>
      </c>
      <c r="G36" s="100">
        <v>97.1</v>
      </c>
      <c r="H36" s="100">
        <v>46.69</v>
      </c>
      <c r="I36" s="100">
        <v>10.38</v>
      </c>
      <c r="J36" s="100">
        <v>0.06</v>
      </c>
      <c r="K36" s="100">
        <v>89.64</v>
      </c>
      <c r="L36" s="100">
        <v>14.83</v>
      </c>
      <c r="M36" s="100">
        <v>18.96</v>
      </c>
      <c r="N36" s="100">
        <v>23.4</v>
      </c>
      <c r="O36" s="100">
        <v>0</v>
      </c>
      <c r="P36" s="100">
        <v>0.52</v>
      </c>
      <c r="Q36" s="100">
        <v>9.32</v>
      </c>
      <c r="R36" s="6"/>
      <c r="S36" s="6"/>
      <c r="T36" s="156"/>
      <c r="U36" s="6"/>
    </row>
    <row r="37" spans="1:21" customFormat="1">
      <c r="A37" s="201" t="s">
        <v>2576</v>
      </c>
      <c r="B37" s="100">
        <v>15.89</v>
      </c>
      <c r="C37" s="100">
        <v>13.42</v>
      </c>
      <c r="D37" s="100">
        <v>19.760000000000002</v>
      </c>
      <c r="E37" s="100">
        <v>5.66</v>
      </c>
      <c r="F37" s="151" t="s">
        <v>8</v>
      </c>
      <c r="G37" s="100">
        <v>97.1</v>
      </c>
      <c r="H37" s="100">
        <v>46.69</v>
      </c>
      <c r="I37" s="100">
        <v>10.39</v>
      </c>
      <c r="J37" s="100">
        <v>0.38</v>
      </c>
      <c r="K37" s="100">
        <v>39.17</v>
      </c>
      <c r="L37" s="100">
        <v>9.64</v>
      </c>
      <c r="M37" s="100">
        <v>5.39</v>
      </c>
      <c r="N37" s="100">
        <v>35.6</v>
      </c>
      <c r="O37" s="100">
        <v>0</v>
      </c>
      <c r="P37" s="100">
        <v>0.54</v>
      </c>
      <c r="Q37" s="100">
        <v>9.32</v>
      </c>
      <c r="R37" s="6"/>
      <c r="S37" s="6"/>
      <c r="T37" s="156"/>
      <c r="U37" s="6"/>
    </row>
    <row r="38" spans="1:21" customFormat="1">
      <c r="A38" s="201" t="s">
        <v>2577</v>
      </c>
      <c r="B38" s="100">
        <v>16.28</v>
      </c>
      <c r="C38" s="100">
        <v>13.64</v>
      </c>
      <c r="D38" s="100">
        <v>20.18</v>
      </c>
      <c r="E38" s="100">
        <v>6.03</v>
      </c>
      <c r="F38" s="151" t="s">
        <v>8</v>
      </c>
      <c r="G38" s="100">
        <v>103.6</v>
      </c>
      <c r="H38" s="100">
        <v>46.43</v>
      </c>
      <c r="I38" s="100">
        <v>10.38</v>
      </c>
      <c r="J38" s="100">
        <v>0.42</v>
      </c>
      <c r="K38" s="100">
        <v>24.43</v>
      </c>
      <c r="L38" s="100">
        <v>10.210000000000001</v>
      </c>
      <c r="M38" s="100">
        <v>6.46</v>
      </c>
      <c r="N38" s="100">
        <v>49.7</v>
      </c>
      <c r="O38" s="100">
        <v>0</v>
      </c>
      <c r="P38" s="100">
        <v>0.55000000000000004</v>
      </c>
      <c r="Q38" s="100">
        <v>9.32</v>
      </c>
      <c r="R38" s="6"/>
      <c r="S38" s="6"/>
      <c r="T38" s="156"/>
      <c r="U38" s="6"/>
    </row>
    <row r="39" spans="1:21" customFormat="1">
      <c r="A39" s="201" t="s">
        <v>2578</v>
      </c>
      <c r="B39" s="100">
        <v>16.47</v>
      </c>
      <c r="C39" s="100">
        <v>14.13</v>
      </c>
      <c r="D39" s="100">
        <v>20.6</v>
      </c>
      <c r="E39" s="100">
        <v>5.82</v>
      </c>
      <c r="F39" s="151" t="s">
        <v>8</v>
      </c>
      <c r="G39" s="100">
        <v>106.85</v>
      </c>
      <c r="H39" s="100">
        <v>46.4</v>
      </c>
      <c r="I39" s="100">
        <v>10.43</v>
      </c>
      <c r="J39" s="100">
        <v>0.46</v>
      </c>
      <c r="K39" s="100">
        <v>25.56</v>
      </c>
      <c r="L39" s="100">
        <v>10.78</v>
      </c>
      <c r="M39" s="100">
        <v>7.61</v>
      </c>
      <c r="N39" s="100">
        <v>62.9</v>
      </c>
      <c r="O39" s="100">
        <v>0</v>
      </c>
      <c r="P39" s="100">
        <v>0.55000000000000004</v>
      </c>
      <c r="Q39" s="100">
        <v>9.32</v>
      </c>
      <c r="R39" s="6"/>
      <c r="S39" s="6"/>
      <c r="T39" s="156"/>
      <c r="U39" s="6"/>
    </row>
    <row r="40" spans="1:21" customFormat="1">
      <c r="A40" s="201" t="s">
        <v>2579</v>
      </c>
      <c r="B40" s="100">
        <v>16.559999999999999</v>
      </c>
      <c r="C40" s="100">
        <v>14.62</v>
      </c>
      <c r="D40" s="100">
        <v>20.92</v>
      </c>
      <c r="E40" s="100">
        <v>6.01</v>
      </c>
      <c r="F40" s="151" t="s">
        <v>8</v>
      </c>
      <c r="G40" s="100">
        <v>106.85</v>
      </c>
      <c r="H40" s="100">
        <v>46.4</v>
      </c>
      <c r="I40" s="100">
        <v>10.59</v>
      </c>
      <c r="J40" s="100">
        <v>0.55000000000000004</v>
      </c>
      <c r="K40" s="100">
        <v>17.829999999999998</v>
      </c>
      <c r="L40" s="100">
        <v>13.5</v>
      </c>
      <c r="M40" s="100">
        <v>13.43</v>
      </c>
      <c r="N40" s="100">
        <v>104.7</v>
      </c>
      <c r="O40" s="100">
        <v>0</v>
      </c>
      <c r="P40" s="100">
        <v>0.56999999999999995</v>
      </c>
      <c r="Q40" s="100">
        <v>9.32</v>
      </c>
      <c r="R40" s="6"/>
      <c r="S40" s="6"/>
      <c r="T40" s="156"/>
      <c r="U40" s="6"/>
    </row>
    <row r="41" spans="1:21" customFormat="1">
      <c r="A41" s="201" t="s">
        <v>2580</v>
      </c>
      <c r="B41" s="100">
        <v>16.690000000000001</v>
      </c>
      <c r="C41" s="100">
        <v>14.96</v>
      </c>
      <c r="D41" s="100">
        <v>21.2</v>
      </c>
      <c r="E41" s="100">
        <v>5.82</v>
      </c>
      <c r="F41" s="151" t="s">
        <v>8</v>
      </c>
      <c r="G41" s="100">
        <v>106.85</v>
      </c>
      <c r="H41" s="100">
        <v>46.4</v>
      </c>
      <c r="I41" s="100">
        <v>10.73</v>
      </c>
      <c r="J41" s="100">
        <v>0.69</v>
      </c>
      <c r="K41" s="100">
        <v>29.35</v>
      </c>
      <c r="L41" s="100">
        <v>9.91</v>
      </c>
      <c r="M41" s="100">
        <v>3.39</v>
      </c>
      <c r="N41" s="100">
        <v>145.5</v>
      </c>
      <c r="O41" s="100">
        <v>0</v>
      </c>
      <c r="P41" s="100">
        <v>0.57999999999999996</v>
      </c>
      <c r="Q41" s="100">
        <v>9.32</v>
      </c>
      <c r="R41" s="6"/>
      <c r="S41" s="6"/>
      <c r="T41" s="156"/>
      <c r="U41" s="6"/>
    </row>
    <row r="42" spans="1:21" customFormat="1">
      <c r="A42" s="201" t="s">
        <v>2581</v>
      </c>
      <c r="B42" s="100">
        <v>16.63</v>
      </c>
      <c r="C42" s="100">
        <v>15.04</v>
      </c>
      <c r="D42" s="100">
        <v>21.19</v>
      </c>
      <c r="E42" s="100">
        <v>5.82</v>
      </c>
      <c r="F42" s="151" t="s">
        <v>8</v>
      </c>
      <c r="G42" s="100">
        <v>117.92</v>
      </c>
      <c r="H42" s="100">
        <v>48.48</v>
      </c>
      <c r="I42" s="100">
        <v>10.81</v>
      </c>
      <c r="J42" s="100">
        <v>0.76</v>
      </c>
      <c r="K42" s="100">
        <v>32.619999999999997</v>
      </c>
      <c r="L42" s="100">
        <v>11.31</v>
      </c>
      <c r="M42" s="100">
        <v>6.2</v>
      </c>
      <c r="N42" s="100">
        <v>174.8</v>
      </c>
      <c r="O42" s="100">
        <v>0</v>
      </c>
      <c r="P42" s="100">
        <v>0.57999999999999996</v>
      </c>
      <c r="Q42" s="100">
        <v>9.32</v>
      </c>
      <c r="R42" s="6"/>
      <c r="S42" s="6"/>
      <c r="T42" s="156"/>
      <c r="U42" s="6"/>
    </row>
    <row r="43" spans="1:21" customFormat="1">
      <c r="A43" s="201" t="s">
        <v>2582</v>
      </c>
      <c r="B43" s="100">
        <v>16.54</v>
      </c>
      <c r="C43" s="100">
        <v>14.77</v>
      </c>
      <c r="D43" s="100">
        <v>20.98</v>
      </c>
      <c r="E43" s="100">
        <v>5.92</v>
      </c>
      <c r="F43" s="151" t="s">
        <v>8</v>
      </c>
      <c r="G43" s="100">
        <v>123.18</v>
      </c>
      <c r="H43" s="100">
        <v>48.69</v>
      </c>
      <c r="I43" s="100">
        <v>10.87</v>
      </c>
      <c r="J43" s="100">
        <v>0.76</v>
      </c>
      <c r="K43" s="100">
        <v>38.36</v>
      </c>
      <c r="L43" s="100">
        <v>11.97</v>
      </c>
      <c r="M43" s="100">
        <v>7.12</v>
      </c>
      <c r="N43" s="100">
        <v>205.5</v>
      </c>
      <c r="O43" s="100">
        <v>0</v>
      </c>
      <c r="P43" s="100">
        <v>0.57999999999999996</v>
      </c>
      <c r="Q43" s="100">
        <v>9.32</v>
      </c>
      <c r="R43" s="6"/>
      <c r="S43" s="6"/>
      <c r="T43" s="156"/>
      <c r="U43" s="6"/>
    </row>
    <row r="44" spans="1:21" customFormat="1">
      <c r="A44" s="201" t="s">
        <v>2583</v>
      </c>
      <c r="B44" s="100">
        <v>16.28</v>
      </c>
      <c r="C44" s="100">
        <v>14.96</v>
      </c>
      <c r="D44" s="100">
        <v>20.87</v>
      </c>
      <c r="E44" s="100">
        <v>6.24</v>
      </c>
      <c r="F44" s="151" t="s">
        <v>8</v>
      </c>
      <c r="G44" s="100">
        <v>123.18</v>
      </c>
      <c r="H44" s="100">
        <v>48.69</v>
      </c>
      <c r="I44" s="100">
        <v>10.91</v>
      </c>
      <c r="J44" s="100">
        <v>0.75</v>
      </c>
      <c r="K44" s="100">
        <v>40.409999999999997</v>
      </c>
      <c r="L44" s="100">
        <v>12.01</v>
      </c>
      <c r="M44" s="100">
        <v>6.65</v>
      </c>
      <c r="N44" s="100">
        <v>231.1</v>
      </c>
      <c r="O44" s="100">
        <v>0</v>
      </c>
      <c r="P44" s="100">
        <v>0.59</v>
      </c>
      <c r="Q44" s="100">
        <v>9.32</v>
      </c>
      <c r="R44" s="6"/>
      <c r="S44" s="6"/>
      <c r="T44" s="156"/>
      <c r="U44" s="6"/>
    </row>
    <row r="45" spans="1:21" customFormat="1">
      <c r="A45" s="201" t="s">
        <v>2584</v>
      </c>
      <c r="B45" s="100">
        <v>16.04</v>
      </c>
      <c r="C45" s="100">
        <v>14.83</v>
      </c>
      <c r="D45" s="100">
        <v>20.61</v>
      </c>
      <c r="E45" s="100">
        <v>6.26</v>
      </c>
      <c r="F45" s="151" t="s">
        <v>8</v>
      </c>
      <c r="G45" s="100">
        <v>123.18</v>
      </c>
      <c r="H45" s="100">
        <v>48.69</v>
      </c>
      <c r="I45" s="100">
        <v>10.92</v>
      </c>
      <c r="J45" s="100">
        <v>0.81</v>
      </c>
      <c r="K45" s="100">
        <v>50.63</v>
      </c>
      <c r="L45" s="100">
        <v>10.91</v>
      </c>
      <c r="M45" s="100">
        <v>3.54</v>
      </c>
      <c r="N45" s="100">
        <v>220.6</v>
      </c>
      <c r="O45" s="100">
        <v>0</v>
      </c>
      <c r="P45" s="100">
        <v>0.59</v>
      </c>
      <c r="Q45" s="100">
        <v>9.32</v>
      </c>
      <c r="R45" s="6"/>
      <c r="S45" s="6"/>
      <c r="T45" s="156"/>
      <c r="U45" s="6"/>
    </row>
    <row r="46" spans="1:21" customFormat="1">
      <c r="A46" s="201" t="s">
        <v>2585</v>
      </c>
      <c r="B46" s="100">
        <v>15.77</v>
      </c>
      <c r="C46" s="100">
        <v>14.74</v>
      </c>
      <c r="D46" s="100">
        <v>20.350000000000001</v>
      </c>
      <c r="E46" s="100">
        <v>6.24</v>
      </c>
      <c r="F46" s="151" t="s">
        <v>8</v>
      </c>
      <c r="G46" s="100">
        <v>124.79</v>
      </c>
      <c r="H46" s="100">
        <v>54.22</v>
      </c>
      <c r="I46" s="100">
        <v>10.95</v>
      </c>
      <c r="J46" s="100">
        <v>0.98</v>
      </c>
      <c r="K46" s="100">
        <v>41.59</v>
      </c>
      <c r="L46" s="100">
        <v>9.75</v>
      </c>
      <c r="M46" s="100">
        <v>0.3</v>
      </c>
      <c r="N46" s="100">
        <v>259.10000000000002</v>
      </c>
      <c r="O46" s="100">
        <v>0</v>
      </c>
      <c r="P46" s="100">
        <v>0.59</v>
      </c>
      <c r="Q46" s="100">
        <v>9.32</v>
      </c>
      <c r="R46" s="6"/>
      <c r="S46" s="6"/>
      <c r="T46" s="156"/>
      <c r="U46" s="6"/>
    </row>
    <row r="47" spans="1:21" customFormat="1">
      <c r="A47" s="201" t="s">
        <v>2586</v>
      </c>
      <c r="B47" s="100">
        <v>15.5</v>
      </c>
      <c r="C47" s="100">
        <v>14.84</v>
      </c>
      <c r="D47" s="100">
        <v>20.18</v>
      </c>
      <c r="E47" s="100">
        <v>6.55</v>
      </c>
      <c r="F47" s="151" t="s">
        <v>8</v>
      </c>
      <c r="G47" s="100">
        <v>125.56</v>
      </c>
      <c r="H47" s="100">
        <v>54.78</v>
      </c>
      <c r="I47" s="100">
        <v>10.93</v>
      </c>
      <c r="J47" s="100">
        <v>0.87</v>
      </c>
      <c r="K47" s="100">
        <v>40.56</v>
      </c>
      <c r="L47" s="100">
        <v>10.42</v>
      </c>
      <c r="M47" s="100">
        <v>2.5299999999999998</v>
      </c>
      <c r="N47" s="100">
        <v>233.1</v>
      </c>
      <c r="O47" s="100">
        <v>0</v>
      </c>
      <c r="P47" s="100">
        <v>0.59</v>
      </c>
      <c r="Q47" s="100">
        <v>9.32</v>
      </c>
      <c r="R47" s="6"/>
      <c r="S47" s="6"/>
      <c r="T47" s="156"/>
      <c r="U47" s="6"/>
    </row>
    <row r="48" spans="1:21" customFormat="1">
      <c r="A48" s="201" t="s">
        <v>2587</v>
      </c>
      <c r="B48" s="100">
        <v>15.15</v>
      </c>
      <c r="C48" s="100">
        <v>15.09</v>
      </c>
      <c r="D48" s="100">
        <v>20.03</v>
      </c>
      <c r="E48" s="100">
        <v>6.24</v>
      </c>
      <c r="F48" s="151" t="s">
        <v>8</v>
      </c>
      <c r="G48" s="100">
        <v>125.56</v>
      </c>
      <c r="H48" s="100">
        <v>54.78</v>
      </c>
      <c r="I48" s="100">
        <v>10.9</v>
      </c>
      <c r="J48" s="100">
        <v>0.63</v>
      </c>
      <c r="K48" s="100">
        <v>55.99</v>
      </c>
      <c r="L48" s="100">
        <v>12.14</v>
      </c>
      <c r="M48" s="100">
        <v>5.45</v>
      </c>
      <c r="N48" s="100">
        <v>298.10000000000002</v>
      </c>
      <c r="O48" s="100">
        <v>0</v>
      </c>
      <c r="P48" s="100">
        <v>0.59</v>
      </c>
      <c r="Q48" s="100">
        <v>9.32</v>
      </c>
      <c r="R48" s="6"/>
      <c r="S48" s="6"/>
      <c r="T48" s="156"/>
      <c r="U48" s="6"/>
    </row>
    <row r="49" spans="1:21" customFormat="1">
      <c r="A49" s="201" t="s">
        <v>2588</v>
      </c>
      <c r="B49" s="100">
        <v>14.67</v>
      </c>
      <c r="C49" s="100">
        <v>15.17</v>
      </c>
      <c r="D49" s="100">
        <v>19.690000000000001</v>
      </c>
      <c r="E49" s="100">
        <v>4.41</v>
      </c>
      <c r="F49" s="151" t="s">
        <v>8</v>
      </c>
      <c r="G49" s="100">
        <v>125.56</v>
      </c>
      <c r="H49" s="100">
        <v>54.78</v>
      </c>
      <c r="I49" s="100">
        <v>10.9</v>
      </c>
      <c r="J49" s="100">
        <v>0.79</v>
      </c>
      <c r="K49" s="100">
        <v>39.28</v>
      </c>
      <c r="L49" s="100">
        <v>12.4</v>
      </c>
      <c r="M49" s="100">
        <v>4.21</v>
      </c>
      <c r="N49" s="100">
        <v>369.9</v>
      </c>
      <c r="O49" s="100">
        <v>0</v>
      </c>
      <c r="P49" s="100">
        <v>0.6</v>
      </c>
      <c r="Q49" s="100">
        <v>9.32</v>
      </c>
      <c r="R49" s="6"/>
      <c r="S49" s="6"/>
      <c r="T49" s="156"/>
      <c r="U49" s="6"/>
    </row>
    <row r="50" spans="1:21" customFormat="1">
      <c r="A50" s="201" t="s">
        <v>2589</v>
      </c>
      <c r="B50" s="100">
        <v>13.99</v>
      </c>
      <c r="C50" s="100">
        <v>15.15</v>
      </c>
      <c r="D50" s="100">
        <v>19.14</v>
      </c>
      <c r="E50" s="100">
        <v>5.86</v>
      </c>
      <c r="F50" s="151" t="s">
        <v>8</v>
      </c>
      <c r="G50" s="100">
        <v>127.38</v>
      </c>
      <c r="H50" s="100">
        <v>51.54</v>
      </c>
      <c r="I50" s="100">
        <v>10.89</v>
      </c>
      <c r="J50" s="100">
        <v>0.7</v>
      </c>
      <c r="K50" s="100">
        <v>36.229999999999997</v>
      </c>
      <c r="L50" s="100">
        <v>12.93</v>
      </c>
      <c r="M50" s="100">
        <v>5.21</v>
      </c>
      <c r="N50" s="100">
        <v>388.6</v>
      </c>
      <c r="O50" s="100">
        <v>0</v>
      </c>
      <c r="P50" s="100">
        <v>0.6</v>
      </c>
      <c r="Q50" s="100">
        <v>9.32</v>
      </c>
      <c r="R50" s="6"/>
      <c r="S50" s="6"/>
      <c r="T50" s="156"/>
      <c r="U50" s="6"/>
    </row>
    <row r="51" spans="1:21" customFormat="1">
      <c r="A51" s="201" t="s">
        <v>2590</v>
      </c>
      <c r="B51" s="100">
        <v>13.41</v>
      </c>
      <c r="C51" s="100">
        <v>15.21</v>
      </c>
      <c r="D51" s="100">
        <v>18.7</v>
      </c>
      <c r="E51" s="100">
        <v>5.94</v>
      </c>
      <c r="F51" s="151" t="s">
        <v>8</v>
      </c>
      <c r="G51" s="100">
        <v>128.25</v>
      </c>
      <c r="H51" s="100">
        <v>50.98</v>
      </c>
      <c r="I51" s="100">
        <v>10.87</v>
      </c>
      <c r="J51" s="100">
        <v>0.59</v>
      </c>
      <c r="K51" s="100">
        <v>54.46</v>
      </c>
      <c r="L51" s="100">
        <v>13.19</v>
      </c>
      <c r="M51" s="100">
        <v>5.57</v>
      </c>
      <c r="N51" s="100">
        <v>405.8</v>
      </c>
      <c r="O51" s="100">
        <v>0</v>
      </c>
      <c r="P51" s="100">
        <v>0.6</v>
      </c>
      <c r="Q51" s="100">
        <v>9.32</v>
      </c>
      <c r="R51" s="6"/>
      <c r="S51" s="6"/>
      <c r="T51" s="156"/>
      <c r="U51" s="6"/>
    </row>
    <row r="52" spans="1:21" customFormat="1">
      <c r="A52" s="201" t="s">
        <v>2591</v>
      </c>
      <c r="B52" s="100">
        <v>12.52</v>
      </c>
      <c r="C52" s="100">
        <v>15.26</v>
      </c>
      <c r="D52" s="100">
        <v>18.010000000000002</v>
      </c>
      <c r="E52" s="100">
        <v>5.98</v>
      </c>
      <c r="F52" s="151" t="s">
        <v>8</v>
      </c>
      <c r="G52" s="100">
        <v>128.25</v>
      </c>
      <c r="H52" s="100">
        <v>50.98</v>
      </c>
      <c r="I52" s="100">
        <v>10.85</v>
      </c>
      <c r="J52" s="100">
        <v>0.94</v>
      </c>
      <c r="K52" s="100">
        <v>40.520000000000003</v>
      </c>
      <c r="L52" s="100">
        <v>11.71</v>
      </c>
      <c r="M52" s="100">
        <v>1.99</v>
      </c>
      <c r="N52" s="100">
        <v>396.4</v>
      </c>
      <c r="O52" s="100">
        <v>0</v>
      </c>
      <c r="P52" s="100">
        <v>0.6</v>
      </c>
      <c r="Q52" s="100">
        <v>9.32</v>
      </c>
      <c r="R52" s="6"/>
      <c r="S52" s="6"/>
      <c r="T52" s="156"/>
      <c r="U52" s="6"/>
    </row>
    <row r="53" spans="1:21" customFormat="1">
      <c r="A53" s="201" t="s">
        <v>2592</v>
      </c>
      <c r="B53" s="100">
        <v>11.58</v>
      </c>
      <c r="C53" s="100">
        <v>15.29</v>
      </c>
      <c r="D53" s="100">
        <v>17.27</v>
      </c>
      <c r="E53" s="100">
        <v>5.83</v>
      </c>
      <c r="F53" s="151" t="s">
        <v>8</v>
      </c>
      <c r="G53" s="100">
        <v>128.25</v>
      </c>
      <c r="H53" s="100">
        <v>50.98</v>
      </c>
      <c r="I53" s="100">
        <v>10.83</v>
      </c>
      <c r="J53" s="100">
        <v>0.32</v>
      </c>
      <c r="K53" s="100">
        <v>69.8</v>
      </c>
      <c r="L53" s="100">
        <v>16.38</v>
      </c>
      <c r="M53" s="100">
        <v>13.22</v>
      </c>
      <c r="N53" s="100">
        <v>422.3</v>
      </c>
      <c r="O53" s="100">
        <v>0</v>
      </c>
      <c r="P53" s="100">
        <v>0.59</v>
      </c>
      <c r="Q53" s="100">
        <v>9.32</v>
      </c>
      <c r="R53" s="6"/>
      <c r="S53" s="6"/>
      <c r="T53" s="156"/>
      <c r="U53" s="6"/>
    </row>
    <row r="54" spans="1:21" customFormat="1">
      <c r="A54" s="201" t="s">
        <v>2593</v>
      </c>
      <c r="B54" s="100">
        <v>10.59</v>
      </c>
      <c r="C54" s="100">
        <v>15.33</v>
      </c>
      <c r="D54" s="100">
        <v>16.5</v>
      </c>
      <c r="E54" s="100">
        <v>5.79</v>
      </c>
      <c r="F54" s="151" t="s">
        <v>8</v>
      </c>
      <c r="G54" s="100">
        <v>125.69</v>
      </c>
      <c r="H54" s="100">
        <v>50.6</v>
      </c>
      <c r="I54" s="100">
        <v>10.77</v>
      </c>
      <c r="J54" s="100">
        <v>0.73</v>
      </c>
      <c r="K54" s="100">
        <v>35.89</v>
      </c>
      <c r="L54" s="100">
        <v>13.58</v>
      </c>
      <c r="M54" s="100">
        <v>5.81</v>
      </c>
      <c r="N54" s="100">
        <v>430.2</v>
      </c>
      <c r="O54" s="100">
        <v>0</v>
      </c>
      <c r="P54" s="100">
        <v>0.59</v>
      </c>
      <c r="Q54" s="100">
        <v>9.32</v>
      </c>
      <c r="R54" s="6"/>
      <c r="S54" s="6"/>
      <c r="T54" s="156"/>
      <c r="U54" s="6"/>
    </row>
    <row r="55" spans="1:21" customFormat="1">
      <c r="A55" s="201" t="s">
        <v>2594</v>
      </c>
      <c r="B55" s="100">
        <v>9.73</v>
      </c>
      <c r="C55" s="100">
        <v>15.31</v>
      </c>
      <c r="D55" s="100">
        <v>15.8</v>
      </c>
      <c r="E55" s="100">
        <v>6.21</v>
      </c>
      <c r="F55" s="151" t="s">
        <v>8</v>
      </c>
      <c r="G55" s="100">
        <v>124.48</v>
      </c>
      <c r="H55" s="100">
        <v>50.56</v>
      </c>
      <c r="I55" s="100">
        <v>10.78</v>
      </c>
      <c r="J55" s="100">
        <v>0.83</v>
      </c>
      <c r="K55" s="100">
        <v>33.24</v>
      </c>
      <c r="L55" s="100">
        <v>15.73</v>
      </c>
      <c r="M55" s="100">
        <v>11.22</v>
      </c>
      <c r="N55" s="100">
        <v>428.2</v>
      </c>
      <c r="O55" s="100">
        <v>0</v>
      </c>
      <c r="P55" s="100">
        <v>0.59</v>
      </c>
      <c r="Q55" s="100">
        <v>9.32</v>
      </c>
      <c r="R55" s="6"/>
      <c r="S55" s="6"/>
      <c r="T55" s="156"/>
      <c r="U55" s="6"/>
    </row>
    <row r="56" spans="1:21" customFormat="1">
      <c r="A56" s="201" t="s">
        <v>2595</v>
      </c>
      <c r="B56" s="100">
        <v>8.8699999999999992</v>
      </c>
      <c r="C56" s="100">
        <v>15.29</v>
      </c>
      <c r="D56" s="100">
        <v>15.1</v>
      </c>
      <c r="E56" s="100">
        <v>6.25</v>
      </c>
      <c r="F56" s="151" t="s">
        <v>8</v>
      </c>
      <c r="G56" s="100">
        <v>124.48</v>
      </c>
      <c r="H56" s="100">
        <v>50.56</v>
      </c>
      <c r="I56" s="100">
        <v>10.68</v>
      </c>
      <c r="J56" s="100">
        <v>0.56000000000000005</v>
      </c>
      <c r="K56" s="100">
        <v>60.26</v>
      </c>
      <c r="L56" s="100">
        <v>14.15</v>
      </c>
      <c r="M56" s="100">
        <v>7.34</v>
      </c>
      <c r="N56" s="100">
        <v>433</v>
      </c>
      <c r="O56" s="100">
        <v>0</v>
      </c>
      <c r="P56" s="100">
        <v>0.57999999999999996</v>
      </c>
      <c r="Q56" s="100">
        <v>9.32</v>
      </c>
      <c r="R56" s="6"/>
      <c r="S56" s="6"/>
      <c r="T56" s="156"/>
      <c r="U56" s="6"/>
    </row>
    <row r="57" spans="1:21" customFormat="1">
      <c r="A57" s="201" t="s">
        <v>2596</v>
      </c>
      <c r="B57" s="100">
        <v>8</v>
      </c>
      <c r="C57" s="100">
        <v>15.41</v>
      </c>
      <c r="D57" s="100">
        <v>14.47</v>
      </c>
      <c r="E57" s="100">
        <v>6.62</v>
      </c>
      <c r="F57" s="151" t="s">
        <v>8</v>
      </c>
      <c r="G57" s="100">
        <v>124.48</v>
      </c>
      <c r="H57" s="100">
        <v>50.56</v>
      </c>
      <c r="I57" s="100">
        <v>10.59</v>
      </c>
      <c r="J57" s="100">
        <v>0.84</v>
      </c>
      <c r="K57" s="100">
        <v>39.979999999999997</v>
      </c>
      <c r="L57" s="100">
        <v>15.37</v>
      </c>
      <c r="M57" s="100">
        <v>10.36</v>
      </c>
      <c r="N57" s="100">
        <v>431.2</v>
      </c>
      <c r="O57" s="100">
        <v>0</v>
      </c>
      <c r="P57" s="100">
        <v>0.57999999999999996</v>
      </c>
      <c r="Q57" s="100">
        <v>9.32</v>
      </c>
      <c r="R57" s="6"/>
      <c r="S57" s="6"/>
      <c r="T57" s="156"/>
      <c r="U57" s="6"/>
    </row>
    <row r="58" spans="1:21" customFormat="1">
      <c r="A58" s="201" t="s">
        <v>2597</v>
      </c>
      <c r="B58" s="100">
        <v>7.24</v>
      </c>
      <c r="C58" s="100">
        <v>15.43</v>
      </c>
      <c r="D58" s="100">
        <v>13.87</v>
      </c>
      <c r="E58" s="100">
        <v>7.64</v>
      </c>
      <c r="F58" s="151" t="s">
        <v>8</v>
      </c>
      <c r="G58" s="100">
        <v>117.39</v>
      </c>
      <c r="H58" s="100">
        <v>50.07</v>
      </c>
      <c r="I58" s="100">
        <v>10.49</v>
      </c>
      <c r="J58" s="100">
        <v>0.92</v>
      </c>
      <c r="K58" s="100">
        <v>43.84</v>
      </c>
      <c r="L58" s="100">
        <v>12.85</v>
      </c>
      <c r="M58" s="100">
        <v>4.24</v>
      </c>
      <c r="N58" s="100">
        <v>423.9</v>
      </c>
      <c r="O58" s="100">
        <v>0</v>
      </c>
      <c r="P58" s="100">
        <v>0.56999999999999995</v>
      </c>
      <c r="Q58" s="100">
        <v>9.33</v>
      </c>
      <c r="R58" s="6"/>
      <c r="S58" s="6"/>
      <c r="T58" s="156"/>
      <c r="U58" s="6"/>
    </row>
    <row r="59" spans="1:21" customFormat="1">
      <c r="A59" s="201" t="s">
        <v>2598</v>
      </c>
      <c r="B59" s="100">
        <v>6.53</v>
      </c>
      <c r="C59" s="100">
        <v>15.23</v>
      </c>
      <c r="D59" s="100">
        <v>13.2</v>
      </c>
      <c r="E59" s="100">
        <v>7.2</v>
      </c>
      <c r="F59" s="151" t="s">
        <v>8</v>
      </c>
      <c r="G59" s="100">
        <v>114.02</v>
      </c>
      <c r="H59" s="100">
        <v>50.02</v>
      </c>
      <c r="I59" s="100">
        <v>10.41</v>
      </c>
      <c r="J59" s="100">
        <v>0.57999999999999996</v>
      </c>
      <c r="K59" s="100">
        <v>62.92</v>
      </c>
      <c r="L59" s="100">
        <v>13.77</v>
      </c>
      <c r="M59" s="100">
        <v>7.13</v>
      </c>
      <c r="N59" s="100">
        <v>402.6</v>
      </c>
      <c r="O59" s="100">
        <v>0</v>
      </c>
      <c r="P59" s="100">
        <v>0.56000000000000005</v>
      </c>
      <c r="Q59" s="100">
        <v>9.6199999999999992</v>
      </c>
      <c r="R59" s="6"/>
      <c r="S59" s="6"/>
      <c r="T59" s="156"/>
      <c r="U59" s="6"/>
    </row>
    <row r="60" spans="1:21" customFormat="1">
      <c r="A60" s="201" t="s">
        <v>2599</v>
      </c>
      <c r="B60" s="100">
        <v>5.67</v>
      </c>
      <c r="C60" s="100">
        <v>15.21</v>
      </c>
      <c r="D60" s="100">
        <v>12.49</v>
      </c>
      <c r="E60" s="100">
        <v>6.4</v>
      </c>
      <c r="F60" s="151" t="s">
        <v>8</v>
      </c>
      <c r="G60" s="100">
        <v>114.02</v>
      </c>
      <c r="H60" s="100">
        <v>50.02</v>
      </c>
      <c r="I60" s="100">
        <v>10.35</v>
      </c>
      <c r="J60" s="100">
        <v>0.8</v>
      </c>
      <c r="K60" s="100">
        <v>33.43</v>
      </c>
      <c r="L60" s="100">
        <v>13.99</v>
      </c>
      <c r="M60" s="100">
        <v>7.96</v>
      </c>
      <c r="N60" s="100">
        <v>384.7</v>
      </c>
      <c r="O60" s="100">
        <v>0</v>
      </c>
      <c r="P60" s="100">
        <v>0.55000000000000004</v>
      </c>
      <c r="Q60" s="100">
        <v>9.74</v>
      </c>
      <c r="R60" s="6"/>
      <c r="S60" s="6"/>
      <c r="T60" s="156"/>
      <c r="U60" s="6"/>
    </row>
    <row r="61" spans="1:21" customFormat="1">
      <c r="A61" s="201" t="s">
        <v>2600</v>
      </c>
      <c r="B61" s="100">
        <v>4.88</v>
      </c>
      <c r="C61" s="100">
        <v>15.37</v>
      </c>
      <c r="D61" s="100">
        <v>11.94</v>
      </c>
      <c r="E61" s="100">
        <v>6.16</v>
      </c>
      <c r="F61" s="151" t="s">
        <v>8</v>
      </c>
      <c r="G61" s="100">
        <v>114.02</v>
      </c>
      <c r="H61" s="100">
        <v>50.02</v>
      </c>
      <c r="I61" s="100">
        <v>10.14</v>
      </c>
      <c r="J61" s="100">
        <v>0.4</v>
      </c>
      <c r="K61" s="100">
        <v>58.64</v>
      </c>
      <c r="L61" s="100">
        <v>15.06</v>
      </c>
      <c r="M61" s="100">
        <v>11</v>
      </c>
      <c r="N61" s="100">
        <v>372</v>
      </c>
      <c r="O61" s="100">
        <v>0</v>
      </c>
      <c r="P61" s="100">
        <v>0.54</v>
      </c>
      <c r="Q61" s="100">
        <v>9.6199999999999992</v>
      </c>
      <c r="R61" s="6"/>
      <c r="S61" s="6"/>
      <c r="T61" s="156"/>
      <c r="U61" s="6"/>
    </row>
    <row r="62" spans="1:21" customFormat="1">
      <c r="A62" s="201" t="s">
        <v>2601</v>
      </c>
      <c r="B62" s="100">
        <v>4.3099999999999996</v>
      </c>
      <c r="C62" s="100">
        <v>15.32</v>
      </c>
      <c r="D62" s="100">
        <v>11.46</v>
      </c>
      <c r="E62" s="100">
        <v>6.42</v>
      </c>
      <c r="F62" s="151" t="s">
        <v>8</v>
      </c>
      <c r="G62" s="100">
        <v>114</v>
      </c>
      <c r="H62" s="100">
        <v>50.36</v>
      </c>
      <c r="I62" s="100">
        <v>10.07</v>
      </c>
      <c r="J62" s="100">
        <v>0.81</v>
      </c>
      <c r="K62" s="100">
        <v>34.630000000000003</v>
      </c>
      <c r="L62" s="100">
        <v>12.14</v>
      </c>
      <c r="M62" s="100">
        <v>7.56</v>
      </c>
      <c r="N62" s="100">
        <v>206.6</v>
      </c>
      <c r="O62" s="100">
        <v>0</v>
      </c>
      <c r="P62" s="100">
        <v>0.53</v>
      </c>
      <c r="Q62" s="100">
        <v>9.69</v>
      </c>
      <c r="R62" s="6"/>
      <c r="S62" s="6"/>
      <c r="T62" s="156"/>
      <c r="U62" s="6"/>
    </row>
    <row r="63" spans="1:21" customFormat="1">
      <c r="A63" s="201" t="s">
        <v>2602</v>
      </c>
      <c r="B63" s="100">
        <v>3.99</v>
      </c>
      <c r="C63" s="100">
        <v>15.05</v>
      </c>
      <c r="D63" s="100">
        <v>11.06</v>
      </c>
      <c r="E63" s="100">
        <v>6.16</v>
      </c>
      <c r="F63" s="151" t="s">
        <v>8</v>
      </c>
      <c r="G63" s="100">
        <v>114</v>
      </c>
      <c r="H63" s="100">
        <v>50.4</v>
      </c>
      <c r="I63" s="100">
        <v>9.91</v>
      </c>
      <c r="J63" s="100">
        <v>0.67</v>
      </c>
      <c r="K63" s="100">
        <v>53.41</v>
      </c>
      <c r="L63" s="100">
        <v>12.04</v>
      </c>
      <c r="M63" s="100">
        <v>8.01</v>
      </c>
      <c r="N63" s="100">
        <v>180.5</v>
      </c>
      <c r="O63" s="100">
        <v>0</v>
      </c>
      <c r="P63" s="100">
        <v>0.52</v>
      </c>
      <c r="Q63" s="100">
        <v>9.65</v>
      </c>
      <c r="R63" s="6"/>
      <c r="S63" s="6"/>
      <c r="T63" s="156"/>
      <c r="U63" s="6"/>
    </row>
    <row r="64" spans="1:21" customFormat="1">
      <c r="A64" s="201" t="s">
        <v>2603</v>
      </c>
      <c r="B64" s="100">
        <v>3.74</v>
      </c>
      <c r="C64" s="100">
        <v>14.85</v>
      </c>
      <c r="D64" s="100">
        <v>10.76</v>
      </c>
      <c r="E64" s="100">
        <v>6.01</v>
      </c>
      <c r="F64" s="151" t="s">
        <v>8</v>
      </c>
      <c r="G64" s="100">
        <v>114</v>
      </c>
      <c r="H64" s="100">
        <v>50.4</v>
      </c>
      <c r="I64" s="100">
        <v>9.86</v>
      </c>
      <c r="J64" s="100">
        <v>0.79</v>
      </c>
      <c r="K64" s="100">
        <v>41.43</v>
      </c>
      <c r="L64" s="100">
        <v>11.45</v>
      </c>
      <c r="M64" s="100">
        <v>6.98</v>
      </c>
      <c r="N64" s="100">
        <v>157.6</v>
      </c>
      <c r="O64" s="100">
        <v>0</v>
      </c>
      <c r="P64" s="100">
        <v>0.52</v>
      </c>
      <c r="Q64" s="100">
        <v>9.6300000000000008</v>
      </c>
      <c r="R64" s="6"/>
      <c r="S64" s="6"/>
      <c r="T64" s="156"/>
      <c r="U64" s="6"/>
    </row>
    <row r="65" spans="1:21" customFormat="1">
      <c r="A65" s="201" t="s">
        <v>2604</v>
      </c>
      <c r="B65" s="100">
        <v>3.59</v>
      </c>
      <c r="C65" s="100">
        <v>14.74</v>
      </c>
      <c r="D65" s="100">
        <v>10.58</v>
      </c>
      <c r="E65" s="100">
        <v>5.93</v>
      </c>
      <c r="F65" s="151" t="s">
        <v>8</v>
      </c>
      <c r="G65" s="100">
        <v>114</v>
      </c>
      <c r="H65" s="100">
        <v>50.4</v>
      </c>
      <c r="I65" s="100">
        <v>9.85</v>
      </c>
      <c r="J65" s="100">
        <v>0.51</v>
      </c>
      <c r="K65" s="100">
        <v>69.16</v>
      </c>
      <c r="L65" s="100">
        <v>11.37</v>
      </c>
      <c r="M65" s="100">
        <v>7.26</v>
      </c>
      <c r="N65" s="100">
        <v>143.69999999999999</v>
      </c>
      <c r="O65" s="100">
        <v>0</v>
      </c>
      <c r="P65" s="100">
        <v>0.5</v>
      </c>
      <c r="Q65" s="100">
        <v>9.81</v>
      </c>
      <c r="R65" s="6"/>
      <c r="S65" s="6"/>
      <c r="T65" s="156"/>
      <c r="U65" s="6"/>
    </row>
    <row r="66" spans="1:21" customFormat="1">
      <c r="A66" s="201" t="s">
        <v>2605</v>
      </c>
      <c r="B66" s="100">
        <v>3.5</v>
      </c>
      <c r="C66" s="100">
        <v>14.7</v>
      </c>
      <c r="D66" s="100">
        <v>10.49</v>
      </c>
      <c r="E66" s="100">
        <v>6.34</v>
      </c>
      <c r="F66" s="151" t="s">
        <v>8</v>
      </c>
      <c r="G66" s="100">
        <v>110.84</v>
      </c>
      <c r="H66" s="100">
        <v>49.89</v>
      </c>
      <c r="I66" s="100">
        <v>9.67</v>
      </c>
      <c r="J66" s="100">
        <v>0.34</v>
      </c>
      <c r="K66" s="100">
        <v>70.02</v>
      </c>
      <c r="L66" s="100">
        <v>12.69</v>
      </c>
      <c r="M66" s="100">
        <v>10.86</v>
      </c>
      <c r="N66" s="100">
        <v>130.5</v>
      </c>
      <c r="O66" s="100">
        <v>0</v>
      </c>
      <c r="P66" s="100">
        <v>0.51</v>
      </c>
      <c r="Q66" s="100">
        <v>9.8699999999999992</v>
      </c>
      <c r="R66" s="6"/>
      <c r="S66" s="6"/>
      <c r="T66" s="156"/>
      <c r="U66" s="6"/>
    </row>
    <row r="67" spans="1:21" customFormat="1">
      <c r="A67" s="201" t="s">
        <v>2606</v>
      </c>
      <c r="B67" s="100">
        <v>3.48</v>
      </c>
      <c r="C67" s="100">
        <v>14.35</v>
      </c>
      <c r="D67" s="100">
        <v>10.28</v>
      </c>
      <c r="E67" s="100">
        <v>6.15</v>
      </c>
      <c r="F67" s="151" t="s">
        <v>8</v>
      </c>
      <c r="G67" s="100">
        <v>109.34</v>
      </c>
      <c r="H67" s="100">
        <v>49.83</v>
      </c>
      <c r="I67" s="100">
        <v>9.52</v>
      </c>
      <c r="J67" s="100">
        <v>0.56999999999999995</v>
      </c>
      <c r="K67" s="100">
        <v>48.34</v>
      </c>
      <c r="L67" s="100">
        <v>9.66</v>
      </c>
      <c r="M67" s="100">
        <v>3.48</v>
      </c>
      <c r="N67" s="100">
        <v>121.7</v>
      </c>
      <c r="O67" s="100">
        <v>0</v>
      </c>
      <c r="P67" s="100">
        <v>0.5</v>
      </c>
      <c r="Q67" s="100">
        <v>9.5500000000000007</v>
      </c>
      <c r="R67" s="6"/>
      <c r="S67" s="6"/>
      <c r="T67" s="156"/>
      <c r="U67" s="6"/>
    </row>
    <row r="68" spans="1:21" customFormat="1">
      <c r="A68" s="201" t="s">
        <v>2607</v>
      </c>
      <c r="B68" s="100">
        <v>3.44</v>
      </c>
      <c r="C68" s="100">
        <v>14.22</v>
      </c>
      <c r="D68" s="100">
        <v>10.19</v>
      </c>
      <c r="E68" s="100">
        <v>6.22</v>
      </c>
      <c r="F68" s="151" t="s">
        <v>8</v>
      </c>
      <c r="G68" s="100">
        <v>109.34</v>
      </c>
      <c r="H68" s="100">
        <v>49.83</v>
      </c>
      <c r="I68" s="100">
        <v>9.43</v>
      </c>
      <c r="J68" s="100">
        <v>0.49</v>
      </c>
      <c r="K68" s="100">
        <v>62.24</v>
      </c>
      <c r="L68" s="100">
        <v>10.79</v>
      </c>
      <c r="M68" s="100">
        <v>6.73</v>
      </c>
      <c r="N68" s="100">
        <v>102</v>
      </c>
      <c r="O68" s="100">
        <v>0</v>
      </c>
      <c r="P68" s="100">
        <v>0.5</v>
      </c>
      <c r="Q68" s="100">
        <v>9.6199999999999992</v>
      </c>
      <c r="R68" s="6"/>
      <c r="S68" s="6"/>
      <c r="T68" s="156"/>
      <c r="U68" s="6"/>
    </row>
    <row r="69" spans="1:21" customFormat="1">
      <c r="A69" s="201" t="s">
        <v>2608</v>
      </c>
      <c r="B69" s="100">
        <v>3.45</v>
      </c>
      <c r="C69" s="100">
        <v>14.28</v>
      </c>
      <c r="D69" s="100">
        <v>10.23</v>
      </c>
      <c r="E69" s="100">
        <v>6.27</v>
      </c>
      <c r="F69" s="151" t="s">
        <v>8</v>
      </c>
      <c r="G69" s="100">
        <v>109.34</v>
      </c>
      <c r="H69" s="100">
        <v>49.83</v>
      </c>
      <c r="I69" s="100">
        <v>9.4600000000000009</v>
      </c>
      <c r="J69" s="100">
        <v>0.49</v>
      </c>
      <c r="K69" s="100">
        <v>48.42</v>
      </c>
      <c r="L69" s="100">
        <v>10.32</v>
      </c>
      <c r="M69" s="100">
        <v>5.78</v>
      </c>
      <c r="N69" s="100">
        <v>91.8</v>
      </c>
      <c r="O69" s="100">
        <v>0</v>
      </c>
      <c r="P69" s="100">
        <v>0.51</v>
      </c>
      <c r="Q69" s="100">
        <v>9.39</v>
      </c>
      <c r="R69" s="6"/>
      <c r="S69" s="6"/>
      <c r="T69" s="156"/>
      <c r="U69" s="6"/>
    </row>
    <row r="70" spans="1:21" customFormat="1">
      <c r="A70" s="201" t="s">
        <v>2609</v>
      </c>
      <c r="B70" s="100">
        <v>3.49</v>
      </c>
      <c r="C70" s="100">
        <v>14.34</v>
      </c>
      <c r="D70" s="100">
        <v>10.29</v>
      </c>
      <c r="E70" s="100">
        <v>5.87</v>
      </c>
      <c r="F70" s="151" t="s">
        <v>8</v>
      </c>
      <c r="G70" s="100">
        <v>108.26</v>
      </c>
      <c r="H70" s="100">
        <v>49.14</v>
      </c>
      <c r="I70" s="100">
        <v>9.51</v>
      </c>
      <c r="J70" s="100">
        <v>0.34</v>
      </c>
      <c r="K70" s="100">
        <v>97.92</v>
      </c>
      <c r="L70" s="100">
        <v>12.67</v>
      </c>
      <c r="M70" s="100">
        <v>12.12</v>
      </c>
      <c r="N70" s="100">
        <v>79.8</v>
      </c>
      <c r="O70" s="100">
        <v>0</v>
      </c>
      <c r="P70" s="100">
        <v>0.5</v>
      </c>
      <c r="Q70" s="100">
        <v>9.32</v>
      </c>
      <c r="R70" s="6"/>
      <c r="S70" s="6"/>
      <c r="T70" s="156"/>
      <c r="U70" s="6"/>
    </row>
    <row r="71" spans="1:21" customFormat="1">
      <c r="A71" s="201" t="s">
        <v>2610</v>
      </c>
      <c r="B71" s="100">
        <v>3.49</v>
      </c>
      <c r="C71" s="100">
        <v>14.36</v>
      </c>
      <c r="D71" s="100">
        <v>10.3</v>
      </c>
      <c r="E71" s="100">
        <v>5.95</v>
      </c>
      <c r="F71" s="151" t="s">
        <v>8</v>
      </c>
      <c r="G71" s="100">
        <v>107.74</v>
      </c>
      <c r="H71" s="100">
        <v>49.07</v>
      </c>
      <c r="I71" s="100">
        <v>9.4600000000000009</v>
      </c>
      <c r="J71" s="100">
        <v>0.55000000000000004</v>
      </c>
      <c r="K71" s="100">
        <v>53.56</v>
      </c>
      <c r="L71" s="100">
        <v>10.039999999999999</v>
      </c>
      <c r="M71" s="100">
        <v>5.72</v>
      </c>
      <c r="N71" s="100">
        <v>66.5</v>
      </c>
      <c r="O71" s="100">
        <v>0</v>
      </c>
      <c r="P71" s="100">
        <v>0.49</v>
      </c>
      <c r="Q71" s="100">
        <v>9.32</v>
      </c>
      <c r="R71" s="6"/>
      <c r="S71" s="6"/>
      <c r="T71" s="156"/>
      <c r="U71" s="6"/>
    </row>
    <row r="72" spans="1:21" customFormat="1">
      <c r="A72" s="201" t="s">
        <v>2611</v>
      </c>
      <c r="B72" s="100">
        <v>3.55</v>
      </c>
      <c r="C72" s="100">
        <v>14.73</v>
      </c>
      <c r="D72" s="100">
        <v>10.54</v>
      </c>
      <c r="E72" s="100">
        <v>5.92</v>
      </c>
      <c r="F72" s="151" t="s">
        <v>8</v>
      </c>
      <c r="G72" s="100">
        <v>107.74</v>
      </c>
      <c r="H72" s="100">
        <v>49.07</v>
      </c>
      <c r="I72" s="100">
        <v>9.39</v>
      </c>
      <c r="J72" s="100">
        <v>0.5</v>
      </c>
      <c r="K72" s="100">
        <v>55.28</v>
      </c>
      <c r="L72" s="100">
        <v>9.16</v>
      </c>
      <c r="M72" s="100">
        <v>3.73</v>
      </c>
      <c r="N72" s="100">
        <v>55.4</v>
      </c>
      <c r="O72" s="100">
        <v>0</v>
      </c>
      <c r="P72" s="100">
        <v>0.5</v>
      </c>
      <c r="Q72" s="100">
        <v>9.32</v>
      </c>
      <c r="R72" s="6"/>
      <c r="S72" s="6"/>
      <c r="T72" s="156"/>
      <c r="U72" s="6"/>
    </row>
    <row r="73" spans="1:21" customFormat="1">
      <c r="A73" s="201" t="s">
        <v>2612</v>
      </c>
      <c r="B73" s="100">
        <v>3.59</v>
      </c>
      <c r="C73" s="100">
        <v>14.93</v>
      </c>
      <c r="D73" s="100">
        <v>10.68</v>
      </c>
      <c r="E73" s="100">
        <v>5.79</v>
      </c>
      <c r="F73" s="151" t="s">
        <v>8</v>
      </c>
      <c r="G73" s="100">
        <v>107.74</v>
      </c>
      <c r="H73" s="100">
        <v>49.07</v>
      </c>
      <c r="I73" s="100">
        <v>9.31</v>
      </c>
      <c r="J73" s="100">
        <v>0.42</v>
      </c>
      <c r="K73" s="100">
        <v>51.56</v>
      </c>
      <c r="L73" s="100">
        <v>8.7200000000000006</v>
      </c>
      <c r="M73" s="100">
        <v>2.89</v>
      </c>
      <c r="N73" s="100">
        <v>43.7</v>
      </c>
      <c r="O73" s="100">
        <v>0</v>
      </c>
      <c r="P73" s="100">
        <v>0.49</v>
      </c>
      <c r="Q73" s="100">
        <v>9.32</v>
      </c>
      <c r="R73" s="6"/>
      <c r="S73" s="6"/>
      <c r="T73" s="156"/>
      <c r="U73" s="6"/>
    </row>
    <row r="74" spans="1:21" customFormat="1">
      <c r="A74" s="201" t="s">
        <v>2613</v>
      </c>
      <c r="B74" s="100">
        <v>3.63</v>
      </c>
      <c r="C74" s="100">
        <v>15.2</v>
      </c>
      <c r="D74" s="100">
        <v>10.85</v>
      </c>
      <c r="E74" s="100">
        <v>5.99</v>
      </c>
      <c r="F74" s="151" t="s">
        <v>8</v>
      </c>
      <c r="G74" s="100">
        <v>108.92</v>
      </c>
      <c r="H74" s="100">
        <v>48.74</v>
      </c>
      <c r="I74" s="100">
        <v>9.31</v>
      </c>
      <c r="J74" s="100">
        <v>0.25</v>
      </c>
      <c r="K74" s="100">
        <v>61.33</v>
      </c>
      <c r="L74" s="100">
        <v>11.3</v>
      </c>
      <c r="M74" s="100">
        <v>9.6999999999999993</v>
      </c>
      <c r="N74" s="100">
        <v>33.1</v>
      </c>
      <c r="O74" s="100">
        <v>0</v>
      </c>
      <c r="P74" s="100">
        <v>0.5</v>
      </c>
      <c r="Q74" s="100">
        <v>9.32</v>
      </c>
      <c r="R74" s="6"/>
      <c r="S74" s="6"/>
      <c r="T74" s="156"/>
      <c r="U74" s="6"/>
    </row>
    <row r="75" spans="1:21" customFormat="1">
      <c r="A75" s="201" t="s">
        <v>2614</v>
      </c>
      <c r="B75" s="100">
        <v>3.72</v>
      </c>
      <c r="C75" s="100">
        <v>15.15</v>
      </c>
      <c r="D75" s="100">
        <v>10.89</v>
      </c>
      <c r="E75" s="100">
        <v>5.91</v>
      </c>
      <c r="F75" s="151" t="s">
        <v>8</v>
      </c>
      <c r="G75" s="100">
        <v>109.48</v>
      </c>
      <c r="H75" s="100">
        <v>48.68</v>
      </c>
      <c r="I75" s="100">
        <v>9.48</v>
      </c>
      <c r="J75" s="100">
        <v>0.18</v>
      </c>
      <c r="K75" s="100">
        <v>71.06</v>
      </c>
      <c r="L75" s="100">
        <v>11.01</v>
      </c>
      <c r="M75" s="100">
        <v>9.17</v>
      </c>
      <c r="N75" s="100">
        <v>22.7</v>
      </c>
      <c r="O75" s="100">
        <v>0</v>
      </c>
      <c r="P75" s="100">
        <v>0.5</v>
      </c>
      <c r="Q75" s="100">
        <v>9.32</v>
      </c>
      <c r="R75" s="6"/>
      <c r="S75" s="6"/>
      <c r="T75" s="156"/>
      <c r="U75" s="6"/>
    </row>
    <row r="76" spans="1:21" customFormat="1">
      <c r="A76" s="201" t="s">
        <v>2615</v>
      </c>
      <c r="B76" s="100">
        <v>3.78</v>
      </c>
      <c r="C76" s="100">
        <v>15.06</v>
      </c>
      <c r="D76" s="100">
        <v>10.9</v>
      </c>
      <c r="E76" s="100">
        <v>6.05</v>
      </c>
      <c r="F76" s="151" t="s">
        <v>8</v>
      </c>
      <c r="G76" s="100">
        <v>109.48</v>
      </c>
      <c r="H76" s="100">
        <v>48.68</v>
      </c>
      <c r="I76" s="100">
        <v>9.64</v>
      </c>
      <c r="J76" s="100">
        <v>0.12</v>
      </c>
      <c r="K76" s="100">
        <v>129.69</v>
      </c>
      <c r="L76" s="100">
        <v>13.32</v>
      </c>
      <c r="M76" s="100">
        <v>15.44</v>
      </c>
      <c r="N76" s="100">
        <v>13.7</v>
      </c>
      <c r="O76" s="100">
        <v>0</v>
      </c>
      <c r="P76" s="100">
        <v>0.5</v>
      </c>
      <c r="Q76" s="100">
        <v>9.43</v>
      </c>
      <c r="R76" s="6"/>
      <c r="S76" s="6"/>
      <c r="T76" s="156"/>
      <c r="U76" s="6"/>
    </row>
    <row r="77" spans="1:21" customFormat="1">
      <c r="A77" s="201" t="s">
        <v>2616</v>
      </c>
      <c r="B77" s="100">
        <v>3.86</v>
      </c>
      <c r="C77" s="100">
        <v>15.26</v>
      </c>
      <c r="D77" s="100">
        <v>11.06</v>
      </c>
      <c r="E77" s="100">
        <v>5.68</v>
      </c>
      <c r="F77" s="151" t="s">
        <v>8</v>
      </c>
      <c r="G77" s="100">
        <v>109.48</v>
      </c>
      <c r="H77" s="100">
        <v>48.68</v>
      </c>
      <c r="I77" s="100">
        <v>9.7200000000000006</v>
      </c>
      <c r="J77" s="100">
        <v>0.18</v>
      </c>
      <c r="K77" s="100">
        <v>66.760000000000005</v>
      </c>
      <c r="L77" s="100">
        <v>9.66</v>
      </c>
      <c r="M77" s="100">
        <v>6.22</v>
      </c>
      <c r="N77" s="100">
        <v>6.6</v>
      </c>
      <c r="O77" s="100">
        <v>0</v>
      </c>
      <c r="P77" s="100">
        <v>0.51</v>
      </c>
      <c r="Q77" s="100">
        <v>9.56</v>
      </c>
      <c r="R77" s="6"/>
      <c r="S77" s="6"/>
      <c r="T77" s="156"/>
      <c r="U77" s="6"/>
    </row>
    <row r="78" spans="1:21" customFormat="1">
      <c r="A78" s="201" t="s">
        <v>2617</v>
      </c>
      <c r="B78" s="100">
        <v>4.12</v>
      </c>
      <c r="C78" s="100">
        <v>15.7</v>
      </c>
      <c r="D78" s="100">
        <v>11.51</v>
      </c>
      <c r="E78" s="100">
        <v>5.62</v>
      </c>
      <c r="F78" s="151" t="s">
        <v>8</v>
      </c>
      <c r="G78" s="100">
        <v>117.38</v>
      </c>
      <c r="H78" s="100">
        <v>50.95</v>
      </c>
      <c r="I78" s="100">
        <v>9.83</v>
      </c>
      <c r="J78" s="100">
        <v>0.34</v>
      </c>
      <c r="K78" s="100">
        <v>54.64</v>
      </c>
      <c r="L78" s="100">
        <v>7.97</v>
      </c>
      <c r="M78" s="100">
        <v>1.99</v>
      </c>
      <c r="N78" s="100">
        <v>2.8</v>
      </c>
      <c r="O78" s="100">
        <v>0</v>
      </c>
      <c r="P78" s="100">
        <v>0.52</v>
      </c>
      <c r="Q78" s="100">
        <v>9.5399999999999991</v>
      </c>
      <c r="R78" s="6"/>
      <c r="S78" s="6"/>
      <c r="T78" s="156"/>
      <c r="U78" s="6"/>
    </row>
    <row r="79" spans="1:21" customFormat="1">
      <c r="A79" s="201" t="s">
        <v>2618</v>
      </c>
      <c r="B79" s="100">
        <v>4.29</v>
      </c>
      <c r="C79" s="100">
        <v>15.89</v>
      </c>
      <c r="D79" s="100">
        <v>11.74</v>
      </c>
      <c r="E79" s="100">
        <v>5.58</v>
      </c>
      <c r="F79" s="151" t="s">
        <v>8</v>
      </c>
      <c r="G79" s="100">
        <v>121.13</v>
      </c>
      <c r="H79" s="100">
        <v>51.18</v>
      </c>
      <c r="I79" s="100">
        <v>10.58</v>
      </c>
      <c r="J79" s="100">
        <v>0.17</v>
      </c>
      <c r="K79" s="100">
        <v>141.02000000000001</v>
      </c>
      <c r="L79" s="100">
        <v>13.02</v>
      </c>
      <c r="M79" s="100">
        <v>14.96</v>
      </c>
      <c r="N79" s="100">
        <v>2.2999999999999998</v>
      </c>
      <c r="O79" s="100">
        <v>0</v>
      </c>
      <c r="P79" s="100">
        <v>0.53</v>
      </c>
      <c r="Q79" s="100">
        <v>9.39</v>
      </c>
      <c r="R79" s="6"/>
      <c r="S79" s="6"/>
      <c r="T79" s="156"/>
      <c r="U79" s="6"/>
    </row>
    <row r="80" spans="1:21" customFormat="1">
      <c r="A80" s="201" t="s">
        <v>2619</v>
      </c>
      <c r="B80" s="100">
        <v>4.5199999999999996</v>
      </c>
      <c r="C80" s="100">
        <v>15.88</v>
      </c>
      <c r="D80" s="100">
        <v>11.92</v>
      </c>
      <c r="E80" s="100">
        <v>5.74</v>
      </c>
      <c r="F80" s="151" t="s">
        <v>8</v>
      </c>
      <c r="G80" s="100">
        <v>121.13</v>
      </c>
      <c r="H80" s="100">
        <v>51.18</v>
      </c>
      <c r="I80" s="100">
        <v>12.13</v>
      </c>
      <c r="J80" s="100">
        <v>0.17</v>
      </c>
      <c r="K80" s="100">
        <v>139.9</v>
      </c>
      <c r="L80" s="100">
        <v>13.4</v>
      </c>
      <c r="M80" s="100">
        <v>15.85</v>
      </c>
      <c r="N80" s="100">
        <v>2.1</v>
      </c>
      <c r="O80" s="100">
        <v>0</v>
      </c>
      <c r="P80" s="100">
        <v>0.54</v>
      </c>
      <c r="Q80" s="100">
        <v>9.32</v>
      </c>
      <c r="R80" s="6"/>
      <c r="S80" s="6"/>
      <c r="T80" s="156"/>
      <c r="U80" s="6"/>
    </row>
    <row r="81" spans="1:21" customFormat="1">
      <c r="A81" s="201" t="s">
        <v>2620</v>
      </c>
      <c r="B81" s="100">
        <v>4.93</v>
      </c>
      <c r="C81" s="100">
        <v>15.54</v>
      </c>
      <c r="D81" s="100">
        <v>12.07</v>
      </c>
      <c r="E81" s="100">
        <v>4.7699999999999996</v>
      </c>
      <c r="F81" s="151" t="s">
        <v>8</v>
      </c>
      <c r="G81" s="100">
        <v>121.13</v>
      </c>
      <c r="H81" s="100">
        <v>51.18</v>
      </c>
      <c r="I81" s="100">
        <v>13.48</v>
      </c>
      <c r="J81" s="100">
        <v>0.16</v>
      </c>
      <c r="K81" s="100">
        <v>146.91</v>
      </c>
      <c r="L81" s="100">
        <v>14.22</v>
      </c>
      <c r="M81" s="100">
        <v>17.79</v>
      </c>
      <c r="N81" s="100">
        <v>1.9</v>
      </c>
      <c r="O81" s="100">
        <v>0</v>
      </c>
      <c r="P81" s="100">
        <v>0.56000000000000005</v>
      </c>
      <c r="Q81" s="100">
        <v>9.32</v>
      </c>
      <c r="R81" s="6"/>
      <c r="S81" s="6"/>
      <c r="T81" s="156"/>
      <c r="U81" s="6"/>
    </row>
    <row r="82" spans="1:21" customFormat="1">
      <c r="A82" s="201" t="s">
        <v>2621</v>
      </c>
      <c r="B82" s="100">
        <v>5.25</v>
      </c>
      <c r="C82" s="100">
        <v>15.99</v>
      </c>
      <c r="D82" s="100">
        <v>12.57</v>
      </c>
      <c r="E82" s="100">
        <v>5.53</v>
      </c>
      <c r="F82" s="151" t="s">
        <v>8</v>
      </c>
      <c r="G82" s="100">
        <v>134.69999999999999</v>
      </c>
      <c r="H82" s="100">
        <v>52.07</v>
      </c>
      <c r="I82" s="100">
        <v>14.16</v>
      </c>
      <c r="J82" s="100">
        <v>0.18</v>
      </c>
      <c r="K82" s="100">
        <v>148.85</v>
      </c>
      <c r="L82" s="100">
        <v>13.88</v>
      </c>
      <c r="M82" s="100">
        <v>16.93</v>
      </c>
      <c r="N82" s="100">
        <v>2</v>
      </c>
      <c r="O82" s="100">
        <v>0</v>
      </c>
      <c r="P82" s="100">
        <v>0.57999999999999996</v>
      </c>
      <c r="Q82" s="100">
        <v>9.32</v>
      </c>
      <c r="R82" s="6"/>
      <c r="S82" s="6"/>
      <c r="T82" s="156"/>
      <c r="U82" s="6"/>
    </row>
    <row r="83" spans="1:21" customFormat="1">
      <c r="A83" s="201" t="s">
        <v>2622</v>
      </c>
      <c r="B83" s="100">
        <v>5.47</v>
      </c>
      <c r="C83" s="100">
        <v>15.43</v>
      </c>
      <c r="D83" s="100">
        <v>12.45</v>
      </c>
      <c r="E83" s="100">
        <v>5.96</v>
      </c>
      <c r="F83" s="151" t="s">
        <v>8</v>
      </c>
      <c r="G83" s="100">
        <v>141.13999999999999</v>
      </c>
      <c r="H83" s="100">
        <v>52.16</v>
      </c>
      <c r="I83" s="100">
        <v>14.32</v>
      </c>
      <c r="J83" s="100">
        <v>0.18</v>
      </c>
      <c r="K83" s="100">
        <v>166.87</v>
      </c>
      <c r="L83" s="100">
        <v>15.77</v>
      </c>
      <c r="M83" s="100">
        <v>21.68</v>
      </c>
      <c r="N83" s="100">
        <v>2.1</v>
      </c>
      <c r="O83" s="100">
        <v>0</v>
      </c>
      <c r="P83" s="100">
        <v>0.57999999999999996</v>
      </c>
      <c r="Q83" s="100">
        <v>9.36</v>
      </c>
      <c r="R83" s="6"/>
      <c r="S83" s="6"/>
      <c r="T83" s="156"/>
      <c r="U83" s="6"/>
    </row>
    <row r="84" spans="1:21" customFormat="1">
      <c r="A84" s="201" t="s">
        <v>2623</v>
      </c>
      <c r="B84" s="100">
        <v>5.63</v>
      </c>
      <c r="C84" s="100">
        <v>15.04</v>
      </c>
      <c r="D84" s="100">
        <v>12.37</v>
      </c>
      <c r="E84" s="100">
        <v>5.62</v>
      </c>
      <c r="F84" s="151" t="s">
        <v>8</v>
      </c>
      <c r="G84" s="100">
        <v>141.13999999999999</v>
      </c>
      <c r="H84" s="100">
        <v>52.16</v>
      </c>
      <c r="I84" s="100">
        <v>14.29</v>
      </c>
      <c r="J84" s="100">
        <v>0.23</v>
      </c>
      <c r="K84" s="100">
        <v>171.73</v>
      </c>
      <c r="L84" s="100">
        <v>15.84</v>
      </c>
      <c r="M84" s="100">
        <v>21.9</v>
      </c>
      <c r="N84" s="100">
        <v>1.8</v>
      </c>
      <c r="O84" s="100">
        <v>0</v>
      </c>
      <c r="P84" s="100">
        <v>0.59</v>
      </c>
      <c r="Q84" s="100">
        <v>9.41</v>
      </c>
      <c r="R84" s="6"/>
      <c r="S84" s="6"/>
      <c r="T84" s="156"/>
      <c r="U84" s="6"/>
    </row>
    <row r="85" spans="1:21" customFormat="1">
      <c r="A85" s="201" t="s">
        <v>2624</v>
      </c>
      <c r="B85" s="100">
        <v>5.75</v>
      </c>
      <c r="C85" s="100">
        <v>14.75</v>
      </c>
      <c r="D85" s="100">
        <v>12.32</v>
      </c>
      <c r="E85" s="100">
        <v>5.53</v>
      </c>
      <c r="F85" s="151" t="s">
        <v>8</v>
      </c>
      <c r="G85" s="100">
        <v>141.13999999999999</v>
      </c>
      <c r="H85" s="100">
        <v>52.16</v>
      </c>
      <c r="I85" s="100">
        <v>14.11</v>
      </c>
      <c r="J85" s="100">
        <v>0.27</v>
      </c>
      <c r="K85" s="100">
        <v>182.71</v>
      </c>
      <c r="L85" s="100">
        <v>17.059999999999999</v>
      </c>
      <c r="M85" s="100">
        <v>24.95</v>
      </c>
      <c r="N85" s="100">
        <v>2.4</v>
      </c>
      <c r="O85" s="100">
        <v>0</v>
      </c>
      <c r="P85" s="100">
        <v>0.59</v>
      </c>
      <c r="Q85" s="100">
        <v>9.3800000000000008</v>
      </c>
      <c r="R85" s="6"/>
      <c r="S85" s="6"/>
      <c r="T85" s="156"/>
      <c r="U85" s="6"/>
    </row>
    <row r="86" spans="1:21" customFormat="1">
      <c r="A86" s="201" t="s">
        <v>2625</v>
      </c>
      <c r="B86" s="100">
        <v>5.89</v>
      </c>
      <c r="C86" s="100">
        <v>14.46</v>
      </c>
      <c r="D86" s="100">
        <v>12.28</v>
      </c>
      <c r="E86" s="100">
        <v>5.61</v>
      </c>
      <c r="F86" s="151" t="s">
        <v>8</v>
      </c>
      <c r="G86" s="100">
        <v>164.16</v>
      </c>
      <c r="H86" s="100">
        <v>57.5</v>
      </c>
      <c r="I86" s="100">
        <v>13.92</v>
      </c>
      <c r="J86" s="100">
        <v>0.2</v>
      </c>
      <c r="K86" s="100">
        <v>180.12</v>
      </c>
      <c r="L86" s="100">
        <v>16.62</v>
      </c>
      <c r="M86" s="100">
        <v>23.83</v>
      </c>
      <c r="N86" s="100">
        <v>2.2000000000000002</v>
      </c>
      <c r="O86" s="100">
        <v>0</v>
      </c>
      <c r="P86" s="100">
        <v>0.59</v>
      </c>
      <c r="Q86" s="100">
        <v>9.43</v>
      </c>
      <c r="R86" s="6"/>
      <c r="S86" s="6"/>
      <c r="T86" s="156"/>
      <c r="U86" s="6"/>
    </row>
    <row r="87" spans="1:21" customFormat="1">
      <c r="A87" s="201" t="s">
        <v>2626</v>
      </c>
      <c r="B87" s="100">
        <v>6.04</v>
      </c>
      <c r="C87" s="100">
        <v>14.09</v>
      </c>
      <c r="D87" s="100">
        <v>12.2</v>
      </c>
      <c r="E87" s="100">
        <v>5.6</v>
      </c>
      <c r="F87" s="151" t="s">
        <v>8</v>
      </c>
      <c r="G87" s="100">
        <v>175.11</v>
      </c>
      <c r="H87" s="100">
        <v>58.04</v>
      </c>
      <c r="I87" s="100">
        <v>13.84</v>
      </c>
      <c r="J87" s="100">
        <v>0.24</v>
      </c>
      <c r="K87" s="100">
        <v>164.38</v>
      </c>
      <c r="L87" s="100">
        <v>15.43</v>
      </c>
      <c r="M87" s="100">
        <v>20.86</v>
      </c>
      <c r="N87" s="100">
        <v>1.9</v>
      </c>
      <c r="O87" s="100">
        <v>0</v>
      </c>
      <c r="P87" s="100">
        <v>0.6</v>
      </c>
      <c r="Q87" s="100">
        <v>9.43</v>
      </c>
      <c r="R87" s="6"/>
      <c r="S87" s="6"/>
      <c r="T87" s="156"/>
      <c r="U87" s="6"/>
    </row>
    <row r="88" spans="1:21" customFormat="1">
      <c r="A88" s="201" t="s">
        <v>2627</v>
      </c>
      <c r="B88" s="100">
        <v>6.13</v>
      </c>
      <c r="C88" s="100">
        <v>13.92</v>
      </c>
      <c r="D88" s="100">
        <v>12.19</v>
      </c>
      <c r="E88" s="100">
        <v>5.72</v>
      </c>
      <c r="F88" s="151" t="s">
        <v>8</v>
      </c>
      <c r="G88" s="100">
        <v>175.11</v>
      </c>
      <c r="H88" s="100">
        <v>58.04</v>
      </c>
      <c r="I88" s="100">
        <v>13.72</v>
      </c>
      <c r="J88" s="100">
        <v>0.27</v>
      </c>
      <c r="K88" s="100">
        <v>168.95</v>
      </c>
      <c r="L88" s="100">
        <v>15.89</v>
      </c>
      <c r="M88" s="100">
        <v>22.06</v>
      </c>
      <c r="N88" s="100">
        <v>1.8</v>
      </c>
      <c r="O88" s="100">
        <v>0</v>
      </c>
      <c r="P88" s="100">
        <v>0.6</v>
      </c>
      <c r="Q88" s="100">
        <v>9.34</v>
      </c>
      <c r="R88" s="6"/>
      <c r="S88" s="6"/>
      <c r="T88" s="156"/>
      <c r="U88" s="6"/>
    </row>
    <row r="89" spans="1:21" customFormat="1">
      <c r="A89" s="201" t="s">
        <v>2628</v>
      </c>
      <c r="B89" s="100">
        <v>6.24</v>
      </c>
      <c r="C89" s="100">
        <v>13.68</v>
      </c>
      <c r="D89" s="100">
        <v>12.15</v>
      </c>
      <c r="E89" s="100">
        <v>5.56</v>
      </c>
      <c r="F89" s="151" t="s">
        <v>8</v>
      </c>
      <c r="G89" s="100">
        <v>175.11</v>
      </c>
      <c r="H89" s="100">
        <v>58.04</v>
      </c>
      <c r="I89" s="100">
        <v>13.61</v>
      </c>
      <c r="J89" s="100">
        <v>0.2</v>
      </c>
      <c r="K89" s="100">
        <v>185.19</v>
      </c>
      <c r="L89" s="100">
        <v>17.04</v>
      </c>
      <c r="M89" s="100">
        <v>24.91</v>
      </c>
      <c r="N89" s="100">
        <v>1.9</v>
      </c>
      <c r="O89" s="100">
        <v>0</v>
      </c>
      <c r="P89" s="100">
        <v>0.6</v>
      </c>
      <c r="Q89" s="100">
        <v>9.32</v>
      </c>
      <c r="R89" s="6"/>
      <c r="S89" s="6"/>
      <c r="T89" s="156"/>
      <c r="U89" s="6"/>
    </row>
    <row r="90" spans="1:21" customFormat="1">
      <c r="A90" s="201" t="s">
        <v>2629</v>
      </c>
      <c r="B90" s="100">
        <v>6.38</v>
      </c>
      <c r="C90" s="100">
        <v>13.48</v>
      </c>
      <c r="D90" s="100">
        <v>12.16</v>
      </c>
      <c r="E90" s="100">
        <v>5.13</v>
      </c>
      <c r="F90" s="151" t="s">
        <v>8</v>
      </c>
      <c r="G90" s="100">
        <v>162.07</v>
      </c>
      <c r="H90" s="100">
        <v>58.14</v>
      </c>
      <c r="I90" s="100">
        <v>13.51</v>
      </c>
      <c r="J90" s="100">
        <v>0.2</v>
      </c>
      <c r="K90" s="100">
        <v>206.66</v>
      </c>
      <c r="L90" s="100">
        <v>18.510000000000002</v>
      </c>
      <c r="M90" s="100">
        <v>28.54</v>
      </c>
      <c r="N90" s="100">
        <v>2</v>
      </c>
      <c r="O90" s="100">
        <v>0</v>
      </c>
      <c r="P90" s="100">
        <v>0.61</v>
      </c>
      <c r="Q90" s="100">
        <v>9.32</v>
      </c>
      <c r="R90" s="6"/>
      <c r="S90" s="6"/>
      <c r="T90" s="156"/>
      <c r="U90" s="6"/>
    </row>
    <row r="91" spans="1:21" customFormat="1">
      <c r="A91" s="201" t="s">
        <v>2630</v>
      </c>
      <c r="B91" s="100">
        <v>6.51</v>
      </c>
      <c r="C91" s="100">
        <v>13.29</v>
      </c>
      <c r="D91" s="100">
        <v>12.16</v>
      </c>
      <c r="E91" s="100">
        <v>3.18</v>
      </c>
      <c r="F91" s="151" t="s">
        <v>8</v>
      </c>
      <c r="G91" s="100">
        <v>155.86000000000001</v>
      </c>
      <c r="H91" s="100">
        <v>58.15</v>
      </c>
      <c r="I91" s="100">
        <v>13.39</v>
      </c>
      <c r="J91" s="100">
        <v>0.15</v>
      </c>
      <c r="K91" s="100">
        <v>196.77</v>
      </c>
      <c r="L91" s="100">
        <v>18.03</v>
      </c>
      <c r="M91" s="100">
        <v>27.37</v>
      </c>
      <c r="N91" s="100">
        <v>1.8</v>
      </c>
      <c r="O91" s="100">
        <v>0</v>
      </c>
      <c r="P91" s="100">
        <v>0.61</v>
      </c>
      <c r="Q91" s="100">
        <v>9.32</v>
      </c>
      <c r="R91" s="6"/>
      <c r="S91" s="6"/>
      <c r="T91" s="156"/>
      <c r="U91" s="6"/>
    </row>
    <row r="92" spans="1:21" customFormat="1">
      <c r="A92" s="201" t="s">
        <v>2631</v>
      </c>
      <c r="B92" s="100">
        <v>6.63</v>
      </c>
      <c r="C92" s="100">
        <v>13.17</v>
      </c>
      <c r="D92" s="100">
        <v>12.19</v>
      </c>
      <c r="E92" s="100">
        <v>5.41</v>
      </c>
      <c r="F92" s="151" t="s">
        <v>8</v>
      </c>
      <c r="G92" s="100">
        <v>155.86000000000001</v>
      </c>
      <c r="H92" s="100">
        <v>58.15</v>
      </c>
      <c r="I92" s="100">
        <v>13.28</v>
      </c>
      <c r="J92" s="100">
        <v>0.16</v>
      </c>
      <c r="K92" s="100">
        <v>179.91</v>
      </c>
      <c r="L92" s="100">
        <v>16.47</v>
      </c>
      <c r="M92" s="100">
        <v>23.49</v>
      </c>
      <c r="N92" s="100">
        <v>1.7</v>
      </c>
      <c r="O92" s="100">
        <v>0</v>
      </c>
      <c r="P92" s="100">
        <v>0.61</v>
      </c>
      <c r="Q92" s="100">
        <v>9.32</v>
      </c>
      <c r="R92" s="6"/>
      <c r="S92" s="6"/>
      <c r="T92" s="156"/>
      <c r="U92" s="6"/>
    </row>
    <row r="93" spans="1:21" customFormat="1">
      <c r="A93" s="201" t="s">
        <v>2632</v>
      </c>
      <c r="B93" s="100">
        <v>6.86</v>
      </c>
      <c r="C93" s="100">
        <v>13.25</v>
      </c>
      <c r="D93" s="100">
        <v>12.43</v>
      </c>
      <c r="E93" s="100">
        <v>5.44</v>
      </c>
      <c r="F93" s="151" t="s">
        <v>8</v>
      </c>
      <c r="G93" s="100">
        <v>155.86000000000001</v>
      </c>
      <c r="H93" s="100">
        <v>58.15</v>
      </c>
      <c r="I93" s="100">
        <v>13.16</v>
      </c>
      <c r="J93" s="100">
        <v>0.14000000000000001</v>
      </c>
      <c r="K93" s="100">
        <v>160.11000000000001</v>
      </c>
      <c r="L93" s="100">
        <v>14.75</v>
      </c>
      <c r="M93" s="100">
        <v>19.18</v>
      </c>
      <c r="N93" s="100">
        <v>1.7</v>
      </c>
      <c r="O93" s="100">
        <v>0</v>
      </c>
      <c r="P93" s="100">
        <v>0.62</v>
      </c>
      <c r="Q93" s="100">
        <v>9.32</v>
      </c>
      <c r="R93" s="6"/>
      <c r="S93" s="6"/>
      <c r="T93" s="156"/>
      <c r="U93" s="6"/>
    </row>
    <row r="94" spans="1:21" customFormat="1">
      <c r="A94" s="201" t="s">
        <v>2633</v>
      </c>
      <c r="B94" s="100">
        <v>7.24</v>
      </c>
      <c r="C94" s="100">
        <v>13.47</v>
      </c>
      <c r="D94" s="100">
        <v>12.85</v>
      </c>
      <c r="E94" s="100">
        <v>5.55</v>
      </c>
      <c r="F94" s="151" t="s">
        <v>8</v>
      </c>
      <c r="G94" s="100">
        <v>146.08000000000001</v>
      </c>
      <c r="H94" s="100">
        <v>57.57</v>
      </c>
      <c r="I94" s="100">
        <v>13.04</v>
      </c>
      <c r="J94" s="100">
        <v>0.1</v>
      </c>
      <c r="K94" s="100">
        <v>155.86000000000001</v>
      </c>
      <c r="L94" s="100">
        <v>14.81</v>
      </c>
      <c r="M94" s="100">
        <v>19.32</v>
      </c>
      <c r="N94" s="100">
        <v>1.6</v>
      </c>
      <c r="O94" s="100">
        <v>0</v>
      </c>
      <c r="P94" s="100">
        <v>0.62</v>
      </c>
      <c r="Q94" s="100">
        <v>9.32</v>
      </c>
      <c r="R94" s="6"/>
      <c r="S94" s="6"/>
      <c r="T94" s="156"/>
      <c r="U94" s="6"/>
    </row>
    <row r="95" spans="1:21" customFormat="1">
      <c r="A95" s="201" t="s">
        <v>2634</v>
      </c>
      <c r="B95" s="100">
        <v>7.54</v>
      </c>
      <c r="C95" s="100">
        <v>13.48</v>
      </c>
      <c r="D95" s="100">
        <v>13.09</v>
      </c>
      <c r="E95" s="100">
        <v>5.55</v>
      </c>
      <c r="F95" s="151" t="s">
        <v>8</v>
      </c>
      <c r="G95" s="100">
        <v>141.43</v>
      </c>
      <c r="H95" s="100">
        <v>57.51</v>
      </c>
      <c r="I95" s="100">
        <v>12.94</v>
      </c>
      <c r="J95" s="100">
        <v>0.18</v>
      </c>
      <c r="K95" s="100">
        <v>148.78</v>
      </c>
      <c r="L95" s="100">
        <v>13.54</v>
      </c>
      <c r="M95" s="100">
        <v>16.170000000000002</v>
      </c>
      <c r="N95" s="100">
        <v>1.7</v>
      </c>
      <c r="O95" s="100">
        <v>0</v>
      </c>
      <c r="P95" s="100">
        <v>0.62</v>
      </c>
      <c r="Q95" s="100">
        <v>9.32</v>
      </c>
      <c r="R95" s="6"/>
      <c r="S95" s="6"/>
      <c r="T95" s="156"/>
      <c r="U95" s="6"/>
    </row>
    <row r="96" spans="1:21" customFormat="1">
      <c r="A96" s="201" t="s">
        <v>2635</v>
      </c>
      <c r="B96" s="100">
        <v>7.63</v>
      </c>
      <c r="C96" s="100">
        <v>13.5</v>
      </c>
      <c r="D96" s="100">
        <v>13.17</v>
      </c>
      <c r="E96" s="100">
        <v>5.58</v>
      </c>
      <c r="F96" s="151" t="s">
        <v>8</v>
      </c>
      <c r="G96" s="100">
        <v>141.43</v>
      </c>
      <c r="H96" s="100">
        <v>57.51</v>
      </c>
      <c r="I96" s="100">
        <v>12.85</v>
      </c>
      <c r="J96" s="100">
        <v>0.16</v>
      </c>
      <c r="K96" s="100">
        <v>118.58</v>
      </c>
      <c r="L96" s="100">
        <v>11.82</v>
      </c>
      <c r="M96" s="100">
        <v>11.83</v>
      </c>
      <c r="N96" s="100">
        <v>1.4</v>
      </c>
      <c r="O96" s="100">
        <v>0</v>
      </c>
      <c r="P96" s="100">
        <v>0.63</v>
      </c>
      <c r="Q96" s="100">
        <v>9.32</v>
      </c>
      <c r="R96" s="6"/>
      <c r="S96" s="6"/>
      <c r="T96" s="156"/>
      <c r="U96" s="6"/>
    </row>
    <row r="97" spans="1:28" customFormat="1">
      <c r="A97" s="201" t="s">
        <v>2636</v>
      </c>
      <c r="B97" s="100">
        <v>7.74</v>
      </c>
      <c r="C97" s="100">
        <v>13.57</v>
      </c>
      <c r="D97" s="100">
        <v>13.3</v>
      </c>
      <c r="E97" s="100">
        <v>5.37</v>
      </c>
      <c r="F97" s="151" t="s">
        <v>8</v>
      </c>
      <c r="G97" s="100">
        <v>141.43</v>
      </c>
      <c r="H97" s="100">
        <v>57.51</v>
      </c>
      <c r="I97" s="100">
        <v>12.76</v>
      </c>
      <c r="J97" s="100">
        <v>0.12</v>
      </c>
      <c r="K97" s="100">
        <v>115.65</v>
      </c>
      <c r="L97" s="100">
        <v>12.8</v>
      </c>
      <c r="M97" s="100">
        <v>14.29</v>
      </c>
      <c r="N97" s="100">
        <v>1.6</v>
      </c>
      <c r="O97" s="100">
        <v>0</v>
      </c>
      <c r="P97" s="100">
        <v>0.63</v>
      </c>
      <c r="Q97" s="100">
        <v>9.32</v>
      </c>
      <c r="R97" s="6"/>
      <c r="S97" s="6"/>
      <c r="T97" s="156"/>
      <c r="U97" s="6"/>
    </row>
    <row r="98" spans="1:28" customFormat="1">
      <c r="A98" s="201" t="s">
        <v>2637</v>
      </c>
      <c r="B98" s="100">
        <v>7.81</v>
      </c>
      <c r="C98" s="100">
        <v>13.69</v>
      </c>
      <c r="D98" s="100">
        <v>13.42</v>
      </c>
      <c r="E98" s="100">
        <v>5.46</v>
      </c>
      <c r="F98" s="151" t="s">
        <v>8</v>
      </c>
      <c r="G98" s="100">
        <v>133.36000000000001</v>
      </c>
      <c r="H98" s="100">
        <v>56.19</v>
      </c>
      <c r="I98" s="100">
        <v>12.65</v>
      </c>
      <c r="J98" s="100">
        <v>0.08</v>
      </c>
      <c r="K98" s="100">
        <v>186.7</v>
      </c>
      <c r="L98" s="100">
        <v>17.73</v>
      </c>
      <c r="M98" s="100">
        <v>26.53</v>
      </c>
      <c r="N98" s="100">
        <v>1.9</v>
      </c>
      <c r="O98" s="100">
        <v>0</v>
      </c>
      <c r="P98" s="100">
        <v>0.63</v>
      </c>
      <c r="Q98" s="100">
        <v>9.32</v>
      </c>
      <c r="R98" s="6"/>
      <c r="S98" s="6"/>
      <c r="T98" s="156"/>
      <c r="U98" s="6"/>
    </row>
    <row r="99" spans="1:28" customFormat="1">
      <c r="A99" s="201" t="s">
        <v>2638</v>
      </c>
      <c r="B99" s="100">
        <v>7.86</v>
      </c>
      <c r="C99" s="100">
        <v>13.7</v>
      </c>
      <c r="D99" s="100">
        <v>13.46</v>
      </c>
      <c r="E99" s="100">
        <v>5.88</v>
      </c>
      <c r="F99" s="151" t="s">
        <v>8</v>
      </c>
      <c r="G99" s="100">
        <v>129.52000000000001</v>
      </c>
      <c r="H99" s="100">
        <v>55.96</v>
      </c>
      <c r="I99" s="100">
        <v>12.49</v>
      </c>
      <c r="J99" s="100">
        <v>0.1</v>
      </c>
      <c r="K99" s="100">
        <v>137.41999999999999</v>
      </c>
      <c r="L99" s="100">
        <v>13.21</v>
      </c>
      <c r="M99" s="100">
        <v>15.35</v>
      </c>
      <c r="N99" s="100">
        <v>1.7</v>
      </c>
      <c r="O99" s="100">
        <v>0</v>
      </c>
      <c r="P99" s="100">
        <v>0.62</v>
      </c>
      <c r="Q99" s="100">
        <v>9.32</v>
      </c>
      <c r="R99" s="6"/>
      <c r="S99" s="6"/>
      <c r="T99" s="156"/>
      <c r="U99" s="6"/>
    </row>
    <row r="100" spans="1:28" customFormat="1">
      <c r="A100" s="201" t="s">
        <v>2639</v>
      </c>
      <c r="B100" s="100">
        <v>7.76</v>
      </c>
      <c r="C100" s="100">
        <v>13.9</v>
      </c>
      <c r="D100" s="100">
        <v>13.48</v>
      </c>
      <c r="E100" s="100">
        <v>5.52</v>
      </c>
      <c r="F100" s="151" t="s">
        <v>8</v>
      </c>
      <c r="G100" s="100">
        <v>129.52000000000001</v>
      </c>
      <c r="H100" s="100">
        <v>55.96</v>
      </c>
      <c r="I100" s="100">
        <v>12.51</v>
      </c>
      <c r="J100" s="100">
        <v>0.14000000000000001</v>
      </c>
      <c r="K100" s="100">
        <v>121.1</v>
      </c>
      <c r="L100" s="100">
        <v>12.76</v>
      </c>
      <c r="M100" s="100">
        <v>14.17</v>
      </c>
      <c r="N100" s="100">
        <v>1.6</v>
      </c>
      <c r="O100" s="100">
        <v>0</v>
      </c>
      <c r="P100" s="100">
        <v>0.62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2640</v>
      </c>
      <c r="B101" s="100">
        <v>7.7</v>
      </c>
      <c r="C101" s="100">
        <v>14.24</v>
      </c>
      <c r="D101" s="100">
        <v>13.62</v>
      </c>
      <c r="E101" s="100">
        <v>5.44</v>
      </c>
      <c r="F101" s="151" t="s">
        <v>8</v>
      </c>
      <c r="G101" s="100">
        <v>129.52000000000001</v>
      </c>
      <c r="H101" s="100">
        <v>55.96</v>
      </c>
      <c r="I101" s="100">
        <v>12.39</v>
      </c>
      <c r="J101" s="100">
        <v>0.13</v>
      </c>
      <c r="K101" s="100">
        <v>154.03</v>
      </c>
      <c r="L101" s="100">
        <v>15.29</v>
      </c>
      <c r="M101" s="100">
        <v>20.64</v>
      </c>
      <c r="N101" s="100">
        <v>1.6</v>
      </c>
      <c r="O101" s="100">
        <v>0</v>
      </c>
      <c r="P101" s="100">
        <v>0.62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2641</v>
      </c>
      <c r="B102" s="100">
        <v>7.58</v>
      </c>
      <c r="C102" s="100">
        <v>14.54</v>
      </c>
      <c r="D102" s="100">
        <v>13.68</v>
      </c>
      <c r="E102" s="100">
        <v>5.48</v>
      </c>
      <c r="F102" s="151" t="s">
        <v>8</v>
      </c>
      <c r="G102" s="100">
        <v>121.13</v>
      </c>
      <c r="H102" s="100">
        <v>53.25</v>
      </c>
      <c r="I102" s="100">
        <v>12.08</v>
      </c>
      <c r="J102" s="100">
        <v>0.15</v>
      </c>
      <c r="K102" s="100">
        <v>179.47</v>
      </c>
      <c r="L102" s="100">
        <v>16.57</v>
      </c>
      <c r="M102" s="100">
        <v>23.88</v>
      </c>
      <c r="N102" s="100">
        <v>2</v>
      </c>
      <c r="O102" s="100">
        <v>0</v>
      </c>
      <c r="P102" s="100">
        <v>0.61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2642</v>
      </c>
      <c r="B103" s="100">
        <v>7.37</v>
      </c>
      <c r="C103" s="100">
        <v>14.51</v>
      </c>
      <c r="D103" s="100">
        <v>13.49</v>
      </c>
      <c r="E103" s="100">
        <v>5.55</v>
      </c>
      <c r="F103" s="151" t="s">
        <v>8</v>
      </c>
      <c r="G103" s="100">
        <v>117.14</v>
      </c>
      <c r="H103" s="100">
        <v>52.98</v>
      </c>
      <c r="I103" s="100">
        <v>11.92</v>
      </c>
      <c r="J103" s="100">
        <v>0.17</v>
      </c>
      <c r="K103" s="100">
        <v>191.27</v>
      </c>
      <c r="L103" s="100">
        <v>17.309999999999999</v>
      </c>
      <c r="M103" s="100">
        <v>25.74</v>
      </c>
      <c r="N103" s="100">
        <v>1.9</v>
      </c>
      <c r="O103" s="100">
        <v>0</v>
      </c>
      <c r="P103" s="100">
        <v>0.6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2643</v>
      </c>
      <c r="B104" s="100">
        <v>7.09</v>
      </c>
      <c r="C104" s="100">
        <v>14.38</v>
      </c>
      <c r="D104" s="100">
        <v>13.2</v>
      </c>
      <c r="E104" s="100">
        <v>5.64</v>
      </c>
      <c r="F104" s="151" t="s">
        <v>8</v>
      </c>
      <c r="G104" s="100">
        <v>117.14</v>
      </c>
      <c r="H104" s="100">
        <v>52.98</v>
      </c>
      <c r="I104" s="100">
        <v>11.75</v>
      </c>
      <c r="J104" s="100">
        <v>0.2</v>
      </c>
      <c r="K104" s="100">
        <v>201.02</v>
      </c>
      <c r="L104" s="100">
        <v>18</v>
      </c>
      <c r="M104" s="100">
        <v>27.48</v>
      </c>
      <c r="N104" s="100">
        <v>2</v>
      </c>
      <c r="O104" s="100">
        <v>0</v>
      </c>
      <c r="P104" s="100">
        <v>0.6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3.44</v>
      </c>
      <c r="C106" s="158">
        <f>MIN(C9:C104)</f>
        <v>11.75</v>
      </c>
      <c r="D106" s="158">
        <f t="shared" ref="D106:Q106" si="0">MIN(D9:D104)</f>
        <v>10.19</v>
      </c>
      <c r="E106" s="158">
        <f t="shared" si="0"/>
        <v>3.01</v>
      </c>
      <c r="F106" s="158">
        <f t="shared" si="0"/>
        <v>0</v>
      </c>
      <c r="G106" s="158">
        <f t="shared" si="0"/>
        <v>95.61</v>
      </c>
      <c r="H106" s="158">
        <f t="shared" si="0"/>
        <v>42.67</v>
      </c>
      <c r="I106" s="158">
        <f t="shared" si="0"/>
        <v>9.31</v>
      </c>
      <c r="J106" s="158">
        <f t="shared" si="0"/>
        <v>0.06</v>
      </c>
      <c r="K106" s="158">
        <f t="shared" si="0"/>
        <v>17.829999999999998</v>
      </c>
      <c r="L106" s="158">
        <f t="shared" si="0"/>
        <v>7.97</v>
      </c>
      <c r="M106" s="158">
        <f t="shared" si="0"/>
        <v>0.3</v>
      </c>
      <c r="N106" s="158">
        <f t="shared" si="0"/>
        <v>1.2</v>
      </c>
      <c r="O106" s="158">
        <f t="shared" si="0"/>
        <v>0</v>
      </c>
      <c r="P106" s="158">
        <f t="shared" si="0"/>
        <v>0.49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16.690000000000001</v>
      </c>
      <c r="C107" s="157">
        <f t="shared" ref="C107:Q107" si="1">MAX(C9:C104)</f>
        <v>15.99</v>
      </c>
      <c r="D107" s="157">
        <f t="shared" si="1"/>
        <v>21.2</v>
      </c>
      <c r="E107" s="157">
        <f t="shared" si="1"/>
        <v>7.64</v>
      </c>
      <c r="F107" s="157">
        <f t="shared" si="1"/>
        <v>0</v>
      </c>
      <c r="G107" s="157">
        <f t="shared" si="1"/>
        <v>175.11</v>
      </c>
      <c r="H107" s="157">
        <f t="shared" si="1"/>
        <v>58.15</v>
      </c>
      <c r="I107" s="157">
        <f t="shared" si="1"/>
        <v>14.32</v>
      </c>
      <c r="J107" s="157">
        <f t="shared" si="1"/>
        <v>0.98</v>
      </c>
      <c r="K107" s="157">
        <f t="shared" si="1"/>
        <v>232.77</v>
      </c>
      <c r="L107" s="157">
        <f t="shared" si="1"/>
        <v>20.65</v>
      </c>
      <c r="M107" s="157">
        <f t="shared" si="1"/>
        <v>33.909999999999997</v>
      </c>
      <c r="N107" s="157">
        <f t="shared" si="1"/>
        <v>433</v>
      </c>
      <c r="O107" s="157">
        <f t="shared" si="1"/>
        <v>0</v>
      </c>
      <c r="P107" s="157">
        <f t="shared" si="1"/>
        <v>0.63</v>
      </c>
      <c r="Q107" s="157">
        <f t="shared" si="1"/>
        <v>9.8699999999999992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8.9631249999999998</v>
      </c>
      <c r="C108" s="158">
        <f t="shared" ref="C108:Q108" si="2">AVERAGE(C9:C104)</f>
        <v>14.129895833333338</v>
      </c>
      <c r="D108" s="158">
        <f t="shared" si="2"/>
        <v>14.570312500000005</v>
      </c>
      <c r="E108" s="158">
        <f t="shared" si="2"/>
        <v>5.7428125000000003</v>
      </c>
      <c r="F108" s="158" t="e">
        <f t="shared" si="2"/>
        <v>#DIV/0!</v>
      </c>
      <c r="G108" s="158">
        <f t="shared" si="2"/>
        <v>118.11395833333334</v>
      </c>
      <c r="H108" s="158">
        <f t="shared" si="2"/>
        <v>49.939166666666637</v>
      </c>
      <c r="I108" s="158">
        <f t="shared" si="2"/>
        <v>11.514166666666666</v>
      </c>
      <c r="J108" s="158">
        <f t="shared" si="2"/>
        <v>0.34479166666666661</v>
      </c>
      <c r="K108" s="158">
        <f t="shared" si="2"/>
        <v>110.2192708333334</v>
      </c>
      <c r="L108" s="158">
        <f t="shared" si="2"/>
        <v>13.833229166666662</v>
      </c>
      <c r="M108" s="158">
        <f t="shared" si="2"/>
        <v>14.655520833333336</v>
      </c>
      <c r="N108" s="158">
        <f t="shared" si="2"/>
        <v>92.682291666666686</v>
      </c>
      <c r="O108" s="158">
        <f t="shared" si="2"/>
        <v>0</v>
      </c>
      <c r="P108" s="158">
        <f t="shared" si="2"/>
        <v>0.55927083333333327</v>
      </c>
      <c r="Q108" s="158">
        <f t="shared" si="2"/>
        <v>9.3694791666666735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4.2268627939581069</v>
      </c>
      <c r="C109" s="158">
        <f t="shared" ref="C109:Q109" si="3">STDEV(C9:C104)</f>
        <v>1.0814274142044775</v>
      </c>
      <c r="D109" s="158">
        <f t="shared" si="3"/>
        <v>3.339331308140332</v>
      </c>
      <c r="E109" s="158">
        <f t="shared" si="3"/>
        <v>0.59417825275973957</v>
      </c>
      <c r="F109" s="158" t="e">
        <f t="shared" si="3"/>
        <v>#DIV/0!</v>
      </c>
      <c r="G109" s="158">
        <f t="shared" si="3"/>
        <v>19.461276394509877</v>
      </c>
      <c r="H109" s="158">
        <f t="shared" si="3"/>
        <v>4.4610314282135208</v>
      </c>
      <c r="I109" s="158">
        <f t="shared" si="3"/>
        <v>1.4882272510867476</v>
      </c>
      <c r="J109" s="158">
        <f t="shared" si="3"/>
        <v>0.26261430259950547</v>
      </c>
      <c r="K109" s="158">
        <f t="shared" si="3"/>
        <v>66.45924771490516</v>
      </c>
      <c r="L109" s="158">
        <f t="shared" si="3"/>
        <v>2.9523737086200676</v>
      </c>
      <c r="M109" s="158">
        <f t="shared" si="3"/>
        <v>8.8520609399038701</v>
      </c>
      <c r="N109" s="158">
        <f t="shared" si="3"/>
        <v>143.20728075786303</v>
      </c>
      <c r="O109" s="158">
        <f t="shared" si="3"/>
        <v>0</v>
      </c>
      <c r="P109" s="158">
        <f t="shared" si="3"/>
        <v>3.9874666582778072E-2</v>
      </c>
      <c r="Q109" s="158">
        <f t="shared" si="3"/>
        <v>0.11763789034836517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COUNT(F9:F104)+96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88" activePane="bottomRight" state="frozen"/>
      <selection pane="topRight"/>
      <selection pane="bottomLeft"/>
      <selection pane="bottomRight" activeCell="L91" sqref="L9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2644</v>
      </c>
      <c r="B9" s="100">
        <v>6.67</v>
      </c>
      <c r="C9" s="100">
        <v>13.46</v>
      </c>
      <c r="D9" s="100">
        <v>12.38</v>
      </c>
      <c r="E9" s="100">
        <v>5.4</v>
      </c>
      <c r="F9" s="152" t="s">
        <v>15</v>
      </c>
      <c r="G9" s="100">
        <v>117.14</v>
      </c>
      <c r="H9" s="100">
        <v>52.98</v>
      </c>
      <c r="I9" s="100">
        <v>11.59</v>
      </c>
      <c r="J9" s="100">
        <v>0.18</v>
      </c>
      <c r="K9" s="100">
        <v>197.82</v>
      </c>
      <c r="L9" s="100">
        <v>17.84</v>
      </c>
      <c r="M9" s="100">
        <v>27.09</v>
      </c>
      <c r="N9" s="100">
        <v>1.8</v>
      </c>
      <c r="O9" s="100">
        <v>0</v>
      </c>
      <c r="P9" s="100">
        <v>0.59</v>
      </c>
      <c r="Q9" s="100">
        <v>9.32</v>
      </c>
      <c r="R9" s="6"/>
      <c r="S9" s="6"/>
      <c r="T9" s="156"/>
      <c r="U9" s="6"/>
    </row>
    <row r="10" spans="1:21" customFormat="1">
      <c r="A10" s="201" t="s">
        <v>2645</v>
      </c>
      <c r="B10" s="100">
        <v>6.5</v>
      </c>
      <c r="C10" s="100">
        <v>13.64</v>
      </c>
      <c r="D10" s="100">
        <v>12.33</v>
      </c>
      <c r="E10" s="100">
        <v>5.49</v>
      </c>
      <c r="F10" s="152" t="s">
        <v>15</v>
      </c>
      <c r="G10" s="100">
        <v>114.07</v>
      </c>
      <c r="H10" s="100">
        <v>51.37</v>
      </c>
      <c r="I10" s="100">
        <v>11.38</v>
      </c>
      <c r="J10" s="100">
        <v>0.18</v>
      </c>
      <c r="K10" s="100">
        <v>216.06</v>
      </c>
      <c r="L10" s="100">
        <v>19.059999999999999</v>
      </c>
      <c r="M10" s="100">
        <v>30.12</v>
      </c>
      <c r="N10" s="100">
        <v>1.8</v>
      </c>
      <c r="O10" s="100">
        <v>0</v>
      </c>
      <c r="P10" s="100">
        <v>0.57999999999999996</v>
      </c>
      <c r="Q10" s="100">
        <v>9.32</v>
      </c>
      <c r="R10" s="6"/>
      <c r="S10" s="6"/>
      <c r="T10" s="156"/>
      <c r="U10" s="6"/>
    </row>
    <row r="11" spans="1:21" customFormat="1">
      <c r="A11" s="201" t="s">
        <v>2646</v>
      </c>
      <c r="B11" s="100">
        <v>6.37</v>
      </c>
      <c r="C11" s="100">
        <v>13.54</v>
      </c>
      <c r="D11" s="100">
        <v>12.18</v>
      </c>
      <c r="E11" s="100">
        <v>5.48</v>
      </c>
      <c r="F11" s="152" t="s">
        <v>15</v>
      </c>
      <c r="G11" s="100">
        <v>112.61</v>
      </c>
      <c r="H11" s="100">
        <v>51.2</v>
      </c>
      <c r="I11" s="100">
        <v>11.29</v>
      </c>
      <c r="J11" s="100">
        <v>0.15</v>
      </c>
      <c r="K11" s="100">
        <v>220.78</v>
      </c>
      <c r="L11" s="100">
        <v>19.54</v>
      </c>
      <c r="M11" s="100">
        <v>31.3</v>
      </c>
      <c r="N11" s="100">
        <v>1.8</v>
      </c>
      <c r="O11" s="100">
        <v>0</v>
      </c>
      <c r="P11" s="100">
        <v>0.57999999999999996</v>
      </c>
      <c r="Q11" s="100">
        <v>9.32</v>
      </c>
      <c r="R11" s="6"/>
      <c r="S11" s="6"/>
      <c r="T11" s="156"/>
      <c r="U11" s="6"/>
    </row>
    <row r="12" spans="1:21" customFormat="1">
      <c r="A12" s="201" t="s">
        <v>2647</v>
      </c>
      <c r="B12" s="100">
        <v>6.24</v>
      </c>
      <c r="C12" s="100">
        <v>13.42</v>
      </c>
      <c r="D12" s="100">
        <v>12.01</v>
      </c>
      <c r="E12" s="100">
        <v>5.32</v>
      </c>
      <c r="F12" s="152" t="s">
        <v>15</v>
      </c>
      <c r="G12" s="100">
        <v>112.61</v>
      </c>
      <c r="H12" s="100">
        <v>51.2</v>
      </c>
      <c r="I12" s="100">
        <v>11.16</v>
      </c>
      <c r="J12" s="100">
        <v>0.18</v>
      </c>
      <c r="K12" s="100">
        <v>232.17</v>
      </c>
      <c r="L12" s="100">
        <v>20.350000000000001</v>
      </c>
      <c r="M12" s="100">
        <v>33.32</v>
      </c>
      <c r="N12" s="100">
        <v>1.7</v>
      </c>
      <c r="O12" s="100">
        <v>0</v>
      </c>
      <c r="P12" s="100">
        <v>0.57999999999999996</v>
      </c>
      <c r="Q12" s="100">
        <v>9.32</v>
      </c>
      <c r="R12" s="6"/>
      <c r="S12" s="6"/>
      <c r="T12" s="156"/>
      <c r="U12" s="6"/>
    </row>
    <row r="13" spans="1:21" customFormat="1">
      <c r="A13" s="201" t="s">
        <v>2648</v>
      </c>
      <c r="B13" s="100">
        <v>6.11</v>
      </c>
      <c r="C13" s="100">
        <v>13.28</v>
      </c>
      <c r="D13" s="100">
        <v>11.84</v>
      </c>
      <c r="E13" s="100">
        <v>5.26</v>
      </c>
      <c r="F13" s="152" t="s">
        <v>15</v>
      </c>
      <c r="G13" s="100">
        <v>112.61</v>
      </c>
      <c r="H13" s="100">
        <v>51.2</v>
      </c>
      <c r="I13" s="100">
        <v>11.04</v>
      </c>
      <c r="J13" s="100">
        <v>0.12</v>
      </c>
      <c r="K13" s="100">
        <v>213.73</v>
      </c>
      <c r="L13" s="100">
        <v>18.8</v>
      </c>
      <c r="M13" s="100">
        <v>29.42</v>
      </c>
      <c r="N13" s="100">
        <v>1.7</v>
      </c>
      <c r="O13" s="100">
        <v>0</v>
      </c>
      <c r="P13" s="100">
        <v>0.57999999999999996</v>
      </c>
      <c r="Q13" s="100">
        <v>9.32</v>
      </c>
      <c r="R13" s="6"/>
      <c r="S13" s="6"/>
      <c r="T13" s="156"/>
      <c r="U13" s="6"/>
    </row>
    <row r="14" spans="1:21" customFormat="1">
      <c r="A14" s="201" t="s">
        <v>2649</v>
      </c>
      <c r="B14" s="100">
        <v>6.06</v>
      </c>
      <c r="C14" s="100">
        <v>13.06</v>
      </c>
      <c r="D14" s="100">
        <v>11.68</v>
      </c>
      <c r="E14" s="100">
        <v>5.1100000000000003</v>
      </c>
      <c r="F14" s="152" t="s">
        <v>15</v>
      </c>
      <c r="G14" s="100">
        <v>110.27</v>
      </c>
      <c r="H14" s="100">
        <v>50.61</v>
      </c>
      <c r="I14" s="100">
        <v>10.99</v>
      </c>
      <c r="J14" s="100">
        <v>0.13</v>
      </c>
      <c r="K14" s="100">
        <v>185.58</v>
      </c>
      <c r="L14" s="100">
        <v>17.010000000000002</v>
      </c>
      <c r="M14" s="100">
        <v>24.99</v>
      </c>
      <c r="N14" s="100">
        <v>1.7</v>
      </c>
      <c r="O14" s="100">
        <v>0</v>
      </c>
      <c r="P14" s="100">
        <v>0.56999999999999995</v>
      </c>
      <c r="Q14" s="100">
        <v>9.32</v>
      </c>
      <c r="R14" s="6"/>
      <c r="S14" s="6"/>
      <c r="T14" s="156"/>
      <c r="U14" s="6"/>
    </row>
    <row r="15" spans="1:21" customFormat="1">
      <c r="A15" s="201" t="s">
        <v>2650</v>
      </c>
      <c r="B15" s="100">
        <v>5.98</v>
      </c>
      <c r="C15" s="100">
        <v>12.85</v>
      </c>
      <c r="D15" s="100">
        <v>11.51</v>
      </c>
      <c r="E15" s="100">
        <v>5.34</v>
      </c>
      <c r="F15" s="152" t="s">
        <v>15</v>
      </c>
      <c r="G15" s="100">
        <v>109.16</v>
      </c>
      <c r="H15" s="100">
        <v>50.55</v>
      </c>
      <c r="I15" s="100">
        <v>10.91</v>
      </c>
      <c r="J15" s="100">
        <v>0.16</v>
      </c>
      <c r="K15" s="100">
        <v>182.36</v>
      </c>
      <c r="L15" s="100">
        <v>16.420000000000002</v>
      </c>
      <c r="M15" s="100">
        <v>23.53</v>
      </c>
      <c r="N15" s="100">
        <v>1.6</v>
      </c>
      <c r="O15" s="100">
        <v>0</v>
      </c>
      <c r="P15" s="100">
        <v>0.56000000000000005</v>
      </c>
      <c r="Q15" s="100">
        <v>9.32</v>
      </c>
      <c r="R15" s="6"/>
      <c r="S15" s="6"/>
      <c r="T15" s="156"/>
      <c r="U15" s="6"/>
    </row>
    <row r="16" spans="1:21" customFormat="1">
      <c r="A16" s="201" t="s">
        <v>2651</v>
      </c>
      <c r="B16" s="100">
        <v>6.09</v>
      </c>
      <c r="C16" s="100">
        <v>12.84</v>
      </c>
      <c r="D16" s="100">
        <v>11.59</v>
      </c>
      <c r="E16" s="100">
        <v>5.21</v>
      </c>
      <c r="F16" s="152" t="s">
        <v>15</v>
      </c>
      <c r="G16" s="100">
        <v>109.16</v>
      </c>
      <c r="H16" s="100">
        <v>50.55</v>
      </c>
      <c r="I16" s="100">
        <v>10.8</v>
      </c>
      <c r="J16" s="100">
        <v>0.15</v>
      </c>
      <c r="K16" s="100">
        <v>135.97999999999999</v>
      </c>
      <c r="L16" s="100">
        <v>13.14</v>
      </c>
      <c r="M16" s="100">
        <v>15.29</v>
      </c>
      <c r="N16" s="100">
        <v>1.5</v>
      </c>
      <c r="O16" s="100">
        <v>0</v>
      </c>
      <c r="P16" s="100">
        <v>0.56000000000000005</v>
      </c>
      <c r="Q16" s="100">
        <v>9.4</v>
      </c>
      <c r="R16" s="6"/>
      <c r="S16" s="6"/>
      <c r="T16" s="156"/>
      <c r="U16" s="6"/>
    </row>
    <row r="17" spans="1:21" customFormat="1">
      <c r="A17" s="201" t="s">
        <v>2652</v>
      </c>
      <c r="B17" s="100">
        <v>7.51</v>
      </c>
      <c r="C17" s="100">
        <v>13.3</v>
      </c>
      <c r="D17" s="100">
        <v>12.97</v>
      </c>
      <c r="E17" s="100">
        <v>4.6500000000000004</v>
      </c>
      <c r="F17" s="152" t="s">
        <v>15</v>
      </c>
      <c r="G17" s="100">
        <v>109.16</v>
      </c>
      <c r="H17" s="100">
        <v>50.55</v>
      </c>
      <c r="I17" s="100">
        <v>10.68</v>
      </c>
      <c r="J17" s="100">
        <v>0.1</v>
      </c>
      <c r="K17" s="100">
        <v>147.5</v>
      </c>
      <c r="L17" s="100">
        <v>12.74</v>
      </c>
      <c r="M17" s="100">
        <v>14.22</v>
      </c>
      <c r="N17" s="100">
        <v>1.4</v>
      </c>
      <c r="O17" s="100">
        <v>0</v>
      </c>
      <c r="P17" s="100">
        <v>0.56000000000000005</v>
      </c>
      <c r="Q17" s="100">
        <v>9.32</v>
      </c>
      <c r="R17" s="6"/>
      <c r="S17" s="6"/>
      <c r="T17" s="156"/>
      <c r="U17" s="6"/>
    </row>
    <row r="18" spans="1:21" customFormat="1">
      <c r="A18" s="201" t="s">
        <v>2653</v>
      </c>
      <c r="B18" s="100">
        <v>9.4</v>
      </c>
      <c r="C18" s="100">
        <v>13.86</v>
      </c>
      <c r="D18" s="100">
        <v>14.78</v>
      </c>
      <c r="E18" s="100">
        <v>5.83</v>
      </c>
      <c r="F18" s="152" t="s">
        <v>15</v>
      </c>
      <c r="G18" s="100">
        <v>110.77</v>
      </c>
      <c r="H18" s="100">
        <v>48.49</v>
      </c>
      <c r="I18" s="100">
        <v>10.75</v>
      </c>
      <c r="J18" s="100">
        <v>0.14000000000000001</v>
      </c>
      <c r="K18" s="100">
        <v>212.18</v>
      </c>
      <c r="L18" s="100">
        <v>18.87</v>
      </c>
      <c r="M18" s="100">
        <v>29.66</v>
      </c>
      <c r="N18" s="100">
        <v>1.7</v>
      </c>
      <c r="O18" s="100">
        <v>0</v>
      </c>
      <c r="P18" s="100">
        <v>0.56999999999999995</v>
      </c>
      <c r="Q18" s="100">
        <v>9.32</v>
      </c>
      <c r="R18" s="6"/>
      <c r="S18" s="6"/>
      <c r="T18" s="156"/>
      <c r="U18" s="6"/>
    </row>
    <row r="19" spans="1:21" customFormat="1">
      <c r="A19" s="201" t="s">
        <v>2654</v>
      </c>
      <c r="B19" s="100">
        <v>10.47</v>
      </c>
      <c r="C19" s="100">
        <v>14.42</v>
      </c>
      <c r="D19" s="100">
        <v>15.93</v>
      </c>
      <c r="E19" s="100">
        <v>5.93</v>
      </c>
      <c r="F19" s="152" t="s">
        <v>15</v>
      </c>
      <c r="G19" s="100">
        <v>111.54</v>
      </c>
      <c r="H19" s="100">
        <v>48.25</v>
      </c>
      <c r="I19" s="100">
        <v>10.59</v>
      </c>
      <c r="J19" s="100">
        <v>0.18</v>
      </c>
      <c r="K19" s="100">
        <v>189.73</v>
      </c>
      <c r="L19" s="100">
        <v>17.2</v>
      </c>
      <c r="M19" s="100">
        <v>25.48</v>
      </c>
      <c r="N19" s="100">
        <v>1.7</v>
      </c>
      <c r="O19" s="100">
        <v>0</v>
      </c>
      <c r="P19" s="100">
        <v>0.56000000000000005</v>
      </c>
      <c r="Q19" s="100">
        <v>9.32</v>
      </c>
      <c r="R19" s="6"/>
      <c r="S19" s="6"/>
      <c r="T19" s="156"/>
      <c r="U19" s="6"/>
    </row>
    <row r="20" spans="1:21" customFormat="1">
      <c r="A20" s="201" t="s">
        <v>2655</v>
      </c>
      <c r="B20" s="100">
        <v>10.88</v>
      </c>
      <c r="C20" s="100">
        <v>14.59</v>
      </c>
      <c r="D20" s="100">
        <v>16.350000000000001</v>
      </c>
      <c r="E20" s="100">
        <v>5.92</v>
      </c>
      <c r="F20" s="152" t="s">
        <v>15</v>
      </c>
      <c r="G20" s="100">
        <v>111.54</v>
      </c>
      <c r="H20" s="100">
        <v>48.25</v>
      </c>
      <c r="I20" s="100">
        <v>10.56</v>
      </c>
      <c r="J20" s="100">
        <v>0.18</v>
      </c>
      <c r="K20" s="100">
        <v>194.22</v>
      </c>
      <c r="L20" s="100">
        <v>17.75</v>
      </c>
      <c r="M20" s="100">
        <v>26.74</v>
      </c>
      <c r="N20" s="100">
        <v>1.6</v>
      </c>
      <c r="O20" s="100">
        <v>0</v>
      </c>
      <c r="P20" s="100">
        <v>0.56999999999999995</v>
      </c>
      <c r="Q20" s="100">
        <v>9.32</v>
      </c>
      <c r="R20" s="6"/>
      <c r="S20" s="6"/>
      <c r="T20" s="156"/>
      <c r="U20" s="6"/>
    </row>
    <row r="21" spans="1:21" customFormat="1">
      <c r="A21" s="201" t="s">
        <v>2656</v>
      </c>
      <c r="B21" s="100">
        <v>10.93</v>
      </c>
      <c r="C21" s="100">
        <v>14.38</v>
      </c>
      <c r="D21" s="100">
        <v>16.28</v>
      </c>
      <c r="E21" s="100">
        <v>5.71</v>
      </c>
      <c r="F21" s="152" t="s">
        <v>15</v>
      </c>
      <c r="G21" s="100">
        <v>111.54</v>
      </c>
      <c r="H21" s="100">
        <v>48.25</v>
      </c>
      <c r="I21" s="100">
        <v>10.66</v>
      </c>
      <c r="J21" s="100">
        <v>0.12</v>
      </c>
      <c r="K21" s="100">
        <v>191.48</v>
      </c>
      <c r="L21" s="100">
        <v>18.309999999999999</v>
      </c>
      <c r="M21" s="100">
        <v>28.23</v>
      </c>
      <c r="N21" s="100">
        <v>1.8</v>
      </c>
      <c r="O21" s="100">
        <v>0</v>
      </c>
      <c r="P21" s="100">
        <v>0.56000000000000005</v>
      </c>
      <c r="Q21" s="100">
        <v>9.32</v>
      </c>
      <c r="R21" s="6"/>
      <c r="S21" s="6"/>
      <c r="T21" s="156"/>
      <c r="U21" s="6"/>
    </row>
    <row r="22" spans="1:21" customFormat="1">
      <c r="A22" s="201" t="s">
        <v>2657</v>
      </c>
      <c r="B22" s="100">
        <v>10.77</v>
      </c>
      <c r="C22" s="100">
        <v>14.24</v>
      </c>
      <c r="D22" s="100">
        <v>16.07</v>
      </c>
      <c r="E22" s="100">
        <v>5.72</v>
      </c>
      <c r="F22" s="152" t="s">
        <v>15</v>
      </c>
      <c r="G22" s="100">
        <v>107.61</v>
      </c>
      <c r="H22" s="100">
        <v>47.52</v>
      </c>
      <c r="I22" s="100">
        <v>10.6</v>
      </c>
      <c r="J22" s="100">
        <v>0.13</v>
      </c>
      <c r="K22" s="100">
        <v>159.07</v>
      </c>
      <c r="L22" s="100">
        <v>14.27</v>
      </c>
      <c r="M22" s="100">
        <v>18.059999999999999</v>
      </c>
      <c r="N22" s="100">
        <v>1.7</v>
      </c>
      <c r="O22" s="100">
        <v>0</v>
      </c>
      <c r="P22" s="100">
        <v>0.56000000000000005</v>
      </c>
      <c r="Q22" s="100">
        <v>9.32</v>
      </c>
      <c r="R22" s="6"/>
      <c r="S22" s="6"/>
      <c r="T22" s="156"/>
      <c r="U22" s="6"/>
    </row>
    <row r="23" spans="1:21" customFormat="1">
      <c r="A23" s="201" t="s">
        <v>2658</v>
      </c>
      <c r="B23" s="100">
        <v>10.76</v>
      </c>
      <c r="C23" s="100">
        <v>14.05</v>
      </c>
      <c r="D23" s="100">
        <v>15.97</v>
      </c>
      <c r="E23" s="100">
        <v>5.95</v>
      </c>
      <c r="F23" s="152" t="s">
        <v>15</v>
      </c>
      <c r="G23" s="100">
        <v>105.74</v>
      </c>
      <c r="H23" s="100">
        <v>47.44</v>
      </c>
      <c r="I23" s="100">
        <v>10.46</v>
      </c>
      <c r="J23" s="100">
        <v>0.11</v>
      </c>
      <c r="K23" s="100">
        <v>176.01</v>
      </c>
      <c r="L23" s="100">
        <v>15.56</v>
      </c>
      <c r="M23" s="100">
        <v>21.35</v>
      </c>
      <c r="N23" s="100">
        <v>1.5</v>
      </c>
      <c r="O23" s="100">
        <v>0</v>
      </c>
      <c r="P23" s="100">
        <v>0.56000000000000005</v>
      </c>
      <c r="Q23" s="100">
        <v>9.32</v>
      </c>
      <c r="R23" s="6"/>
      <c r="S23" s="6"/>
      <c r="T23" s="156"/>
      <c r="U23" s="6"/>
    </row>
    <row r="24" spans="1:21" customFormat="1">
      <c r="A24" s="201" t="s">
        <v>2659</v>
      </c>
      <c r="B24" s="100">
        <v>11.3</v>
      </c>
      <c r="C24" s="100">
        <v>14.03</v>
      </c>
      <c r="D24" s="100">
        <v>16.399999999999999</v>
      </c>
      <c r="E24" s="100">
        <v>5.54</v>
      </c>
      <c r="F24" s="152" t="s">
        <v>15</v>
      </c>
      <c r="G24" s="100">
        <v>105.74</v>
      </c>
      <c r="H24" s="100">
        <v>47.44</v>
      </c>
      <c r="I24" s="100">
        <v>10.24</v>
      </c>
      <c r="J24" s="100">
        <v>0.15</v>
      </c>
      <c r="K24" s="100">
        <v>216.56</v>
      </c>
      <c r="L24" s="100">
        <v>19.23</v>
      </c>
      <c r="M24" s="100">
        <v>30.43</v>
      </c>
      <c r="N24" s="100">
        <v>1.7</v>
      </c>
      <c r="O24" s="100">
        <v>0</v>
      </c>
      <c r="P24" s="100">
        <v>0.56999999999999995</v>
      </c>
      <c r="Q24" s="100">
        <v>9.39</v>
      </c>
      <c r="R24" s="6"/>
      <c r="S24" s="6"/>
      <c r="T24" s="156"/>
      <c r="U24" s="6"/>
    </row>
    <row r="25" spans="1:21" customFormat="1">
      <c r="A25" s="201" t="s">
        <v>2660</v>
      </c>
      <c r="B25" s="100">
        <v>12.36</v>
      </c>
      <c r="C25" s="100">
        <v>14.22</v>
      </c>
      <c r="D25" s="100">
        <v>17.34</v>
      </c>
      <c r="E25" s="100">
        <v>5.43</v>
      </c>
      <c r="F25" s="152" t="s">
        <v>15</v>
      </c>
      <c r="G25" s="100">
        <v>105.74</v>
      </c>
      <c r="H25" s="100">
        <v>47.44</v>
      </c>
      <c r="I25" s="100">
        <v>10.199999999999999</v>
      </c>
      <c r="J25" s="100">
        <v>0.16</v>
      </c>
      <c r="K25" s="100">
        <v>231.94</v>
      </c>
      <c r="L25" s="100">
        <v>20.16</v>
      </c>
      <c r="M25" s="100">
        <v>32.729999999999997</v>
      </c>
      <c r="N25" s="100">
        <v>1.7</v>
      </c>
      <c r="O25" s="100">
        <v>0</v>
      </c>
      <c r="P25" s="100">
        <v>0.56000000000000005</v>
      </c>
      <c r="Q25" s="100">
        <v>9.43</v>
      </c>
      <c r="R25" s="6"/>
      <c r="S25" s="6"/>
      <c r="T25" s="156"/>
      <c r="U25" s="6"/>
    </row>
    <row r="26" spans="1:21" customFormat="1">
      <c r="A26" s="201" t="s">
        <v>2661</v>
      </c>
      <c r="B26" s="100">
        <v>13.36</v>
      </c>
      <c r="C26" s="100">
        <v>14.29</v>
      </c>
      <c r="D26" s="100">
        <v>18.18</v>
      </c>
      <c r="E26" s="100">
        <v>5.63</v>
      </c>
      <c r="F26" s="152" t="s">
        <v>15</v>
      </c>
      <c r="G26" s="100">
        <v>103.34</v>
      </c>
      <c r="H26" s="100">
        <v>50.05</v>
      </c>
      <c r="I26" s="100">
        <v>10.220000000000001</v>
      </c>
      <c r="J26" s="100">
        <v>0.13</v>
      </c>
      <c r="K26" s="100">
        <v>224.41</v>
      </c>
      <c r="L26" s="100">
        <v>19.84</v>
      </c>
      <c r="M26" s="100">
        <v>31.83</v>
      </c>
      <c r="N26" s="100">
        <v>1.7</v>
      </c>
      <c r="O26" s="100">
        <v>0</v>
      </c>
      <c r="P26" s="100">
        <v>0.56000000000000005</v>
      </c>
      <c r="Q26" s="100">
        <v>9.32</v>
      </c>
      <c r="R26" s="6"/>
      <c r="S26" s="6"/>
      <c r="T26" s="156"/>
      <c r="U26" s="6"/>
    </row>
    <row r="27" spans="1:21" customFormat="1">
      <c r="A27" s="201" t="s">
        <v>2662</v>
      </c>
      <c r="B27" s="100">
        <v>14.94</v>
      </c>
      <c r="C27" s="100">
        <v>14.6</v>
      </c>
      <c r="D27" s="100">
        <v>19.61</v>
      </c>
      <c r="E27" s="100">
        <v>5.52</v>
      </c>
      <c r="F27" s="152" t="s">
        <v>15</v>
      </c>
      <c r="G27" s="100">
        <v>102.2</v>
      </c>
      <c r="H27" s="100">
        <v>50.76</v>
      </c>
      <c r="I27" s="100">
        <v>10.14</v>
      </c>
      <c r="J27" s="100">
        <v>0.11</v>
      </c>
      <c r="K27" s="100">
        <v>178.5</v>
      </c>
      <c r="L27" s="100">
        <v>16.149999999999999</v>
      </c>
      <c r="M27" s="100">
        <v>22.6</v>
      </c>
      <c r="N27" s="100">
        <v>1.7</v>
      </c>
      <c r="O27" s="100">
        <v>0</v>
      </c>
      <c r="P27" s="100">
        <v>0.55000000000000004</v>
      </c>
      <c r="Q27" s="100">
        <v>9.32</v>
      </c>
      <c r="R27" s="6"/>
      <c r="S27" s="6"/>
      <c r="T27" s="156"/>
      <c r="U27" s="6"/>
    </row>
    <row r="28" spans="1:21" customFormat="1">
      <c r="A28" s="201" t="s">
        <v>2663</v>
      </c>
      <c r="B28" s="100">
        <v>16.95</v>
      </c>
      <c r="C28" s="100">
        <v>14.98</v>
      </c>
      <c r="D28" s="100">
        <v>21.42</v>
      </c>
      <c r="E28" s="100">
        <v>5.45</v>
      </c>
      <c r="F28" s="152" t="s">
        <v>15</v>
      </c>
      <c r="G28" s="100">
        <v>102.2</v>
      </c>
      <c r="H28" s="100">
        <v>50.76</v>
      </c>
      <c r="I28" s="100">
        <v>10.119999999999999</v>
      </c>
      <c r="J28" s="100">
        <v>0.13</v>
      </c>
      <c r="K28" s="100">
        <v>173.64</v>
      </c>
      <c r="L28" s="100">
        <v>15.86</v>
      </c>
      <c r="M28" s="100">
        <v>21.98</v>
      </c>
      <c r="N28" s="100">
        <v>1.5</v>
      </c>
      <c r="O28" s="100">
        <v>0</v>
      </c>
      <c r="P28" s="100">
        <v>0.56000000000000005</v>
      </c>
      <c r="Q28" s="100">
        <v>9.32</v>
      </c>
      <c r="R28" s="6"/>
      <c r="S28" s="6"/>
      <c r="T28" s="156"/>
      <c r="U28" s="6"/>
    </row>
    <row r="29" spans="1:21" customFormat="1">
      <c r="A29" s="201" t="s">
        <v>2664</v>
      </c>
      <c r="B29" s="100">
        <v>18.510000000000002</v>
      </c>
      <c r="C29" s="100">
        <v>15.17</v>
      </c>
      <c r="D29" s="100">
        <v>22.77</v>
      </c>
      <c r="E29" s="100">
        <v>5.38</v>
      </c>
      <c r="F29" s="152" t="s">
        <v>15</v>
      </c>
      <c r="G29" s="100">
        <v>102.2</v>
      </c>
      <c r="H29" s="100">
        <v>50.76</v>
      </c>
      <c r="I29" s="100">
        <v>10.039999999999999</v>
      </c>
      <c r="J29" s="100">
        <v>0.09</v>
      </c>
      <c r="K29" s="100">
        <v>184.03</v>
      </c>
      <c r="L29" s="100">
        <v>17.579999999999998</v>
      </c>
      <c r="M29" s="100">
        <v>26.25</v>
      </c>
      <c r="N29" s="100">
        <v>1.7</v>
      </c>
      <c r="O29" s="100">
        <v>0</v>
      </c>
      <c r="P29" s="100">
        <v>0.55000000000000004</v>
      </c>
      <c r="Q29" s="100">
        <v>9.36</v>
      </c>
      <c r="R29" s="6"/>
      <c r="S29" s="6"/>
      <c r="T29" s="156"/>
      <c r="U29" s="6"/>
    </row>
    <row r="30" spans="1:21" customFormat="1">
      <c r="A30" s="201" t="s">
        <v>2665</v>
      </c>
      <c r="B30" s="100">
        <v>19.7</v>
      </c>
      <c r="C30" s="100">
        <v>15.24</v>
      </c>
      <c r="D30" s="100">
        <v>23.76</v>
      </c>
      <c r="E30" s="100">
        <v>5.46</v>
      </c>
      <c r="F30" s="152" t="s">
        <v>15</v>
      </c>
      <c r="G30" s="100">
        <v>98.3</v>
      </c>
      <c r="H30" s="100">
        <v>52.05</v>
      </c>
      <c r="I30" s="100">
        <v>9.9700000000000006</v>
      </c>
      <c r="J30" s="100">
        <v>0.12</v>
      </c>
      <c r="K30" s="100">
        <v>147.33000000000001</v>
      </c>
      <c r="L30" s="100">
        <v>13.42</v>
      </c>
      <c r="M30" s="100">
        <v>15.82</v>
      </c>
      <c r="N30" s="100">
        <v>1.5</v>
      </c>
      <c r="O30" s="100">
        <v>0</v>
      </c>
      <c r="P30" s="100">
        <v>0.55000000000000004</v>
      </c>
      <c r="Q30" s="100">
        <v>9.36</v>
      </c>
      <c r="R30" s="6"/>
      <c r="S30" s="6"/>
      <c r="T30" s="156"/>
      <c r="U30" s="6"/>
    </row>
    <row r="31" spans="1:21" customFormat="1">
      <c r="A31" s="201" t="s">
        <v>2666</v>
      </c>
      <c r="B31" s="100">
        <v>20.54</v>
      </c>
      <c r="C31" s="100">
        <v>15.41</v>
      </c>
      <c r="D31" s="100">
        <v>24.52</v>
      </c>
      <c r="E31" s="100">
        <v>5.7</v>
      </c>
      <c r="F31" s="152" t="s">
        <v>15</v>
      </c>
      <c r="G31" s="100">
        <v>96.45</v>
      </c>
      <c r="H31" s="100">
        <v>52.19</v>
      </c>
      <c r="I31" s="100">
        <v>9.9700000000000006</v>
      </c>
      <c r="J31" s="100">
        <v>0.2</v>
      </c>
      <c r="K31" s="100">
        <v>52.94</v>
      </c>
      <c r="L31" s="100">
        <v>10.37</v>
      </c>
      <c r="M31" s="100">
        <v>8.0500000000000007</v>
      </c>
      <c r="N31" s="100">
        <v>1.3</v>
      </c>
      <c r="O31" s="100">
        <v>0</v>
      </c>
      <c r="P31" s="100">
        <v>0.55000000000000004</v>
      </c>
      <c r="Q31" s="100">
        <v>9.39</v>
      </c>
      <c r="R31" s="6"/>
      <c r="S31" s="6"/>
      <c r="T31" s="156"/>
      <c r="U31" s="6"/>
    </row>
    <row r="32" spans="1:21" customFormat="1">
      <c r="A32" s="201" t="s">
        <v>2667</v>
      </c>
      <c r="B32" s="100">
        <v>20.83</v>
      </c>
      <c r="C32" s="100">
        <v>15.48</v>
      </c>
      <c r="D32" s="100">
        <v>24.79</v>
      </c>
      <c r="E32" s="100">
        <v>5.62</v>
      </c>
      <c r="F32" s="152" t="s">
        <v>15</v>
      </c>
      <c r="G32" s="100">
        <v>96.45</v>
      </c>
      <c r="H32" s="100">
        <v>52.19</v>
      </c>
      <c r="I32" s="100">
        <v>10.02</v>
      </c>
      <c r="J32" s="100">
        <v>0.34</v>
      </c>
      <c r="K32" s="100">
        <v>64.05</v>
      </c>
      <c r="L32" s="100">
        <v>7.57</v>
      </c>
      <c r="M32" s="100">
        <v>1.07</v>
      </c>
      <c r="N32" s="100">
        <v>1.4</v>
      </c>
      <c r="O32" s="100">
        <v>0</v>
      </c>
      <c r="P32" s="100">
        <v>0.55000000000000004</v>
      </c>
      <c r="Q32" s="100">
        <v>9.43</v>
      </c>
      <c r="R32" s="6"/>
      <c r="S32" s="6"/>
      <c r="T32" s="156"/>
      <c r="U32" s="6"/>
    </row>
    <row r="33" spans="1:21" customFormat="1">
      <c r="A33" s="201" t="s">
        <v>2668</v>
      </c>
      <c r="B33" s="100">
        <v>20.59</v>
      </c>
      <c r="C33" s="100">
        <v>15.42</v>
      </c>
      <c r="D33" s="100">
        <v>24.57</v>
      </c>
      <c r="E33" s="100">
        <v>5.79</v>
      </c>
      <c r="F33" s="152" t="s">
        <v>15</v>
      </c>
      <c r="G33" s="100">
        <v>96.45</v>
      </c>
      <c r="H33" s="100">
        <v>52.19</v>
      </c>
      <c r="I33" s="100">
        <v>10.08</v>
      </c>
      <c r="J33" s="100">
        <v>0.21</v>
      </c>
      <c r="K33" s="100">
        <v>85.03</v>
      </c>
      <c r="L33" s="100">
        <v>10.51</v>
      </c>
      <c r="M33" s="100">
        <v>8.5</v>
      </c>
      <c r="N33" s="100">
        <v>2.1</v>
      </c>
      <c r="O33" s="100">
        <v>0</v>
      </c>
      <c r="P33" s="100">
        <v>0.55000000000000004</v>
      </c>
      <c r="Q33" s="100">
        <v>9.4499999999999993</v>
      </c>
      <c r="R33" s="6"/>
      <c r="S33" s="6"/>
      <c r="T33" s="156"/>
      <c r="U33" s="6"/>
    </row>
    <row r="34" spans="1:21" customFormat="1">
      <c r="A34" s="201" t="s">
        <v>2669</v>
      </c>
      <c r="B34" s="100">
        <v>20.29</v>
      </c>
      <c r="C34" s="100">
        <v>15.56</v>
      </c>
      <c r="D34" s="100">
        <v>24.41</v>
      </c>
      <c r="E34" s="100">
        <v>5.68</v>
      </c>
      <c r="F34" s="152" t="s">
        <v>15</v>
      </c>
      <c r="G34" s="100">
        <v>98.7</v>
      </c>
      <c r="H34" s="100">
        <v>49.97</v>
      </c>
      <c r="I34" s="100">
        <v>10.08</v>
      </c>
      <c r="J34" s="100">
        <v>0.31</v>
      </c>
      <c r="K34" s="100">
        <v>62.16</v>
      </c>
      <c r="L34" s="100">
        <v>7.6</v>
      </c>
      <c r="M34" s="100">
        <v>1.06</v>
      </c>
      <c r="N34" s="100">
        <v>5.0999999999999996</v>
      </c>
      <c r="O34" s="100">
        <v>0</v>
      </c>
      <c r="P34" s="100">
        <v>0.54</v>
      </c>
      <c r="Q34" s="100">
        <v>9.41</v>
      </c>
      <c r="R34" s="6"/>
      <c r="S34" s="6"/>
      <c r="T34" s="156"/>
      <c r="U34" s="6"/>
    </row>
    <row r="35" spans="1:21" customFormat="1">
      <c r="A35" s="201" t="s">
        <v>2670</v>
      </c>
      <c r="B35" s="100">
        <v>20.170000000000002</v>
      </c>
      <c r="C35" s="100">
        <v>15.54</v>
      </c>
      <c r="D35" s="100">
        <v>24.3</v>
      </c>
      <c r="E35" s="100">
        <v>5.47</v>
      </c>
      <c r="F35" s="152" t="s">
        <v>15</v>
      </c>
      <c r="G35" s="100">
        <v>99.76</v>
      </c>
      <c r="H35" s="100">
        <v>49.69</v>
      </c>
      <c r="I35" s="100">
        <v>10.029999999999999</v>
      </c>
      <c r="J35" s="100">
        <v>0.45</v>
      </c>
      <c r="K35" s="100">
        <v>61.57</v>
      </c>
      <c r="L35" s="100">
        <v>7.57</v>
      </c>
      <c r="M35" s="100">
        <v>0.81</v>
      </c>
      <c r="N35" s="100">
        <v>12.4</v>
      </c>
      <c r="O35" s="100">
        <v>0</v>
      </c>
      <c r="P35" s="100">
        <v>0.54</v>
      </c>
      <c r="Q35" s="100">
        <v>9.34</v>
      </c>
      <c r="R35" s="6"/>
      <c r="S35" s="6"/>
      <c r="T35" s="156"/>
      <c r="U35" s="6"/>
    </row>
    <row r="36" spans="1:21" customFormat="1">
      <c r="A36" s="201" t="s">
        <v>2671</v>
      </c>
      <c r="B36" s="100">
        <v>20.03</v>
      </c>
      <c r="C36" s="100">
        <v>15.63</v>
      </c>
      <c r="D36" s="100">
        <v>24.22</v>
      </c>
      <c r="E36" s="100">
        <v>5.51</v>
      </c>
      <c r="F36" s="152" t="s">
        <v>15</v>
      </c>
      <c r="G36" s="100">
        <v>99.76</v>
      </c>
      <c r="H36" s="100">
        <v>49.69</v>
      </c>
      <c r="I36" s="100">
        <v>10.01</v>
      </c>
      <c r="J36" s="100">
        <v>0.33</v>
      </c>
      <c r="K36" s="100">
        <v>59.01</v>
      </c>
      <c r="L36" s="100">
        <v>8.02</v>
      </c>
      <c r="M36" s="100">
        <v>1.66</v>
      </c>
      <c r="N36" s="100">
        <v>23.1</v>
      </c>
      <c r="O36" s="100">
        <v>0</v>
      </c>
      <c r="P36" s="100">
        <v>0.55000000000000004</v>
      </c>
      <c r="Q36" s="100">
        <v>9.35</v>
      </c>
      <c r="R36" s="6"/>
      <c r="S36" s="6"/>
      <c r="T36" s="156"/>
      <c r="U36" s="6"/>
    </row>
    <row r="37" spans="1:21" customFormat="1">
      <c r="A37" s="201" t="s">
        <v>2672</v>
      </c>
      <c r="B37" s="100">
        <v>19.98</v>
      </c>
      <c r="C37" s="100">
        <v>15.79</v>
      </c>
      <c r="D37" s="100">
        <v>24.28</v>
      </c>
      <c r="E37" s="100">
        <v>5.53</v>
      </c>
      <c r="F37" s="152" t="s">
        <v>15</v>
      </c>
      <c r="G37" s="100">
        <v>99.76</v>
      </c>
      <c r="H37" s="100">
        <v>49.69</v>
      </c>
      <c r="I37" s="100">
        <v>10.02</v>
      </c>
      <c r="J37" s="100">
        <v>0.46</v>
      </c>
      <c r="K37" s="100">
        <v>65.97</v>
      </c>
      <c r="L37" s="100">
        <v>8.2799999999999994</v>
      </c>
      <c r="M37" s="100">
        <v>2.04</v>
      </c>
      <c r="N37" s="100">
        <v>35.1</v>
      </c>
      <c r="O37" s="100">
        <v>0</v>
      </c>
      <c r="P37" s="100">
        <v>0.55000000000000004</v>
      </c>
      <c r="Q37" s="100">
        <v>9.5</v>
      </c>
      <c r="R37" s="6"/>
      <c r="S37" s="6"/>
      <c r="T37" s="156"/>
      <c r="U37" s="6"/>
    </row>
    <row r="38" spans="1:21" customFormat="1">
      <c r="A38" s="201" t="s">
        <v>2673</v>
      </c>
      <c r="B38" s="100">
        <v>19.739999999999998</v>
      </c>
      <c r="C38" s="100">
        <v>15.97</v>
      </c>
      <c r="D38" s="100">
        <v>24.17</v>
      </c>
      <c r="E38" s="100">
        <v>5.59</v>
      </c>
      <c r="F38" s="152" t="s">
        <v>15</v>
      </c>
      <c r="G38" s="100">
        <v>103.3</v>
      </c>
      <c r="H38" s="100">
        <v>51.44</v>
      </c>
      <c r="I38" s="100">
        <v>10.119999999999999</v>
      </c>
      <c r="J38" s="100">
        <v>0.49</v>
      </c>
      <c r="K38" s="100">
        <v>62.83</v>
      </c>
      <c r="L38" s="100">
        <v>8.41</v>
      </c>
      <c r="M38" s="100">
        <v>2.0499999999999998</v>
      </c>
      <c r="N38" s="100">
        <v>48.9</v>
      </c>
      <c r="O38" s="100">
        <v>0</v>
      </c>
      <c r="P38" s="100">
        <v>0.56000000000000005</v>
      </c>
      <c r="Q38" s="100">
        <v>9.74</v>
      </c>
      <c r="R38" s="6"/>
      <c r="S38" s="6"/>
      <c r="T38" s="156"/>
      <c r="U38" s="6"/>
    </row>
    <row r="39" spans="1:21" customFormat="1">
      <c r="A39" s="201" t="s">
        <v>2674</v>
      </c>
      <c r="B39" s="100">
        <v>19.510000000000002</v>
      </c>
      <c r="C39" s="100">
        <v>16.3</v>
      </c>
      <c r="D39" s="100">
        <v>24.16</v>
      </c>
      <c r="E39" s="100">
        <v>5.71</v>
      </c>
      <c r="F39" s="152" t="s">
        <v>15</v>
      </c>
      <c r="G39" s="100">
        <v>104.98</v>
      </c>
      <c r="H39" s="100">
        <v>51.62</v>
      </c>
      <c r="I39" s="100">
        <v>10.23</v>
      </c>
      <c r="J39" s="100">
        <v>0.68</v>
      </c>
      <c r="K39" s="100">
        <v>55.96</v>
      </c>
      <c r="L39" s="100">
        <v>7.54</v>
      </c>
      <c r="M39" s="100">
        <v>-0.51</v>
      </c>
      <c r="N39" s="100">
        <v>63.5</v>
      </c>
      <c r="O39" s="100">
        <v>0</v>
      </c>
      <c r="P39" s="100">
        <v>0.55000000000000004</v>
      </c>
      <c r="Q39" s="100">
        <v>9.64</v>
      </c>
      <c r="R39" s="6"/>
      <c r="S39" s="6"/>
      <c r="T39" s="156"/>
      <c r="U39" s="6"/>
    </row>
    <row r="40" spans="1:21" customFormat="1">
      <c r="A40" s="201" t="s">
        <v>2675</v>
      </c>
      <c r="B40" s="100">
        <v>19.25</v>
      </c>
      <c r="C40" s="100">
        <v>16.600000000000001</v>
      </c>
      <c r="D40" s="100">
        <v>24.11</v>
      </c>
      <c r="E40" s="100">
        <v>5.65</v>
      </c>
      <c r="F40" s="152" t="s">
        <v>15</v>
      </c>
      <c r="G40" s="100">
        <v>104.98</v>
      </c>
      <c r="H40" s="100">
        <v>51.62</v>
      </c>
      <c r="I40" s="100">
        <v>10.32</v>
      </c>
      <c r="J40" s="100">
        <v>0.87</v>
      </c>
      <c r="K40" s="100">
        <v>51.01</v>
      </c>
      <c r="L40" s="100">
        <v>7.78</v>
      </c>
      <c r="M40" s="100">
        <v>-0.74</v>
      </c>
      <c r="N40" s="100">
        <v>98</v>
      </c>
      <c r="O40" s="100">
        <v>0</v>
      </c>
      <c r="P40" s="100">
        <v>0.56000000000000005</v>
      </c>
      <c r="Q40" s="100">
        <v>9.5299999999999994</v>
      </c>
      <c r="R40" s="6"/>
      <c r="S40" s="6"/>
      <c r="T40" s="156"/>
      <c r="U40" s="6"/>
    </row>
    <row r="41" spans="1:21" customFormat="1">
      <c r="A41" s="201" t="s">
        <v>2676</v>
      </c>
      <c r="B41" s="100">
        <v>18.98</v>
      </c>
      <c r="C41" s="100">
        <v>16.600000000000001</v>
      </c>
      <c r="D41" s="100">
        <v>23.89</v>
      </c>
      <c r="E41" s="100">
        <v>5.7</v>
      </c>
      <c r="F41" s="152" t="s">
        <v>15</v>
      </c>
      <c r="G41" s="100">
        <v>104.98</v>
      </c>
      <c r="H41" s="100">
        <v>51.62</v>
      </c>
      <c r="I41" s="100">
        <v>10.41</v>
      </c>
      <c r="J41" s="100">
        <v>1.01</v>
      </c>
      <c r="K41" s="100">
        <v>40.64</v>
      </c>
      <c r="L41" s="100">
        <v>7.65</v>
      </c>
      <c r="M41" s="100">
        <v>-2</v>
      </c>
      <c r="N41" s="100">
        <v>135.6</v>
      </c>
      <c r="O41" s="100">
        <v>0</v>
      </c>
      <c r="P41" s="100">
        <v>0.56999999999999995</v>
      </c>
      <c r="Q41" s="100">
        <v>9.64</v>
      </c>
      <c r="R41" s="6"/>
      <c r="S41" s="6"/>
      <c r="T41" s="156"/>
      <c r="U41" s="6"/>
    </row>
    <row r="42" spans="1:21" customFormat="1">
      <c r="A42" s="201" t="s">
        <v>2677</v>
      </c>
      <c r="B42" s="100">
        <v>18.48</v>
      </c>
      <c r="C42" s="100">
        <v>16.63</v>
      </c>
      <c r="D42" s="100">
        <v>23.51</v>
      </c>
      <c r="E42" s="100">
        <v>5.67</v>
      </c>
      <c r="F42" s="152" t="s">
        <v>15</v>
      </c>
      <c r="G42" s="100">
        <v>106.45</v>
      </c>
      <c r="H42" s="100">
        <v>49.22</v>
      </c>
      <c r="I42" s="100">
        <v>10.52</v>
      </c>
      <c r="J42" s="100">
        <v>0.99</v>
      </c>
      <c r="K42" s="100">
        <v>41.06</v>
      </c>
      <c r="L42" s="100">
        <v>9.3800000000000008</v>
      </c>
      <c r="M42" s="100">
        <v>1.7</v>
      </c>
      <c r="N42" s="100">
        <v>164.6</v>
      </c>
      <c r="O42" s="100">
        <v>0</v>
      </c>
      <c r="P42" s="100">
        <v>0.56999999999999995</v>
      </c>
      <c r="Q42" s="100">
        <v>9.5399999999999991</v>
      </c>
      <c r="R42" s="6"/>
      <c r="S42" s="6"/>
      <c r="T42" s="156"/>
      <c r="U42" s="6"/>
    </row>
    <row r="43" spans="1:21" customFormat="1">
      <c r="A43" s="201" t="s">
        <v>2678</v>
      </c>
      <c r="B43" s="100">
        <v>17.63</v>
      </c>
      <c r="C43" s="100">
        <v>16.73</v>
      </c>
      <c r="D43" s="100">
        <v>22.88</v>
      </c>
      <c r="E43" s="100">
        <v>5.7</v>
      </c>
      <c r="F43" s="152" t="s">
        <v>15</v>
      </c>
      <c r="G43" s="100">
        <v>107.16</v>
      </c>
      <c r="H43" s="100">
        <v>48.98</v>
      </c>
      <c r="I43" s="100">
        <v>10.67</v>
      </c>
      <c r="J43" s="100">
        <v>0.22</v>
      </c>
      <c r="K43" s="100">
        <v>105.03</v>
      </c>
      <c r="L43" s="100">
        <v>14.01</v>
      </c>
      <c r="M43" s="100">
        <v>12.88</v>
      </c>
      <c r="N43" s="100">
        <v>189.4</v>
      </c>
      <c r="O43" s="100">
        <v>0</v>
      </c>
      <c r="P43" s="100">
        <v>0.56999999999999995</v>
      </c>
      <c r="Q43" s="100">
        <v>9.6</v>
      </c>
      <c r="R43" s="6"/>
      <c r="S43" s="6"/>
      <c r="T43" s="156"/>
      <c r="U43" s="6"/>
    </row>
    <row r="44" spans="1:21" customFormat="1">
      <c r="A44" s="201" t="s">
        <v>2679</v>
      </c>
      <c r="B44" s="100">
        <v>16.559999999999999</v>
      </c>
      <c r="C44" s="100">
        <v>16.87</v>
      </c>
      <c r="D44" s="100">
        <v>22.09</v>
      </c>
      <c r="E44" s="100">
        <v>5.47</v>
      </c>
      <c r="F44" s="152" t="s">
        <v>15</v>
      </c>
      <c r="G44" s="100">
        <v>107.16</v>
      </c>
      <c r="H44" s="100">
        <v>48.98</v>
      </c>
      <c r="I44" s="100">
        <v>10.76</v>
      </c>
      <c r="J44" s="100">
        <v>0.52</v>
      </c>
      <c r="K44" s="100">
        <v>70.5</v>
      </c>
      <c r="L44" s="100">
        <v>11.07</v>
      </c>
      <c r="M44" s="100">
        <v>4.78</v>
      </c>
      <c r="N44" s="100">
        <v>220.1</v>
      </c>
      <c r="O44" s="100">
        <v>0</v>
      </c>
      <c r="P44" s="100">
        <v>0.56999999999999995</v>
      </c>
      <c r="Q44" s="100">
        <v>9.9499999999999993</v>
      </c>
      <c r="R44" s="6"/>
      <c r="S44" s="6"/>
      <c r="T44" s="156"/>
      <c r="U44" s="6"/>
    </row>
    <row r="45" spans="1:21" customFormat="1">
      <c r="A45" s="201" t="s">
        <v>2680</v>
      </c>
      <c r="B45" s="100">
        <v>15.32</v>
      </c>
      <c r="C45" s="100">
        <v>16.98</v>
      </c>
      <c r="D45" s="100">
        <v>21.16</v>
      </c>
      <c r="E45" s="100">
        <v>5.23</v>
      </c>
      <c r="F45" s="152" t="s">
        <v>15</v>
      </c>
      <c r="G45" s="100">
        <v>107.16</v>
      </c>
      <c r="H45" s="100">
        <v>48.98</v>
      </c>
      <c r="I45" s="100">
        <v>10.8</v>
      </c>
      <c r="J45" s="100">
        <v>0.71</v>
      </c>
      <c r="K45" s="100">
        <v>48.61</v>
      </c>
      <c r="L45" s="100">
        <v>10.68</v>
      </c>
      <c r="M45" s="100">
        <v>4</v>
      </c>
      <c r="N45" s="100">
        <v>205.6</v>
      </c>
      <c r="O45" s="100">
        <v>0</v>
      </c>
      <c r="P45" s="100">
        <v>0.56999999999999995</v>
      </c>
      <c r="Q45" s="100">
        <v>10.210000000000001</v>
      </c>
      <c r="R45" s="6"/>
      <c r="S45" s="6"/>
      <c r="T45" s="156"/>
      <c r="U45" s="6"/>
    </row>
    <row r="46" spans="1:21" customFormat="1">
      <c r="A46" s="201" t="s">
        <v>2681</v>
      </c>
      <c r="B46" s="100">
        <v>14.07</v>
      </c>
      <c r="C46" s="100">
        <v>17.03</v>
      </c>
      <c r="D46" s="100">
        <v>20.190000000000001</v>
      </c>
      <c r="E46" s="100">
        <v>5.25</v>
      </c>
      <c r="F46" s="152" t="s">
        <v>15</v>
      </c>
      <c r="G46" s="100">
        <v>110.94</v>
      </c>
      <c r="H46" s="100">
        <v>47.8</v>
      </c>
      <c r="I46" s="100">
        <v>10.69</v>
      </c>
      <c r="J46" s="100">
        <v>0.46</v>
      </c>
      <c r="K46" s="100">
        <v>66.47</v>
      </c>
      <c r="L46" s="100">
        <v>12.17</v>
      </c>
      <c r="M46" s="100">
        <v>7.1</v>
      </c>
      <c r="N46" s="100">
        <v>237.8</v>
      </c>
      <c r="O46" s="100">
        <v>0</v>
      </c>
      <c r="P46" s="100">
        <v>0.56999999999999995</v>
      </c>
      <c r="Q46" s="100">
        <v>9.51</v>
      </c>
      <c r="R46" s="6"/>
      <c r="S46" s="6"/>
      <c r="T46" s="156"/>
      <c r="U46" s="6"/>
    </row>
    <row r="47" spans="1:21" customFormat="1">
      <c r="A47" s="201" t="s">
        <v>2682</v>
      </c>
      <c r="B47" s="100">
        <v>12.89</v>
      </c>
      <c r="C47" s="100">
        <v>17.2</v>
      </c>
      <c r="D47" s="100">
        <v>19.329999999999998</v>
      </c>
      <c r="E47" s="100">
        <v>5.39</v>
      </c>
      <c r="F47" s="152" t="s">
        <v>15</v>
      </c>
      <c r="G47" s="100">
        <v>112.74</v>
      </c>
      <c r="H47" s="100">
        <v>47.68</v>
      </c>
      <c r="I47" s="100">
        <v>10.64</v>
      </c>
      <c r="J47" s="100">
        <v>0.88</v>
      </c>
      <c r="K47" s="100">
        <v>46.21</v>
      </c>
      <c r="L47" s="100">
        <v>9.31</v>
      </c>
      <c r="M47" s="100">
        <v>0</v>
      </c>
      <c r="N47" s="100">
        <v>228.6</v>
      </c>
      <c r="O47" s="100">
        <v>0</v>
      </c>
      <c r="P47" s="100">
        <v>0.56999999999999995</v>
      </c>
      <c r="Q47" s="100">
        <v>9.4</v>
      </c>
      <c r="R47" s="6"/>
      <c r="S47" s="6"/>
      <c r="T47" s="156"/>
      <c r="U47" s="6"/>
    </row>
    <row r="48" spans="1:21" customFormat="1">
      <c r="A48" s="201" t="s">
        <v>2683</v>
      </c>
      <c r="B48" s="100">
        <v>12.03</v>
      </c>
      <c r="C48" s="100">
        <v>17.559999999999999</v>
      </c>
      <c r="D48" s="100">
        <v>18.82</v>
      </c>
      <c r="E48" s="100">
        <v>5.3</v>
      </c>
      <c r="F48" s="152" t="s">
        <v>15</v>
      </c>
      <c r="G48" s="100">
        <v>112.74</v>
      </c>
      <c r="H48" s="100">
        <v>47.68</v>
      </c>
      <c r="I48" s="100">
        <v>10.62</v>
      </c>
      <c r="J48" s="100">
        <v>0.61</v>
      </c>
      <c r="K48" s="100">
        <v>56.6</v>
      </c>
      <c r="L48" s="100">
        <v>12.47</v>
      </c>
      <c r="M48" s="100">
        <v>6.45</v>
      </c>
      <c r="N48" s="100">
        <v>293.7</v>
      </c>
      <c r="O48" s="100">
        <v>0</v>
      </c>
      <c r="P48" s="100">
        <v>0.56000000000000005</v>
      </c>
      <c r="Q48" s="100">
        <v>9.52</v>
      </c>
      <c r="R48" s="6"/>
      <c r="S48" s="6"/>
      <c r="T48" s="156"/>
      <c r="U48" s="6"/>
    </row>
    <row r="49" spans="1:21" customFormat="1">
      <c r="A49" s="201" t="s">
        <v>2684</v>
      </c>
      <c r="B49" s="100">
        <v>11.07</v>
      </c>
      <c r="C49" s="100">
        <v>17.82</v>
      </c>
      <c r="D49" s="100">
        <v>18.190000000000001</v>
      </c>
      <c r="E49" s="100">
        <v>5.03</v>
      </c>
      <c r="F49" s="152" t="s">
        <v>15</v>
      </c>
      <c r="G49" s="100">
        <v>112.74</v>
      </c>
      <c r="H49" s="100">
        <v>47.68</v>
      </c>
      <c r="I49" s="100">
        <v>10.57</v>
      </c>
      <c r="J49" s="100">
        <v>0.67</v>
      </c>
      <c r="K49" s="100">
        <v>63.32</v>
      </c>
      <c r="L49" s="100">
        <v>12.79</v>
      </c>
      <c r="M49" s="100">
        <v>5.75</v>
      </c>
      <c r="N49" s="100">
        <v>360.9</v>
      </c>
      <c r="O49" s="100">
        <v>0</v>
      </c>
      <c r="P49" s="100">
        <v>0.56000000000000005</v>
      </c>
      <c r="Q49" s="100">
        <v>9.44</v>
      </c>
      <c r="R49" s="6"/>
      <c r="S49" s="6"/>
      <c r="T49" s="156"/>
      <c r="U49" s="6"/>
    </row>
    <row r="50" spans="1:21" customFormat="1">
      <c r="A50" s="201" t="s">
        <v>2685</v>
      </c>
      <c r="B50" s="100">
        <v>9.9700000000000006</v>
      </c>
      <c r="C50" s="100">
        <v>17.96</v>
      </c>
      <c r="D50" s="100">
        <v>17.38</v>
      </c>
      <c r="E50" s="100">
        <v>5.92</v>
      </c>
      <c r="F50" s="152" t="s">
        <v>15</v>
      </c>
      <c r="G50" s="100">
        <v>97.94</v>
      </c>
      <c r="H50" s="100">
        <v>33.43</v>
      </c>
      <c r="I50" s="100">
        <v>10.61</v>
      </c>
      <c r="J50" s="100">
        <v>0.37</v>
      </c>
      <c r="K50" s="100">
        <v>93.9</v>
      </c>
      <c r="L50" s="100">
        <v>15.14</v>
      </c>
      <c r="M50" s="100">
        <v>11.12</v>
      </c>
      <c r="N50" s="100">
        <v>380.7</v>
      </c>
      <c r="O50" s="100">
        <v>0</v>
      </c>
      <c r="P50" s="100">
        <v>0.55000000000000004</v>
      </c>
      <c r="Q50" s="100">
        <v>9.32</v>
      </c>
      <c r="R50" s="6"/>
      <c r="S50" s="6"/>
      <c r="T50" s="156"/>
      <c r="U50" s="6"/>
    </row>
    <row r="51" spans="1:21" customFormat="1">
      <c r="A51" s="201" t="s">
        <v>2686</v>
      </c>
      <c r="B51" s="100">
        <v>8.86</v>
      </c>
      <c r="C51" s="100">
        <v>17.98</v>
      </c>
      <c r="D51" s="100">
        <v>16.5</v>
      </c>
      <c r="E51" s="100">
        <v>6.15</v>
      </c>
      <c r="F51" s="152" t="s">
        <v>15</v>
      </c>
      <c r="G51" s="100">
        <v>90.9</v>
      </c>
      <c r="H51" s="100">
        <v>30.99</v>
      </c>
      <c r="I51" s="100">
        <v>10.39</v>
      </c>
      <c r="J51" s="100">
        <v>0.8</v>
      </c>
      <c r="K51" s="100">
        <v>50.5</v>
      </c>
      <c r="L51" s="100">
        <v>12.44</v>
      </c>
      <c r="M51" s="100">
        <v>3.88</v>
      </c>
      <c r="N51" s="100">
        <v>396.5</v>
      </c>
      <c r="O51" s="100">
        <v>0</v>
      </c>
      <c r="P51" s="100">
        <v>0.54</v>
      </c>
      <c r="Q51" s="100">
        <v>9.32</v>
      </c>
      <c r="R51" s="6"/>
      <c r="S51" s="6"/>
      <c r="T51" s="156"/>
      <c r="U51" s="6"/>
    </row>
    <row r="52" spans="1:21" customFormat="1">
      <c r="A52" s="201" t="s">
        <v>2687</v>
      </c>
      <c r="B52" s="100">
        <v>7.79</v>
      </c>
      <c r="C52" s="100">
        <v>17.86</v>
      </c>
      <c r="D52" s="100">
        <v>15.58</v>
      </c>
      <c r="E52" s="100">
        <v>6.21</v>
      </c>
      <c r="F52" s="152" t="s">
        <v>15</v>
      </c>
      <c r="G52" s="100">
        <v>90.9</v>
      </c>
      <c r="H52" s="100">
        <v>30.99</v>
      </c>
      <c r="I52" s="100">
        <v>10.26</v>
      </c>
      <c r="J52" s="100">
        <v>0.79</v>
      </c>
      <c r="K52" s="100">
        <v>58.64</v>
      </c>
      <c r="L52" s="100">
        <v>13.18</v>
      </c>
      <c r="M52" s="100">
        <v>6.1</v>
      </c>
      <c r="N52" s="100">
        <v>383.8</v>
      </c>
      <c r="O52" s="100">
        <v>0</v>
      </c>
      <c r="P52" s="100">
        <v>0.53</v>
      </c>
      <c r="Q52" s="100">
        <v>9.32</v>
      </c>
      <c r="R52" s="6"/>
      <c r="S52" s="6"/>
      <c r="T52" s="156"/>
      <c r="U52" s="6"/>
    </row>
    <row r="53" spans="1:21" customFormat="1">
      <c r="A53" s="201" t="s">
        <v>2688</v>
      </c>
      <c r="B53" s="100">
        <v>6.87</v>
      </c>
      <c r="C53" s="100">
        <v>17.809999999999999</v>
      </c>
      <c r="D53" s="100">
        <v>14.81</v>
      </c>
      <c r="E53" s="100">
        <v>6.32</v>
      </c>
      <c r="F53" s="152" t="s">
        <v>15</v>
      </c>
      <c r="G53" s="100">
        <v>90.9</v>
      </c>
      <c r="H53" s="100">
        <v>30.99</v>
      </c>
      <c r="I53" s="100">
        <v>10.24</v>
      </c>
      <c r="J53" s="100">
        <v>0.85</v>
      </c>
      <c r="K53" s="100">
        <v>41.49</v>
      </c>
      <c r="L53" s="100">
        <v>13.69</v>
      </c>
      <c r="M53" s="100">
        <v>6.64</v>
      </c>
      <c r="N53" s="100">
        <v>411</v>
      </c>
      <c r="O53" s="100">
        <v>0</v>
      </c>
      <c r="P53" s="100">
        <v>0.52</v>
      </c>
      <c r="Q53" s="100">
        <v>9.32</v>
      </c>
      <c r="R53" s="6"/>
      <c r="S53" s="6"/>
      <c r="T53" s="156"/>
      <c r="U53" s="6"/>
    </row>
    <row r="54" spans="1:21" customFormat="1">
      <c r="A54" s="201" t="s">
        <v>2689</v>
      </c>
      <c r="B54" s="100">
        <v>6.04</v>
      </c>
      <c r="C54" s="100">
        <v>17.8</v>
      </c>
      <c r="D54" s="100">
        <v>14.14</v>
      </c>
      <c r="E54" s="100">
        <v>6.32</v>
      </c>
      <c r="F54" s="152" t="s">
        <v>15</v>
      </c>
      <c r="G54" s="100">
        <v>88.08</v>
      </c>
      <c r="H54" s="100">
        <v>30.6</v>
      </c>
      <c r="I54" s="100">
        <v>10.07</v>
      </c>
      <c r="J54" s="100">
        <v>1.39</v>
      </c>
      <c r="K54" s="100">
        <v>37.659999999999997</v>
      </c>
      <c r="L54" s="100">
        <v>12.17</v>
      </c>
      <c r="M54" s="100">
        <v>2.69</v>
      </c>
      <c r="N54" s="100">
        <v>418.7</v>
      </c>
      <c r="O54" s="100">
        <v>0</v>
      </c>
      <c r="P54" s="100">
        <v>0.52</v>
      </c>
      <c r="Q54" s="100">
        <v>9.32</v>
      </c>
      <c r="R54" s="6"/>
      <c r="S54" s="6"/>
      <c r="T54" s="156"/>
      <c r="U54" s="6"/>
    </row>
    <row r="55" spans="1:21" customFormat="1">
      <c r="A55" s="201" t="s">
        <v>2690</v>
      </c>
      <c r="B55" s="100">
        <v>5.42</v>
      </c>
      <c r="C55" s="100">
        <v>17.86</v>
      </c>
      <c r="D55" s="100">
        <v>13.68</v>
      </c>
      <c r="E55" s="100">
        <v>6.18</v>
      </c>
      <c r="F55" s="152" t="s">
        <v>15</v>
      </c>
      <c r="G55" s="100">
        <v>86.73</v>
      </c>
      <c r="H55" s="100">
        <v>30.56</v>
      </c>
      <c r="I55" s="100">
        <v>9.93</v>
      </c>
      <c r="J55" s="100">
        <v>0.79</v>
      </c>
      <c r="K55" s="100">
        <v>48.48</v>
      </c>
      <c r="L55" s="100">
        <v>13.1</v>
      </c>
      <c r="M55" s="100">
        <v>4.93</v>
      </c>
      <c r="N55" s="100">
        <v>423.2</v>
      </c>
      <c r="O55" s="100">
        <v>0</v>
      </c>
      <c r="P55" s="100">
        <v>0.51</v>
      </c>
      <c r="Q55" s="100">
        <v>9.32</v>
      </c>
      <c r="R55" s="6"/>
      <c r="S55" s="6"/>
      <c r="T55" s="156"/>
      <c r="U55" s="6"/>
    </row>
    <row r="56" spans="1:21" customFormat="1">
      <c r="A56" s="201" t="s">
        <v>2691</v>
      </c>
      <c r="B56" s="100">
        <v>4.82</v>
      </c>
      <c r="C56" s="100">
        <v>17.79</v>
      </c>
      <c r="D56" s="100">
        <v>13.16</v>
      </c>
      <c r="E56" s="100">
        <v>6.37</v>
      </c>
      <c r="F56" s="152" t="s">
        <v>15</v>
      </c>
      <c r="G56" s="100">
        <v>86.73</v>
      </c>
      <c r="H56" s="100">
        <v>30.56</v>
      </c>
      <c r="I56" s="100">
        <v>9.8699999999999992</v>
      </c>
      <c r="J56" s="100">
        <v>0.63</v>
      </c>
      <c r="K56" s="100">
        <v>70.42</v>
      </c>
      <c r="L56" s="100">
        <v>13.42</v>
      </c>
      <c r="M56" s="100">
        <v>5.78</v>
      </c>
      <c r="N56" s="100">
        <v>422.4</v>
      </c>
      <c r="O56" s="100">
        <v>0</v>
      </c>
      <c r="P56" s="100">
        <v>0.5</v>
      </c>
      <c r="Q56" s="100">
        <v>9.41</v>
      </c>
      <c r="R56" s="6"/>
      <c r="S56" s="6"/>
      <c r="T56" s="156"/>
      <c r="U56" s="6"/>
    </row>
    <row r="57" spans="1:21" customFormat="1">
      <c r="A57" s="201" t="s">
        <v>2692</v>
      </c>
      <c r="B57" s="100">
        <v>4.3</v>
      </c>
      <c r="C57" s="100">
        <v>17.57</v>
      </c>
      <c r="D57" s="100">
        <v>12.63</v>
      </c>
      <c r="E57" s="100">
        <v>6.38</v>
      </c>
      <c r="F57" s="152" t="s">
        <v>15</v>
      </c>
      <c r="G57" s="100">
        <v>86.73</v>
      </c>
      <c r="H57" s="100">
        <v>30.56</v>
      </c>
      <c r="I57" s="100">
        <v>9.8000000000000007</v>
      </c>
      <c r="J57" s="100">
        <v>0.77</v>
      </c>
      <c r="K57" s="100">
        <v>36.46</v>
      </c>
      <c r="L57" s="100">
        <v>12.79</v>
      </c>
      <c r="M57" s="100">
        <v>4.43</v>
      </c>
      <c r="N57" s="100">
        <v>410.5</v>
      </c>
      <c r="O57" s="100">
        <v>0</v>
      </c>
      <c r="P57" s="100">
        <v>0.51</v>
      </c>
      <c r="Q57" s="100">
        <v>9.58</v>
      </c>
      <c r="R57" s="6"/>
      <c r="S57" s="6"/>
      <c r="T57" s="156"/>
      <c r="U57" s="6"/>
    </row>
    <row r="58" spans="1:21" customFormat="1">
      <c r="A58" s="201" t="s">
        <v>2693</v>
      </c>
      <c r="B58" s="100">
        <v>3.97</v>
      </c>
      <c r="C58" s="100">
        <v>17.350000000000001</v>
      </c>
      <c r="D58" s="100">
        <v>12.25</v>
      </c>
      <c r="E58" s="100">
        <v>6.66</v>
      </c>
      <c r="F58" s="152" t="s">
        <v>15</v>
      </c>
      <c r="G58" s="100">
        <v>87.81</v>
      </c>
      <c r="H58" s="100">
        <v>30.17</v>
      </c>
      <c r="I58" s="100">
        <v>9.64</v>
      </c>
      <c r="J58" s="100">
        <v>0.97</v>
      </c>
      <c r="K58" s="100">
        <v>38.76</v>
      </c>
      <c r="L58" s="100">
        <v>13.81</v>
      </c>
      <c r="M58" s="100">
        <v>6.97</v>
      </c>
      <c r="N58" s="100">
        <v>409.9</v>
      </c>
      <c r="O58" s="100">
        <v>0</v>
      </c>
      <c r="P58" s="100">
        <v>0.5</v>
      </c>
      <c r="Q58" s="100">
        <v>9.69</v>
      </c>
      <c r="R58" s="6"/>
      <c r="S58" s="6"/>
      <c r="T58" s="156"/>
      <c r="U58" s="6"/>
    </row>
    <row r="59" spans="1:21" customFormat="1">
      <c r="A59" s="201" t="s">
        <v>2694</v>
      </c>
      <c r="B59" s="100">
        <v>3.73</v>
      </c>
      <c r="C59" s="100">
        <v>17.09</v>
      </c>
      <c r="D59" s="100">
        <v>11.92</v>
      </c>
      <c r="E59" s="100">
        <v>6.99</v>
      </c>
      <c r="F59" s="152" t="s">
        <v>15</v>
      </c>
      <c r="G59" s="100">
        <v>88.32</v>
      </c>
      <c r="H59" s="100">
        <v>30.13</v>
      </c>
      <c r="I59" s="100">
        <v>9.49</v>
      </c>
      <c r="J59" s="100">
        <v>0.42</v>
      </c>
      <c r="K59" s="100">
        <v>38.53</v>
      </c>
      <c r="L59" s="100">
        <v>16.21</v>
      </c>
      <c r="M59" s="100">
        <v>13.62</v>
      </c>
      <c r="N59" s="100">
        <v>387.8</v>
      </c>
      <c r="O59" s="100">
        <v>0</v>
      </c>
      <c r="P59" s="100">
        <v>0.5</v>
      </c>
      <c r="Q59" s="100">
        <v>9.85</v>
      </c>
      <c r="R59" s="6"/>
      <c r="S59" s="6"/>
      <c r="T59" s="156"/>
      <c r="U59" s="6"/>
    </row>
    <row r="60" spans="1:21" customFormat="1">
      <c r="A60" s="201" t="s">
        <v>2695</v>
      </c>
      <c r="B60" s="100">
        <v>3.54</v>
      </c>
      <c r="C60" s="100">
        <v>16.77</v>
      </c>
      <c r="D60" s="100">
        <v>11.6</v>
      </c>
      <c r="E60" s="100">
        <v>6.55</v>
      </c>
      <c r="F60" s="152" t="s">
        <v>15</v>
      </c>
      <c r="G60" s="100">
        <v>88.32</v>
      </c>
      <c r="H60" s="100">
        <v>30.13</v>
      </c>
      <c r="I60" s="100">
        <v>9.3800000000000008</v>
      </c>
      <c r="J60" s="100">
        <v>0.66</v>
      </c>
      <c r="K60" s="100">
        <v>47.02</v>
      </c>
      <c r="L60" s="100">
        <v>12.87</v>
      </c>
      <c r="M60" s="100">
        <v>5.62</v>
      </c>
      <c r="N60" s="100">
        <v>371.9</v>
      </c>
      <c r="O60" s="100">
        <v>0</v>
      </c>
      <c r="P60" s="100">
        <v>0.49</v>
      </c>
      <c r="Q60" s="100">
        <v>9.75</v>
      </c>
      <c r="R60" s="6"/>
      <c r="S60" s="6"/>
      <c r="T60" s="156"/>
      <c r="U60" s="6"/>
    </row>
    <row r="61" spans="1:21" customFormat="1">
      <c r="A61" s="201" t="s">
        <v>2696</v>
      </c>
      <c r="B61" s="100">
        <v>3.45</v>
      </c>
      <c r="C61" s="100">
        <v>16.350000000000001</v>
      </c>
      <c r="D61" s="100">
        <v>11.31</v>
      </c>
      <c r="E61" s="100">
        <v>6.83</v>
      </c>
      <c r="F61" s="152" t="s">
        <v>15</v>
      </c>
      <c r="G61" s="100">
        <v>88.32</v>
      </c>
      <c r="H61" s="100">
        <v>30.13</v>
      </c>
      <c r="I61" s="100">
        <v>9.3000000000000007</v>
      </c>
      <c r="J61" s="100">
        <v>0.97</v>
      </c>
      <c r="K61" s="100">
        <v>43.32</v>
      </c>
      <c r="L61" s="100">
        <v>11.48</v>
      </c>
      <c r="M61" s="100">
        <v>2.48</v>
      </c>
      <c r="N61" s="100">
        <v>355</v>
      </c>
      <c r="O61" s="100">
        <v>0</v>
      </c>
      <c r="P61" s="100">
        <v>0.49</v>
      </c>
      <c r="Q61" s="100">
        <v>9.77</v>
      </c>
      <c r="R61" s="6"/>
      <c r="S61" s="6"/>
      <c r="T61" s="156"/>
      <c r="U61" s="6"/>
    </row>
    <row r="62" spans="1:21" customFormat="1">
      <c r="A62" s="201" t="s">
        <v>2697</v>
      </c>
      <c r="B62" s="100">
        <v>3.45</v>
      </c>
      <c r="C62" s="100">
        <v>16.47</v>
      </c>
      <c r="D62" s="100">
        <v>11.37</v>
      </c>
      <c r="E62" s="100">
        <v>7.72</v>
      </c>
      <c r="F62" s="152" t="s">
        <v>15</v>
      </c>
      <c r="G62" s="100">
        <v>87.25</v>
      </c>
      <c r="H62" s="100">
        <v>28.4</v>
      </c>
      <c r="I62" s="100">
        <v>9.2200000000000006</v>
      </c>
      <c r="J62" s="100">
        <v>0.86</v>
      </c>
      <c r="K62" s="100">
        <v>39.340000000000003</v>
      </c>
      <c r="L62" s="100">
        <v>13.12</v>
      </c>
      <c r="M62" s="100">
        <v>10.59</v>
      </c>
      <c r="N62" s="100">
        <v>212.4</v>
      </c>
      <c r="O62" s="100">
        <v>0</v>
      </c>
      <c r="P62" s="100">
        <v>0.5</v>
      </c>
      <c r="Q62" s="100">
        <v>9.6199999999999992</v>
      </c>
      <c r="R62" s="6"/>
      <c r="S62" s="6"/>
      <c r="T62" s="156"/>
      <c r="U62" s="6"/>
    </row>
    <row r="63" spans="1:21" customFormat="1">
      <c r="A63" s="201" t="s">
        <v>2698</v>
      </c>
      <c r="B63" s="100">
        <v>3.59</v>
      </c>
      <c r="C63" s="100">
        <v>16.27</v>
      </c>
      <c r="D63" s="100">
        <v>11.38</v>
      </c>
      <c r="E63" s="100">
        <v>7.85</v>
      </c>
      <c r="F63" s="152" t="s">
        <v>15</v>
      </c>
      <c r="G63" s="100">
        <v>86.74</v>
      </c>
      <c r="H63" s="100">
        <v>28.22</v>
      </c>
      <c r="I63" s="100">
        <v>9.11</v>
      </c>
      <c r="J63" s="100">
        <v>0.84</v>
      </c>
      <c r="K63" s="100">
        <v>34.840000000000003</v>
      </c>
      <c r="L63" s="100">
        <v>12.16</v>
      </c>
      <c r="M63" s="100">
        <v>8.1300000000000008</v>
      </c>
      <c r="N63" s="100">
        <v>179.6</v>
      </c>
      <c r="O63" s="100">
        <v>0</v>
      </c>
      <c r="P63" s="100">
        <v>0.51</v>
      </c>
      <c r="Q63" s="100">
        <v>9.56</v>
      </c>
      <c r="R63" s="6"/>
      <c r="S63" s="6"/>
      <c r="T63" s="156"/>
      <c r="U63" s="6"/>
    </row>
    <row r="64" spans="1:21" customFormat="1">
      <c r="A64" s="201" t="s">
        <v>2699</v>
      </c>
      <c r="B64" s="100">
        <v>3.63</v>
      </c>
      <c r="C64" s="100">
        <v>15.52</v>
      </c>
      <c r="D64" s="100">
        <v>11.02</v>
      </c>
      <c r="E64" s="100">
        <v>7.78</v>
      </c>
      <c r="F64" s="152" t="s">
        <v>15</v>
      </c>
      <c r="G64" s="100">
        <v>86.74</v>
      </c>
      <c r="H64" s="100">
        <v>28.22</v>
      </c>
      <c r="I64" s="100">
        <v>8.9499999999999993</v>
      </c>
      <c r="J64" s="100">
        <v>0.68</v>
      </c>
      <c r="K64" s="100">
        <v>28.96</v>
      </c>
      <c r="L64" s="100">
        <v>12.59</v>
      </c>
      <c r="M64" s="100">
        <v>9.8000000000000007</v>
      </c>
      <c r="N64" s="100">
        <v>151</v>
      </c>
      <c r="O64" s="100">
        <v>0</v>
      </c>
      <c r="P64" s="100">
        <v>0.51</v>
      </c>
      <c r="Q64" s="100">
        <v>9.3800000000000008</v>
      </c>
      <c r="R64" s="6"/>
      <c r="S64" s="6"/>
      <c r="T64" s="156"/>
      <c r="U64" s="6"/>
    </row>
    <row r="65" spans="1:21" customFormat="1">
      <c r="A65" s="201" t="s">
        <v>2700</v>
      </c>
      <c r="B65" s="100">
        <v>3.62</v>
      </c>
      <c r="C65" s="100">
        <v>15.27</v>
      </c>
      <c r="D65" s="100">
        <v>10.88</v>
      </c>
      <c r="E65" s="100">
        <v>8.98</v>
      </c>
      <c r="F65" s="152" t="s">
        <v>15</v>
      </c>
      <c r="G65" s="100">
        <v>86.74</v>
      </c>
      <c r="H65" s="100">
        <v>28.22</v>
      </c>
      <c r="I65" s="100">
        <v>8.86</v>
      </c>
      <c r="J65" s="100">
        <v>0.91</v>
      </c>
      <c r="K65" s="100">
        <v>43.32</v>
      </c>
      <c r="L65" s="100">
        <v>9.5399999999999991</v>
      </c>
      <c r="M65" s="100">
        <v>2.58</v>
      </c>
      <c r="N65" s="100">
        <v>139</v>
      </c>
      <c r="O65" s="100">
        <v>0</v>
      </c>
      <c r="P65" s="100">
        <v>0.47</v>
      </c>
      <c r="Q65" s="100">
        <v>9.3800000000000008</v>
      </c>
      <c r="R65" s="6"/>
      <c r="S65" s="6"/>
      <c r="T65" s="156"/>
      <c r="U65" s="6"/>
    </row>
    <row r="66" spans="1:21" customFormat="1">
      <c r="A66" s="201" t="s">
        <v>2701</v>
      </c>
      <c r="B66" s="100">
        <v>3.66</v>
      </c>
      <c r="C66" s="100">
        <v>15.06</v>
      </c>
      <c r="D66" s="100">
        <v>10.8</v>
      </c>
      <c r="E66" s="100">
        <v>8.7200000000000006</v>
      </c>
      <c r="F66" s="152" t="s">
        <v>15</v>
      </c>
      <c r="G66" s="100">
        <v>83.69</v>
      </c>
      <c r="H66" s="100">
        <v>28.85</v>
      </c>
      <c r="I66" s="100">
        <v>8.82</v>
      </c>
      <c r="J66" s="100">
        <v>0.51</v>
      </c>
      <c r="K66" s="100">
        <v>43.54</v>
      </c>
      <c r="L66" s="100">
        <v>13.69</v>
      </c>
      <c r="M66" s="100">
        <v>13.21</v>
      </c>
      <c r="N66" s="100">
        <v>126.5</v>
      </c>
      <c r="O66" s="100">
        <v>0</v>
      </c>
      <c r="P66" s="100">
        <v>0.5</v>
      </c>
      <c r="Q66" s="100">
        <v>9.32</v>
      </c>
      <c r="R66" s="6"/>
      <c r="S66" s="6"/>
      <c r="T66" s="156"/>
      <c r="U66" s="6"/>
    </row>
    <row r="67" spans="1:21" customFormat="1">
      <c r="A67" s="201" t="s">
        <v>2702</v>
      </c>
      <c r="B67" s="100">
        <v>3.58</v>
      </c>
      <c r="C67" s="100">
        <v>14.66</v>
      </c>
      <c r="D67" s="100">
        <v>10.53</v>
      </c>
      <c r="E67" s="100">
        <v>7.99</v>
      </c>
      <c r="F67" s="152" t="s">
        <v>15</v>
      </c>
      <c r="G67" s="100">
        <v>82.23</v>
      </c>
      <c r="H67" s="100">
        <v>28.91</v>
      </c>
      <c r="I67" s="100">
        <v>8.77</v>
      </c>
      <c r="J67" s="100">
        <v>0.21</v>
      </c>
      <c r="K67" s="100">
        <v>95.27</v>
      </c>
      <c r="L67" s="100">
        <v>14.62</v>
      </c>
      <c r="M67" s="100">
        <v>15.72</v>
      </c>
      <c r="N67" s="100">
        <v>127.9</v>
      </c>
      <c r="O67" s="100">
        <v>0</v>
      </c>
      <c r="P67" s="100">
        <v>0.49</v>
      </c>
      <c r="Q67" s="100">
        <v>9.32</v>
      </c>
      <c r="R67" s="6"/>
      <c r="S67" s="6"/>
      <c r="T67" s="156"/>
      <c r="U67" s="6"/>
    </row>
    <row r="68" spans="1:21" customFormat="1">
      <c r="A68" s="201" t="s">
        <v>2703</v>
      </c>
      <c r="B68" s="100">
        <v>3.58</v>
      </c>
      <c r="C68" s="100">
        <v>14.31</v>
      </c>
      <c r="D68" s="100">
        <v>10.35</v>
      </c>
      <c r="E68" s="100">
        <v>8.66</v>
      </c>
      <c r="F68" s="152" t="s">
        <v>15</v>
      </c>
      <c r="G68" s="100">
        <v>82.23</v>
      </c>
      <c r="H68" s="100">
        <v>28.91</v>
      </c>
      <c r="I68" s="100">
        <v>8.6999999999999993</v>
      </c>
      <c r="J68" s="100">
        <v>0.73</v>
      </c>
      <c r="K68" s="100">
        <v>38.57</v>
      </c>
      <c r="L68" s="100">
        <v>11.86</v>
      </c>
      <c r="M68" s="100">
        <v>9.3000000000000007</v>
      </c>
      <c r="N68" s="100">
        <v>99.2</v>
      </c>
      <c r="O68" s="100">
        <v>0</v>
      </c>
      <c r="P68" s="100">
        <v>0.5</v>
      </c>
      <c r="Q68" s="100">
        <v>9.6199999999999992</v>
      </c>
      <c r="R68" s="6"/>
      <c r="S68" s="6"/>
      <c r="T68" s="156"/>
      <c r="U68" s="6"/>
    </row>
    <row r="69" spans="1:21" customFormat="1">
      <c r="A69" s="201" t="s">
        <v>2704</v>
      </c>
      <c r="B69" s="100">
        <v>3.78</v>
      </c>
      <c r="C69" s="100">
        <v>14.88</v>
      </c>
      <c r="D69" s="100">
        <v>10.81</v>
      </c>
      <c r="E69" s="100">
        <v>9.14</v>
      </c>
      <c r="F69" s="152" t="s">
        <v>15</v>
      </c>
      <c r="G69" s="100">
        <v>82.23</v>
      </c>
      <c r="H69" s="100">
        <v>28.91</v>
      </c>
      <c r="I69" s="100">
        <v>8.6199999999999992</v>
      </c>
      <c r="J69" s="100">
        <v>0.59</v>
      </c>
      <c r="K69" s="100">
        <v>33.67</v>
      </c>
      <c r="L69" s="100">
        <v>10.93</v>
      </c>
      <c r="M69" s="100">
        <v>7.22</v>
      </c>
      <c r="N69" s="100">
        <v>87.5</v>
      </c>
      <c r="O69" s="100">
        <v>0</v>
      </c>
      <c r="P69" s="100">
        <v>0.49</v>
      </c>
      <c r="Q69" s="100">
        <v>9.61</v>
      </c>
      <c r="R69" s="6"/>
      <c r="S69" s="6"/>
      <c r="T69" s="156"/>
      <c r="U69" s="6"/>
    </row>
    <row r="70" spans="1:21" customFormat="1">
      <c r="A70" s="201" t="s">
        <v>2705</v>
      </c>
      <c r="B70" s="100">
        <v>3.67</v>
      </c>
      <c r="C70" s="100">
        <v>15.26</v>
      </c>
      <c r="D70" s="100">
        <v>10.91</v>
      </c>
      <c r="E70" s="100">
        <v>10.08</v>
      </c>
      <c r="F70" s="152" t="s">
        <v>15</v>
      </c>
      <c r="G70" s="100">
        <v>80.62</v>
      </c>
      <c r="H70" s="100">
        <v>28.72</v>
      </c>
      <c r="I70" s="100">
        <v>8.57</v>
      </c>
      <c r="J70" s="100">
        <v>0.82</v>
      </c>
      <c r="K70" s="100">
        <v>38.200000000000003</v>
      </c>
      <c r="L70" s="100">
        <v>10.39</v>
      </c>
      <c r="M70" s="100">
        <v>6.17</v>
      </c>
      <c r="N70" s="100">
        <v>77.099999999999994</v>
      </c>
      <c r="O70" s="100">
        <v>0</v>
      </c>
      <c r="P70" s="100">
        <v>0.5</v>
      </c>
      <c r="Q70" s="100">
        <v>9.34</v>
      </c>
      <c r="R70" s="6"/>
      <c r="S70" s="6"/>
      <c r="T70" s="156"/>
      <c r="U70" s="6"/>
    </row>
    <row r="71" spans="1:21" customFormat="1">
      <c r="A71" s="201" t="s">
        <v>2706</v>
      </c>
      <c r="B71" s="100">
        <v>3.56</v>
      </c>
      <c r="C71" s="100">
        <v>14.59</v>
      </c>
      <c r="D71" s="100">
        <v>10.48</v>
      </c>
      <c r="E71" s="100">
        <v>4.63</v>
      </c>
      <c r="F71" s="152" t="s">
        <v>15</v>
      </c>
      <c r="G71" s="100">
        <v>79.849999999999994</v>
      </c>
      <c r="H71" s="100">
        <v>28.7</v>
      </c>
      <c r="I71" s="100">
        <v>8.57</v>
      </c>
      <c r="J71" s="100">
        <v>0.43</v>
      </c>
      <c r="K71" s="100">
        <v>67.239999999999995</v>
      </c>
      <c r="L71" s="100">
        <v>10.130000000000001</v>
      </c>
      <c r="M71" s="100">
        <v>5.92</v>
      </c>
      <c r="N71" s="100">
        <v>65.3</v>
      </c>
      <c r="O71" s="100">
        <v>0</v>
      </c>
      <c r="P71" s="100">
        <v>0.5</v>
      </c>
      <c r="Q71" s="100">
        <v>9.39</v>
      </c>
      <c r="R71" s="6"/>
      <c r="S71" s="6"/>
      <c r="T71" s="156"/>
      <c r="U71" s="6"/>
    </row>
    <row r="72" spans="1:21" customFormat="1">
      <c r="A72" s="201" t="s">
        <v>2707</v>
      </c>
      <c r="B72" s="100">
        <v>3.56</v>
      </c>
      <c r="C72" s="100">
        <v>14.55</v>
      </c>
      <c r="D72" s="100">
        <v>10.45</v>
      </c>
      <c r="E72" s="100">
        <v>8.39</v>
      </c>
      <c r="F72" s="152" t="s">
        <v>15</v>
      </c>
      <c r="G72" s="100">
        <v>79.849999999999994</v>
      </c>
      <c r="H72" s="100">
        <v>28.7</v>
      </c>
      <c r="I72" s="100">
        <v>8.64</v>
      </c>
      <c r="J72" s="100">
        <v>0.38</v>
      </c>
      <c r="K72" s="100">
        <v>58.28</v>
      </c>
      <c r="L72" s="100">
        <v>8.77</v>
      </c>
      <c r="M72" s="100">
        <v>2.71</v>
      </c>
      <c r="N72" s="100">
        <v>54.6</v>
      </c>
      <c r="O72" s="100">
        <v>0</v>
      </c>
      <c r="P72" s="100">
        <v>0.5</v>
      </c>
      <c r="Q72" s="100">
        <v>9.5</v>
      </c>
      <c r="R72" s="6"/>
      <c r="S72" s="6"/>
      <c r="T72" s="156"/>
      <c r="U72" s="6"/>
    </row>
    <row r="73" spans="1:21" customFormat="1">
      <c r="A73" s="201" t="s">
        <v>2708</v>
      </c>
      <c r="B73" s="100">
        <v>3.64</v>
      </c>
      <c r="C73" s="100">
        <v>15.02</v>
      </c>
      <c r="D73" s="100">
        <v>10.77</v>
      </c>
      <c r="E73" s="100">
        <v>9.06</v>
      </c>
      <c r="F73" s="152" t="s">
        <v>15</v>
      </c>
      <c r="G73" s="100">
        <v>79.849999999999994</v>
      </c>
      <c r="H73" s="100">
        <v>28.7</v>
      </c>
      <c r="I73" s="100">
        <v>8.66</v>
      </c>
      <c r="J73" s="100">
        <v>0.49</v>
      </c>
      <c r="K73" s="100">
        <v>57.1</v>
      </c>
      <c r="L73" s="100">
        <v>9.02</v>
      </c>
      <c r="M73" s="100">
        <v>3.63</v>
      </c>
      <c r="N73" s="100">
        <v>42.7</v>
      </c>
      <c r="O73" s="100">
        <v>0</v>
      </c>
      <c r="P73" s="100">
        <v>0.5</v>
      </c>
      <c r="Q73" s="100">
        <v>9.56</v>
      </c>
      <c r="R73" s="6"/>
      <c r="S73" s="6"/>
      <c r="T73" s="156"/>
      <c r="U73" s="6"/>
    </row>
    <row r="74" spans="1:21" customFormat="1">
      <c r="A74" s="201" t="s">
        <v>2709</v>
      </c>
      <c r="B74" s="100">
        <v>3.69</v>
      </c>
      <c r="C74" s="100">
        <v>15.24</v>
      </c>
      <c r="D74" s="100">
        <v>10.92</v>
      </c>
      <c r="E74" s="100">
        <v>9.5</v>
      </c>
      <c r="F74" s="152" t="s">
        <v>15</v>
      </c>
      <c r="G74" s="100">
        <v>82.8</v>
      </c>
      <c r="H74" s="100">
        <v>28.96</v>
      </c>
      <c r="I74" s="100">
        <v>8.67</v>
      </c>
      <c r="J74" s="100">
        <v>0.25</v>
      </c>
      <c r="K74" s="100">
        <v>76.56</v>
      </c>
      <c r="L74" s="100">
        <v>10.76</v>
      </c>
      <c r="M74" s="100">
        <v>8.3000000000000007</v>
      </c>
      <c r="N74" s="100">
        <v>32.5</v>
      </c>
      <c r="O74" s="100">
        <v>0</v>
      </c>
      <c r="P74" s="100">
        <v>0.51</v>
      </c>
      <c r="Q74" s="100">
        <v>9.43</v>
      </c>
      <c r="R74" s="6"/>
      <c r="S74" s="6"/>
      <c r="T74" s="156"/>
      <c r="U74" s="6"/>
    </row>
    <row r="75" spans="1:21" customFormat="1">
      <c r="A75" s="201" t="s">
        <v>2710</v>
      </c>
      <c r="B75" s="100">
        <v>3.76</v>
      </c>
      <c r="C75" s="100">
        <v>15.02</v>
      </c>
      <c r="D75" s="100">
        <v>10.86</v>
      </c>
      <c r="E75" s="100">
        <v>9.23</v>
      </c>
      <c r="F75" s="152" t="s">
        <v>15</v>
      </c>
      <c r="G75" s="100">
        <v>84.2</v>
      </c>
      <c r="H75" s="100">
        <v>29.06</v>
      </c>
      <c r="I75" s="100">
        <v>8.69</v>
      </c>
      <c r="J75" s="100">
        <v>0.27</v>
      </c>
      <c r="K75" s="100">
        <v>78.34</v>
      </c>
      <c r="L75" s="100">
        <v>10.93</v>
      </c>
      <c r="M75" s="100">
        <v>8.9700000000000006</v>
      </c>
      <c r="N75" s="100">
        <v>22.1</v>
      </c>
      <c r="O75" s="100">
        <v>0</v>
      </c>
      <c r="P75" s="100">
        <v>0.51</v>
      </c>
      <c r="Q75" s="100">
        <v>9.32</v>
      </c>
      <c r="R75" s="6"/>
      <c r="S75" s="6"/>
      <c r="T75" s="156"/>
      <c r="U75" s="6"/>
    </row>
    <row r="76" spans="1:21" customFormat="1">
      <c r="A76" s="201" t="s">
        <v>2711</v>
      </c>
      <c r="B76" s="100">
        <v>3.81</v>
      </c>
      <c r="C76" s="100">
        <v>15.18</v>
      </c>
      <c r="D76" s="100">
        <v>10.99</v>
      </c>
      <c r="E76" s="100">
        <v>8.19</v>
      </c>
      <c r="F76" s="152" t="s">
        <v>15</v>
      </c>
      <c r="G76" s="100">
        <v>84.2</v>
      </c>
      <c r="H76" s="100">
        <v>29.06</v>
      </c>
      <c r="I76" s="100">
        <v>8.67</v>
      </c>
      <c r="J76" s="100">
        <v>0.15</v>
      </c>
      <c r="K76" s="100">
        <v>136.63999999999999</v>
      </c>
      <c r="L76" s="100">
        <v>13.46</v>
      </c>
      <c r="M76" s="100">
        <v>15.66</v>
      </c>
      <c r="N76" s="100">
        <v>13.1</v>
      </c>
      <c r="O76" s="100">
        <v>0</v>
      </c>
      <c r="P76" s="100">
        <v>0.52</v>
      </c>
      <c r="Q76" s="100">
        <v>9.33</v>
      </c>
      <c r="R76" s="6"/>
      <c r="S76" s="6"/>
      <c r="T76" s="156"/>
      <c r="U76" s="6"/>
    </row>
    <row r="77" spans="1:21" customFormat="1">
      <c r="A77" s="201" t="s">
        <v>2712</v>
      </c>
      <c r="B77" s="100">
        <v>3.88</v>
      </c>
      <c r="C77" s="100">
        <v>15.23</v>
      </c>
      <c r="D77" s="100">
        <v>11.06</v>
      </c>
      <c r="E77" s="100">
        <v>8.08</v>
      </c>
      <c r="F77" s="152" t="s">
        <v>15</v>
      </c>
      <c r="G77" s="100">
        <v>84.2</v>
      </c>
      <c r="H77" s="100">
        <v>29.06</v>
      </c>
      <c r="I77" s="100">
        <v>8.6999999999999993</v>
      </c>
      <c r="J77" s="100">
        <v>0.14000000000000001</v>
      </c>
      <c r="K77" s="100">
        <v>138.79</v>
      </c>
      <c r="L77" s="100">
        <v>13.56</v>
      </c>
      <c r="M77" s="100">
        <v>16.12</v>
      </c>
      <c r="N77" s="100">
        <v>6.4</v>
      </c>
      <c r="O77" s="100">
        <v>0</v>
      </c>
      <c r="P77" s="100">
        <v>0.52</v>
      </c>
      <c r="Q77" s="100">
        <v>9.51</v>
      </c>
      <c r="R77" s="6"/>
      <c r="S77" s="6"/>
      <c r="T77" s="156"/>
      <c r="U77" s="6"/>
    </row>
    <row r="78" spans="1:21" customFormat="1">
      <c r="A78" s="201" t="s">
        <v>2713</v>
      </c>
      <c r="B78" s="100">
        <v>4.07</v>
      </c>
      <c r="C78" s="100">
        <v>17.34</v>
      </c>
      <c r="D78" s="100">
        <v>12.32</v>
      </c>
      <c r="E78" s="100">
        <v>7.59</v>
      </c>
      <c r="F78" s="152" t="s">
        <v>15</v>
      </c>
      <c r="G78" s="100">
        <v>88.31</v>
      </c>
      <c r="H78" s="100">
        <v>29.34</v>
      </c>
      <c r="I78" s="100">
        <v>8.7200000000000006</v>
      </c>
      <c r="J78" s="100">
        <v>0.14000000000000001</v>
      </c>
      <c r="K78" s="100">
        <v>134.04</v>
      </c>
      <c r="L78" s="100">
        <v>13.81</v>
      </c>
      <c r="M78" s="100">
        <v>16.72</v>
      </c>
      <c r="N78" s="100">
        <v>3.1</v>
      </c>
      <c r="O78" s="100">
        <v>0</v>
      </c>
      <c r="P78" s="100">
        <v>0.53</v>
      </c>
      <c r="Q78" s="100">
        <v>9.52</v>
      </c>
      <c r="R78" s="6"/>
      <c r="S78" s="6"/>
      <c r="T78" s="156"/>
      <c r="U78" s="6"/>
    </row>
    <row r="79" spans="1:21" customFormat="1">
      <c r="A79" s="201" t="s">
        <v>2714</v>
      </c>
      <c r="B79" s="100">
        <v>4.1900000000000004</v>
      </c>
      <c r="C79" s="100">
        <v>15.53</v>
      </c>
      <c r="D79" s="100">
        <v>11.47</v>
      </c>
      <c r="E79" s="100">
        <v>7.01</v>
      </c>
      <c r="F79" s="152" t="s">
        <v>15</v>
      </c>
      <c r="G79" s="100">
        <v>90.26</v>
      </c>
      <c r="H79" s="100">
        <v>29.37</v>
      </c>
      <c r="I79" s="100">
        <v>8.77</v>
      </c>
      <c r="J79" s="100">
        <v>0.19</v>
      </c>
      <c r="K79" s="100">
        <v>149.07</v>
      </c>
      <c r="L79" s="100">
        <v>14.28</v>
      </c>
      <c r="M79" s="100">
        <v>17.96</v>
      </c>
      <c r="N79" s="100">
        <v>2.2999999999999998</v>
      </c>
      <c r="O79" s="100">
        <v>0</v>
      </c>
      <c r="P79" s="100">
        <v>0.53</v>
      </c>
      <c r="Q79" s="100">
        <v>9.6</v>
      </c>
      <c r="R79" s="6"/>
      <c r="S79" s="6"/>
      <c r="T79" s="156"/>
      <c r="U79" s="6"/>
    </row>
    <row r="80" spans="1:21" customFormat="1">
      <c r="A80" s="201" t="s">
        <v>2715</v>
      </c>
      <c r="B80" s="100">
        <v>4.3600000000000003</v>
      </c>
      <c r="C80" s="100">
        <v>15.18</v>
      </c>
      <c r="D80" s="100">
        <v>11.43</v>
      </c>
      <c r="E80" s="100">
        <v>7.02</v>
      </c>
      <c r="F80" s="152" t="s">
        <v>15</v>
      </c>
      <c r="G80" s="100">
        <v>90.26</v>
      </c>
      <c r="H80" s="100">
        <v>29.37</v>
      </c>
      <c r="I80" s="100">
        <v>8.83</v>
      </c>
      <c r="J80" s="100">
        <v>0.17</v>
      </c>
      <c r="K80" s="100">
        <v>164.57</v>
      </c>
      <c r="L80" s="100">
        <v>15.62</v>
      </c>
      <c r="M80" s="100">
        <v>21.38</v>
      </c>
      <c r="N80" s="100">
        <v>2.1</v>
      </c>
      <c r="O80" s="100">
        <v>0</v>
      </c>
      <c r="P80" s="100">
        <v>0.54</v>
      </c>
      <c r="Q80" s="100">
        <v>9.65</v>
      </c>
      <c r="R80" s="6"/>
      <c r="S80" s="6"/>
      <c r="T80" s="156"/>
      <c r="U80" s="6"/>
    </row>
    <row r="81" spans="1:21" customFormat="1">
      <c r="A81" s="201" t="s">
        <v>2716</v>
      </c>
      <c r="B81" s="100">
        <v>4.59</v>
      </c>
      <c r="C81" s="100">
        <v>15.04</v>
      </c>
      <c r="D81" s="100">
        <v>11.54</v>
      </c>
      <c r="E81" s="100">
        <v>6.39</v>
      </c>
      <c r="F81" s="152" t="s">
        <v>15</v>
      </c>
      <c r="G81" s="100">
        <v>90.26</v>
      </c>
      <c r="H81" s="100">
        <v>29.37</v>
      </c>
      <c r="I81" s="100">
        <v>8.92</v>
      </c>
      <c r="J81" s="100">
        <v>0.2</v>
      </c>
      <c r="K81" s="100">
        <v>154.94999999999999</v>
      </c>
      <c r="L81" s="100">
        <v>14.63</v>
      </c>
      <c r="M81" s="100">
        <v>18.91</v>
      </c>
      <c r="N81" s="100">
        <v>2</v>
      </c>
      <c r="O81" s="100">
        <v>0</v>
      </c>
      <c r="P81" s="100">
        <v>0.55000000000000004</v>
      </c>
      <c r="Q81" s="100">
        <v>9.59</v>
      </c>
      <c r="R81" s="6"/>
      <c r="S81" s="6"/>
      <c r="T81" s="156"/>
      <c r="U81" s="6"/>
    </row>
    <row r="82" spans="1:21" customFormat="1">
      <c r="A82" s="201" t="s">
        <v>2717</v>
      </c>
      <c r="B82" s="100">
        <v>4.7300000000000004</v>
      </c>
      <c r="C82" s="100">
        <v>15.28</v>
      </c>
      <c r="D82" s="100">
        <v>11.78</v>
      </c>
      <c r="E82" s="100">
        <v>7.57</v>
      </c>
      <c r="F82" s="152" t="s">
        <v>15</v>
      </c>
      <c r="G82" s="100">
        <v>165.56</v>
      </c>
      <c r="H82" s="100">
        <v>34.79</v>
      </c>
      <c r="I82" s="100">
        <v>9.0299999999999994</v>
      </c>
      <c r="J82" s="100">
        <v>0.12</v>
      </c>
      <c r="K82" s="100">
        <v>147.47</v>
      </c>
      <c r="L82" s="100">
        <v>14.31</v>
      </c>
      <c r="M82" s="100">
        <v>18.09</v>
      </c>
      <c r="N82" s="100">
        <v>1.6</v>
      </c>
      <c r="O82" s="100">
        <v>0</v>
      </c>
      <c r="P82" s="100">
        <v>0.56999999999999995</v>
      </c>
      <c r="Q82" s="100">
        <v>9.57</v>
      </c>
      <c r="R82" s="6"/>
      <c r="S82" s="6"/>
      <c r="T82" s="156"/>
      <c r="U82" s="6"/>
    </row>
    <row r="83" spans="1:21" customFormat="1">
      <c r="A83" s="201" t="s">
        <v>2718</v>
      </c>
      <c r="B83" s="100">
        <v>4.83</v>
      </c>
      <c r="C83" s="100">
        <v>15.81</v>
      </c>
      <c r="D83" s="100">
        <v>12.13</v>
      </c>
      <c r="E83" s="100">
        <v>7.33</v>
      </c>
      <c r="F83" s="152" t="s">
        <v>15</v>
      </c>
      <c r="G83" s="100">
        <v>201.35</v>
      </c>
      <c r="H83" s="100">
        <v>35.340000000000003</v>
      </c>
      <c r="I83" s="100">
        <v>9.19</v>
      </c>
      <c r="J83" s="100">
        <v>0.16</v>
      </c>
      <c r="K83" s="100">
        <v>135.12</v>
      </c>
      <c r="L83" s="100">
        <v>13.3</v>
      </c>
      <c r="M83" s="100">
        <v>15.63</v>
      </c>
      <c r="N83" s="100">
        <v>1.7</v>
      </c>
      <c r="O83" s="100">
        <v>0</v>
      </c>
      <c r="P83" s="100">
        <v>0.57999999999999996</v>
      </c>
      <c r="Q83" s="100">
        <v>9.5</v>
      </c>
      <c r="R83" s="6"/>
      <c r="S83" s="6"/>
      <c r="T83" s="156"/>
      <c r="U83" s="6"/>
    </row>
    <row r="84" spans="1:21" customFormat="1">
      <c r="A84" s="201" t="s">
        <v>2719</v>
      </c>
      <c r="B84" s="100">
        <v>4.97</v>
      </c>
      <c r="C84" s="100">
        <v>16.29</v>
      </c>
      <c r="D84" s="100">
        <v>12.5</v>
      </c>
      <c r="E84" s="100">
        <v>7.7</v>
      </c>
      <c r="F84" s="152" t="s">
        <v>15</v>
      </c>
      <c r="G84" s="100">
        <v>201.35</v>
      </c>
      <c r="H84" s="100">
        <v>35.340000000000003</v>
      </c>
      <c r="I84" s="100">
        <v>9.3699999999999992</v>
      </c>
      <c r="J84" s="100">
        <v>0.12</v>
      </c>
      <c r="K84" s="100">
        <v>113.77</v>
      </c>
      <c r="L84" s="100">
        <v>11.58</v>
      </c>
      <c r="M84" s="100">
        <v>11.14</v>
      </c>
      <c r="N84" s="100">
        <v>1.6</v>
      </c>
      <c r="O84" s="100">
        <v>0</v>
      </c>
      <c r="P84" s="100">
        <v>0.6</v>
      </c>
      <c r="Q84" s="100">
        <v>9.9</v>
      </c>
      <c r="R84" s="6"/>
      <c r="S84" s="6"/>
      <c r="T84" s="156"/>
      <c r="U84" s="6"/>
    </row>
    <row r="85" spans="1:21" customFormat="1">
      <c r="A85" s="201" t="s">
        <v>2720</v>
      </c>
      <c r="B85" s="100">
        <v>5.23</v>
      </c>
      <c r="C85" s="100">
        <v>16.91</v>
      </c>
      <c r="D85" s="100">
        <v>13.02</v>
      </c>
      <c r="E85" s="100">
        <v>7.38</v>
      </c>
      <c r="F85" s="152" t="s">
        <v>15</v>
      </c>
      <c r="G85" s="100">
        <v>201.35</v>
      </c>
      <c r="H85" s="100">
        <v>35.340000000000003</v>
      </c>
      <c r="I85" s="100">
        <v>9.56</v>
      </c>
      <c r="J85" s="100">
        <v>0.14000000000000001</v>
      </c>
      <c r="K85" s="100">
        <v>82.98</v>
      </c>
      <c r="L85" s="100">
        <v>10.74</v>
      </c>
      <c r="M85" s="100">
        <v>9.1199999999999992</v>
      </c>
      <c r="N85" s="100">
        <v>1.7</v>
      </c>
      <c r="O85" s="100">
        <v>0</v>
      </c>
      <c r="P85" s="100">
        <v>0.62</v>
      </c>
      <c r="Q85" s="100">
        <v>9.3699999999999992</v>
      </c>
      <c r="R85" s="6"/>
      <c r="S85" s="6"/>
      <c r="T85" s="156"/>
      <c r="U85" s="6"/>
    </row>
    <row r="86" spans="1:21" customFormat="1">
      <c r="A86" s="201" t="s">
        <v>2721</v>
      </c>
      <c r="B86" s="100">
        <v>5.54</v>
      </c>
      <c r="C86" s="100">
        <v>17.3</v>
      </c>
      <c r="D86" s="100">
        <v>13.48</v>
      </c>
      <c r="E86" s="100">
        <v>7.2</v>
      </c>
      <c r="F86" s="152" t="s">
        <v>15</v>
      </c>
      <c r="G86" s="100">
        <v>181.15</v>
      </c>
      <c r="H86" s="100">
        <v>38.25</v>
      </c>
      <c r="I86" s="100">
        <v>9.69</v>
      </c>
      <c r="J86" s="100">
        <v>0.16</v>
      </c>
      <c r="K86" s="100">
        <v>114.67</v>
      </c>
      <c r="L86" s="100">
        <v>11.47</v>
      </c>
      <c r="M86" s="100">
        <v>11.03</v>
      </c>
      <c r="N86" s="100">
        <v>1.8</v>
      </c>
      <c r="O86" s="100">
        <v>0</v>
      </c>
      <c r="P86" s="100">
        <v>0.64</v>
      </c>
      <c r="Q86" s="100">
        <v>9.32</v>
      </c>
      <c r="R86" s="6"/>
      <c r="S86" s="6"/>
      <c r="T86" s="156"/>
      <c r="U86" s="6"/>
    </row>
    <row r="87" spans="1:21" customFormat="1">
      <c r="A87" s="201" t="s">
        <v>2722</v>
      </c>
      <c r="B87" s="100">
        <v>5.96</v>
      </c>
      <c r="C87" s="100">
        <v>17.59</v>
      </c>
      <c r="D87" s="100">
        <v>13.97</v>
      </c>
      <c r="E87" s="100">
        <v>7.34</v>
      </c>
      <c r="F87" s="152" t="s">
        <v>15</v>
      </c>
      <c r="G87" s="100">
        <v>171.55</v>
      </c>
      <c r="H87" s="100">
        <v>38.54</v>
      </c>
      <c r="I87" s="100">
        <v>9.81</v>
      </c>
      <c r="J87" s="100">
        <v>0.23</v>
      </c>
      <c r="K87" s="100">
        <v>81.95</v>
      </c>
      <c r="L87" s="100">
        <v>10.24</v>
      </c>
      <c r="M87" s="100">
        <v>7.89</v>
      </c>
      <c r="N87" s="100">
        <v>1.6</v>
      </c>
      <c r="O87" s="100">
        <v>0</v>
      </c>
      <c r="P87" s="100">
        <v>0.66</v>
      </c>
      <c r="Q87" s="100">
        <v>9.32</v>
      </c>
      <c r="R87" s="6"/>
      <c r="S87" s="6"/>
      <c r="T87" s="156"/>
      <c r="U87" s="6"/>
    </row>
    <row r="88" spans="1:21" customFormat="1">
      <c r="A88" s="201" t="s">
        <v>2723</v>
      </c>
      <c r="B88" s="100">
        <v>6.2</v>
      </c>
      <c r="C88" s="100">
        <v>17.93</v>
      </c>
      <c r="D88" s="100">
        <v>14.34</v>
      </c>
      <c r="E88" s="100">
        <v>7.22</v>
      </c>
      <c r="F88" s="152" t="s">
        <v>15</v>
      </c>
      <c r="G88" s="100">
        <v>171.55</v>
      </c>
      <c r="H88" s="100">
        <v>38.54</v>
      </c>
      <c r="I88" s="100">
        <v>10.09</v>
      </c>
      <c r="J88" s="100">
        <v>0.23</v>
      </c>
      <c r="K88" s="100">
        <v>81.400000000000006</v>
      </c>
      <c r="L88" s="100">
        <v>10.29</v>
      </c>
      <c r="M88" s="100">
        <v>8</v>
      </c>
      <c r="N88" s="100">
        <v>1.5</v>
      </c>
      <c r="O88" s="100">
        <v>0</v>
      </c>
      <c r="P88" s="100">
        <v>0.67</v>
      </c>
      <c r="Q88" s="100">
        <v>9.32</v>
      </c>
      <c r="R88" s="6"/>
      <c r="S88" s="6"/>
      <c r="T88" s="156"/>
      <c r="U88" s="6"/>
    </row>
    <row r="89" spans="1:21" customFormat="1">
      <c r="A89" s="201" t="s">
        <v>2724</v>
      </c>
      <c r="B89" s="100">
        <v>6.26</v>
      </c>
      <c r="C89" s="100">
        <v>18.18</v>
      </c>
      <c r="D89" s="100">
        <v>14.52</v>
      </c>
      <c r="E89" s="100">
        <v>7.15</v>
      </c>
      <c r="F89" s="152" t="s">
        <v>15</v>
      </c>
      <c r="G89" s="100">
        <v>171.55</v>
      </c>
      <c r="H89" s="100">
        <v>38.54</v>
      </c>
      <c r="I89" s="100">
        <v>10.38</v>
      </c>
      <c r="J89" s="100">
        <v>0.36</v>
      </c>
      <c r="K89" s="100">
        <v>64.319999999999993</v>
      </c>
      <c r="L89" s="100">
        <v>8.1300000000000008</v>
      </c>
      <c r="M89" s="100">
        <v>2.54</v>
      </c>
      <c r="N89" s="100">
        <v>1.6</v>
      </c>
      <c r="O89" s="100">
        <v>0</v>
      </c>
      <c r="P89" s="100">
        <v>0.7</v>
      </c>
      <c r="Q89" s="100">
        <v>9.32</v>
      </c>
      <c r="R89" s="6"/>
      <c r="S89" s="6"/>
      <c r="T89" s="156"/>
      <c r="U89" s="6"/>
    </row>
    <row r="90" spans="1:21" customFormat="1">
      <c r="A90" s="201" t="s">
        <v>2725</v>
      </c>
      <c r="B90" s="100">
        <v>6.22</v>
      </c>
      <c r="C90" s="100">
        <v>18.32</v>
      </c>
      <c r="D90" s="100">
        <v>14.56</v>
      </c>
      <c r="E90" s="100">
        <v>7.18</v>
      </c>
      <c r="F90" s="152" t="s">
        <v>15</v>
      </c>
      <c r="G90" s="100">
        <v>167.87</v>
      </c>
      <c r="H90" s="100">
        <v>40.049999999999997</v>
      </c>
      <c r="I90" s="100">
        <v>10.64</v>
      </c>
      <c r="J90" s="100">
        <v>0.4</v>
      </c>
      <c r="K90" s="100">
        <v>64.87</v>
      </c>
      <c r="L90" s="100">
        <v>8.07</v>
      </c>
      <c r="M90" s="100">
        <v>2.4</v>
      </c>
      <c r="N90" s="100">
        <v>1.6</v>
      </c>
      <c r="O90" s="100">
        <v>0</v>
      </c>
      <c r="P90" s="100">
        <v>0.71</v>
      </c>
      <c r="Q90" s="100">
        <v>9.32</v>
      </c>
      <c r="R90" s="6"/>
      <c r="S90" s="6"/>
      <c r="T90" s="156"/>
      <c r="U90" s="6"/>
    </row>
    <row r="91" spans="1:21" customFormat="1">
      <c r="A91" s="201" t="s">
        <v>2726</v>
      </c>
      <c r="B91" s="100">
        <v>6.13</v>
      </c>
      <c r="C91" s="100">
        <v>18.21</v>
      </c>
      <c r="D91" s="100">
        <v>14.43</v>
      </c>
      <c r="E91" s="100">
        <v>7.54</v>
      </c>
      <c r="F91" s="152" t="s">
        <v>15</v>
      </c>
      <c r="G91" s="100">
        <v>166.12</v>
      </c>
      <c r="H91" s="100">
        <v>40.200000000000003</v>
      </c>
      <c r="I91" s="100">
        <v>10.79</v>
      </c>
      <c r="J91" s="100">
        <v>0.35</v>
      </c>
      <c r="K91" s="100">
        <v>68.16</v>
      </c>
      <c r="L91" s="100">
        <v>8.06</v>
      </c>
      <c r="M91" s="100">
        <v>2.36</v>
      </c>
      <c r="N91" s="100">
        <v>1.7</v>
      </c>
      <c r="O91" s="100">
        <v>0</v>
      </c>
      <c r="P91" s="100">
        <v>0.71</v>
      </c>
      <c r="Q91" s="100">
        <v>9.32</v>
      </c>
      <c r="R91" s="6"/>
      <c r="S91" s="6"/>
      <c r="T91" s="156"/>
      <c r="U91" s="6"/>
    </row>
    <row r="92" spans="1:21" customFormat="1">
      <c r="A92" s="201" t="s">
        <v>2727</v>
      </c>
      <c r="B92" s="100">
        <v>6.06</v>
      </c>
      <c r="C92" s="100">
        <v>18.22</v>
      </c>
      <c r="D92" s="100">
        <v>14.38</v>
      </c>
      <c r="E92" s="100">
        <v>7.44</v>
      </c>
      <c r="F92" s="152" t="s">
        <v>15</v>
      </c>
      <c r="G92" s="100">
        <v>166.12</v>
      </c>
      <c r="H92" s="100">
        <v>40.200000000000003</v>
      </c>
      <c r="I92" s="100">
        <v>10.88</v>
      </c>
      <c r="J92" s="100">
        <v>0.33</v>
      </c>
      <c r="K92" s="100">
        <v>67.2</v>
      </c>
      <c r="L92" s="100">
        <v>8.2200000000000006</v>
      </c>
      <c r="M92" s="100">
        <v>2.77</v>
      </c>
      <c r="N92" s="100">
        <v>1.7</v>
      </c>
      <c r="O92" s="100">
        <v>0</v>
      </c>
      <c r="P92" s="100">
        <v>0.72</v>
      </c>
      <c r="Q92" s="100">
        <v>9.32</v>
      </c>
      <c r="R92" s="6"/>
      <c r="S92" s="6"/>
      <c r="T92" s="156"/>
      <c r="U92" s="6"/>
    </row>
    <row r="93" spans="1:21" customFormat="1">
      <c r="A93" s="201" t="s">
        <v>2728</v>
      </c>
      <c r="B93" s="100">
        <v>6.14</v>
      </c>
      <c r="C93" s="100">
        <v>18.16</v>
      </c>
      <c r="D93" s="100">
        <v>14.41</v>
      </c>
      <c r="E93" s="100">
        <v>7.17</v>
      </c>
      <c r="F93" s="152" t="s">
        <v>15</v>
      </c>
      <c r="G93" s="100">
        <v>166.12</v>
      </c>
      <c r="H93" s="100">
        <v>40.200000000000003</v>
      </c>
      <c r="I93" s="100">
        <v>11.13</v>
      </c>
      <c r="J93" s="100">
        <v>0.28999999999999998</v>
      </c>
      <c r="K93" s="100">
        <v>74.94</v>
      </c>
      <c r="L93" s="100">
        <v>9.2200000000000006</v>
      </c>
      <c r="M93" s="100">
        <v>5.32</v>
      </c>
      <c r="N93" s="100">
        <v>1.7</v>
      </c>
      <c r="O93" s="100">
        <v>0</v>
      </c>
      <c r="P93" s="100">
        <v>0.72</v>
      </c>
      <c r="Q93" s="100">
        <v>9.32</v>
      </c>
      <c r="R93" s="6"/>
      <c r="S93" s="6"/>
      <c r="T93" s="156"/>
      <c r="U93" s="6"/>
    </row>
    <row r="94" spans="1:21" customFormat="1">
      <c r="A94" s="201" t="s">
        <v>2729</v>
      </c>
      <c r="B94" s="100">
        <v>6.28</v>
      </c>
      <c r="C94" s="100">
        <v>18.21</v>
      </c>
      <c r="D94" s="100">
        <v>14.55</v>
      </c>
      <c r="E94" s="100">
        <v>7.13</v>
      </c>
      <c r="F94" s="152" t="s">
        <v>15</v>
      </c>
      <c r="G94" s="100">
        <v>143.54</v>
      </c>
      <c r="H94" s="100">
        <v>39.69</v>
      </c>
      <c r="I94" s="100">
        <v>11.21</v>
      </c>
      <c r="J94" s="100">
        <v>0.4</v>
      </c>
      <c r="K94" s="100">
        <v>62.45</v>
      </c>
      <c r="L94" s="100">
        <v>7.78</v>
      </c>
      <c r="M94" s="100">
        <v>1.64</v>
      </c>
      <c r="N94" s="100">
        <v>1.6</v>
      </c>
      <c r="O94" s="100">
        <v>0</v>
      </c>
      <c r="P94" s="100">
        <v>0.72</v>
      </c>
      <c r="Q94" s="100">
        <v>9.32</v>
      </c>
      <c r="R94" s="6"/>
      <c r="S94" s="6"/>
      <c r="T94" s="156"/>
      <c r="U94" s="6"/>
    </row>
    <row r="95" spans="1:21" customFormat="1">
      <c r="A95" s="201" t="s">
        <v>2730</v>
      </c>
      <c r="B95" s="100">
        <v>6.34</v>
      </c>
      <c r="C95" s="100">
        <v>18.2</v>
      </c>
      <c r="D95" s="100">
        <v>14.59</v>
      </c>
      <c r="E95" s="100">
        <v>7.28</v>
      </c>
      <c r="F95" s="152" t="s">
        <v>15</v>
      </c>
      <c r="G95" s="100">
        <v>132.80000000000001</v>
      </c>
      <c r="H95" s="100">
        <v>39.65</v>
      </c>
      <c r="I95" s="100">
        <v>11.07</v>
      </c>
      <c r="J95" s="100">
        <v>0.44</v>
      </c>
      <c r="K95" s="100">
        <v>60.21</v>
      </c>
      <c r="L95" s="100">
        <v>7.41</v>
      </c>
      <c r="M95" s="100">
        <v>0.74</v>
      </c>
      <c r="N95" s="100">
        <v>1.7</v>
      </c>
      <c r="O95" s="100">
        <v>0</v>
      </c>
      <c r="P95" s="100">
        <v>0.73</v>
      </c>
      <c r="Q95" s="100">
        <v>9.32</v>
      </c>
      <c r="R95" s="6"/>
      <c r="S95" s="6"/>
      <c r="T95" s="156"/>
      <c r="U95" s="6"/>
    </row>
    <row r="96" spans="1:21" customFormat="1">
      <c r="A96" s="201" t="s">
        <v>2731</v>
      </c>
      <c r="B96" s="100">
        <v>6.39</v>
      </c>
      <c r="C96" s="100">
        <v>18.25</v>
      </c>
      <c r="D96" s="100">
        <v>14.66</v>
      </c>
      <c r="E96" s="100">
        <v>7.33</v>
      </c>
      <c r="F96" s="152" t="s">
        <v>15</v>
      </c>
      <c r="G96" s="100">
        <v>132.80000000000001</v>
      </c>
      <c r="H96" s="100">
        <v>39.65</v>
      </c>
      <c r="I96" s="100">
        <v>11.1</v>
      </c>
      <c r="J96" s="100">
        <v>0.36</v>
      </c>
      <c r="K96" s="100">
        <v>54.05</v>
      </c>
      <c r="L96" s="100">
        <v>7.27</v>
      </c>
      <c r="M96" s="100">
        <v>0.31</v>
      </c>
      <c r="N96" s="100">
        <v>1.7</v>
      </c>
      <c r="O96" s="100">
        <v>0</v>
      </c>
      <c r="P96" s="100">
        <v>0.73</v>
      </c>
      <c r="Q96" s="100">
        <v>9.32</v>
      </c>
      <c r="R96" s="6"/>
      <c r="S96" s="6"/>
      <c r="T96" s="156"/>
      <c r="U96" s="6"/>
    </row>
    <row r="97" spans="1:28" customFormat="1">
      <c r="A97" s="201" t="s">
        <v>2732</v>
      </c>
      <c r="B97" s="100">
        <v>6.5</v>
      </c>
      <c r="C97" s="100">
        <v>18.329999999999998</v>
      </c>
      <c r="D97" s="100">
        <v>14.79</v>
      </c>
      <c r="E97" s="100">
        <v>7.27</v>
      </c>
      <c r="F97" s="152" t="s">
        <v>15</v>
      </c>
      <c r="G97" s="100">
        <v>132.80000000000001</v>
      </c>
      <c r="H97" s="100">
        <v>39.65</v>
      </c>
      <c r="I97" s="100">
        <v>11.1</v>
      </c>
      <c r="J97" s="100">
        <v>0.33</v>
      </c>
      <c r="K97" s="100">
        <v>45.76</v>
      </c>
      <c r="L97" s="100">
        <v>9</v>
      </c>
      <c r="M97" s="100">
        <v>4.6500000000000004</v>
      </c>
      <c r="N97" s="100">
        <v>1.7</v>
      </c>
      <c r="O97" s="100">
        <v>0</v>
      </c>
      <c r="P97" s="100">
        <v>0.74</v>
      </c>
      <c r="Q97" s="100">
        <v>9.32</v>
      </c>
      <c r="R97" s="6"/>
      <c r="S97" s="6"/>
      <c r="T97" s="156"/>
      <c r="U97" s="6"/>
    </row>
    <row r="98" spans="1:28" customFormat="1">
      <c r="A98" s="201" t="s">
        <v>2733</v>
      </c>
      <c r="B98" s="100">
        <v>6.64</v>
      </c>
      <c r="C98" s="100">
        <v>18.239999999999998</v>
      </c>
      <c r="D98" s="100">
        <v>14.86</v>
      </c>
      <c r="E98" s="100">
        <v>7.04</v>
      </c>
      <c r="F98" s="152" t="s">
        <v>15</v>
      </c>
      <c r="G98" s="100">
        <v>129.29</v>
      </c>
      <c r="H98" s="100">
        <v>38.56</v>
      </c>
      <c r="I98" s="100">
        <v>11.08</v>
      </c>
      <c r="J98" s="100">
        <v>0.09</v>
      </c>
      <c r="K98" s="100">
        <v>89.5</v>
      </c>
      <c r="L98" s="100">
        <v>12.95</v>
      </c>
      <c r="M98" s="100">
        <v>14.75</v>
      </c>
      <c r="N98" s="100">
        <v>1.9</v>
      </c>
      <c r="O98" s="100">
        <v>0</v>
      </c>
      <c r="P98" s="100">
        <v>0.74</v>
      </c>
      <c r="Q98" s="100">
        <v>9.32</v>
      </c>
      <c r="R98" s="6"/>
      <c r="S98" s="6"/>
      <c r="T98" s="156"/>
      <c r="U98" s="6"/>
    </row>
    <row r="99" spans="1:28" customFormat="1">
      <c r="A99" s="201" t="s">
        <v>2734</v>
      </c>
      <c r="B99" s="100">
        <v>6.73</v>
      </c>
      <c r="C99" s="100">
        <v>18.09</v>
      </c>
      <c r="D99" s="100">
        <v>14.85</v>
      </c>
      <c r="E99" s="100">
        <v>7.29</v>
      </c>
      <c r="F99" s="152" t="s">
        <v>15</v>
      </c>
      <c r="G99" s="100">
        <v>127.62</v>
      </c>
      <c r="H99" s="100">
        <v>38.44</v>
      </c>
      <c r="I99" s="100">
        <v>11.1</v>
      </c>
      <c r="J99" s="100">
        <v>0.17</v>
      </c>
      <c r="K99" s="100">
        <v>76.36</v>
      </c>
      <c r="L99" s="100">
        <v>9.2899999999999991</v>
      </c>
      <c r="M99" s="100">
        <v>5.51</v>
      </c>
      <c r="N99" s="100">
        <v>1.7</v>
      </c>
      <c r="O99" s="100">
        <v>0</v>
      </c>
      <c r="P99" s="100">
        <v>0.74</v>
      </c>
      <c r="Q99" s="100">
        <v>9.32</v>
      </c>
      <c r="R99" s="6"/>
      <c r="S99" s="6"/>
      <c r="T99" s="156"/>
      <c r="U99" s="6"/>
    </row>
    <row r="100" spans="1:28" customFormat="1">
      <c r="A100" s="201" t="s">
        <v>2735</v>
      </c>
      <c r="B100" s="100">
        <v>6.75</v>
      </c>
      <c r="C100" s="100">
        <v>18.149999999999999</v>
      </c>
      <c r="D100" s="100">
        <v>14.9</v>
      </c>
      <c r="E100" s="100">
        <v>7.06</v>
      </c>
      <c r="F100" s="152" t="s">
        <v>15</v>
      </c>
      <c r="G100" s="100">
        <v>127.62</v>
      </c>
      <c r="H100" s="100">
        <v>38.44</v>
      </c>
      <c r="I100" s="100">
        <v>11.15</v>
      </c>
      <c r="J100" s="100">
        <v>0.11</v>
      </c>
      <c r="K100" s="100">
        <v>91.71</v>
      </c>
      <c r="L100" s="100">
        <v>10.199999999999999</v>
      </c>
      <c r="M100" s="100">
        <v>7.84</v>
      </c>
      <c r="N100" s="100">
        <v>1.7</v>
      </c>
      <c r="O100" s="100">
        <v>0</v>
      </c>
      <c r="P100" s="100">
        <v>0.73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2736</v>
      </c>
      <c r="B101" s="100">
        <v>6.67</v>
      </c>
      <c r="C101" s="100">
        <v>18.09</v>
      </c>
      <c r="D101" s="100">
        <v>14.8</v>
      </c>
      <c r="E101" s="100">
        <v>6.99</v>
      </c>
      <c r="F101" s="152" t="s">
        <v>15</v>
      </c>
      <c r="G101" s="100">
        <v>127.62</v>
      </c>
      <c r="H101" s="100">
        <v>38.44</v>
      </c>
      <c r="I101" s="100">
        <v>11.13</v>
      </c>
      <c r="J101" s="100">
        <v>0.11</v>
      </c>
      <c r="K101" s="100">
        <v>169.62</v>
      </c>
      <c r="L101" s="100">
        <v>14.99</v>
      </c>
      <c r="M101" s="100">
        <v>19.89</v>
      </c>
      <c r="N101" s="100">
        <v>2</v>
      </c>
      <c r="O101" s="100">
        <v>0</v>
      </c>
      <c r="P101" s="100">
        <v>0.73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2737</v>
      </c>
      <c r="B102" s="100">
        <v>6.67</v>
      </c>
      <c r="C102" s="100">
        <v>17.95</v>
      </c>
      <c r="D102" s="100">
        <v>14.73</v>
      </c>
      <c r="E102" s="100">
        <v>6.89</v>
      </c>
      <c r="F102" s="152" t="s">
        <v>15</v>
      </c>
      <c r="G102" s="100">
        <v>115.53</v>
      </c>
      <c r="H102" s="100">
        <v>37.450000000000003</v>
      </c>
      <c r="I102" s="100">
        <v>11.1</v>
      </c>
      <c r="J102" s="100">
        <v>0.13</v>
      </c>
      <c r="K102" s="100">
        <v>155.94</v>
      </c>
      <c r="L102" s="100">
        <v>15.31</v>
      </c>
      <c r="M102" s="100">
        <v>20.69</v>
      </c>
      <c r="N102" s="100">
        <v>1.9</v>
      </c>
      <c r="O102" s="100">
        <v>0</v>
      </c>
      <c r="P102" s="100">
        <v>0.73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2738</v>
      </c>
      <c r="B103" s="100">
        <v>6.82</v>
      </c>
      <c r="C103" s="100">
        <v>17.28</v>
      </c>
      <c r="D103" s="100">
        <v>14.5</v>
      </c>
      <c r="E103" s="100">
        <v>6.91</v>
      </c>
      <c r="F103" s="152" t="s">
        <v>15</v>
      </c>
      <c r="G103" s="100">
        <v>109.78</v>
      </c>
      <c r="H103" s="100">
        <v>37.35</v>
      </c>
      <c r="I103" s="100">
        <v>11.06</v>
      </c>
      <c r="J103" s="100">
        <v>0.17</v>
      </c>
      <c r="K103" s="100">
        <v>189.69</v>
      </c>
      <c r="L103" s="100">
        <v>17.309999999999999</v>
      </c>
      <c r="M103" s="100">
        <v>25.61</v>
      </c>
      <c r="N103" s="100">
        <v>2</v>
      </c>
      <c r="O103" s="100">
        <v>0</v>
      </c>
      <c r="P103" s="100">
        <v>0.72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2739</v>
      </c>
      <c r="B104" s="100">
        <v>6.92</v>
      </c>
      <c r="C104" s="100">
        <v>16.46</v>
      </c>
      <c r="D104" s="100">
        <v>14.15</v>
      </c>
      <c r="E104" s="100">
        <v>7.06</v>
      </c>
      <c r="F104" s="152" t="s">
        <v>15</v>
      </c>
      <c r="G104" s="100">
        <v>109.78</v>
      </c>
      <c r="H104" s="100">
        <v>37.35</v>
      </c>
      <c r="I104" s="100">
        <v>10.99</v>
      </c>
      <c r="J104" s="100">
        <v>0.14000000000000001</v>
      </c>
      <c r="K104" s="100">
        <v>197.44</v>
      </c>
      <c r="L104" s="100">
        <v>18.059999999999999</v>
      </c>
      <c r="M104" s="100">
        <v>27.49</v>
      </c>
      <c r="N104" s="100">
        <v>1.9</v>
      </c>
      <c r="O104" s="100">
        <v>0</v>
      </c>
      <c r="P104" s="100">
        <v>0.71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3.45</v>
      </c>
      <c r="C106" s="158">
        <f>MIN(C9:C104)</f>
        <v>12.84</v>
      </c>
      <c r="D106" s="158">
        <f t="shared" ref="D106:Q106" si="0">MIN(D9:D104)</f>
        <v>10.35</v>
      </c>
      <c r="E106" s="158">
        <f t="shared" si="0"/>
        <v>4.63</v>
      </c>
      <c r="F106" s="158">
        <f t="shared" si="0"/>
        <v>0</v>
      </c>
      <c r="G106" s="158">
        <f t="shared" si="0"/>
        <v>79.849999999999994</v>
      </c>
      <c r="H106" s="158">
        <f t="shared" si="0"/>
        <v>28.22</v>
      </c>
      <c r="I106" s="158">
        <f t="shared" si="0"/>
        <v>8.57</v>
      </c>
      <c r="J106" s="158">
        <f t="shared" si="0"/>
        <v>0.09</v>
      </c>
      <c r="K106" s="158">
        <f t="shared" si="0"/>
        <v>28.96</v>
      </c>
      <c r="L106" s="158">
        <f t="shared" si="0"/>
        <v>7.27</v>
      </c>
      <c r="M106" s="158">
        <f t="shared" si="0"/>
        <v>-2</v>
      </c>
      <c r="N106" s="158">
        <f t="shared" si="0"/>
        <v>1.3</v>
      </c>
      <c r="O106" s="158">
        <f t="shared" si="0"/>
        <v>0</v>
      </c>
      <c r="P106" s="158">
        <f t="shared" si="0"/>
        <v>0.47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20.83</v>
      </c>
      <c r="C107" s="157">
        <f t="shared" ref="C107:Q107" si="1">MAX(C9:C104)</f>
        <v>18.329999999999998</v>
      </c>
      <c r="D107" s="157">
        <f t="shared" si="1"/>
        <v>24.79</v>
      </c>
      <c r="E107" s="157">
        <f t="shared" si="1"/>
        <v>10.08</v>
      </c>
      <c r="F107" s="157">
        <f t="shared" si="1"/>
        <v>0</v>
      </c>
      <c r="G107" s="157">
        <f t="shared" si="1"/>
        <v>201.35</v>
      </c>
      <c r="H107" s="157">
        <f t="shared" si="1"/>
        <v>52.98</v>
      </c>
      <c r="I107" s="157">
        <f t="shared" si="1"/>
        <v>11.59</v>
      </c>
      <c r="J107" s="157">
        <f t="shared" si="1"/>
        <v>1.39</v>
      </c>
      <c r="K107" s="157">
        <f t="shared" si="1"/>
        <v>232.17</v>
      </c>
      <c r="L107" s="157">
        <f t="shared" si="1"/>
        <v>20.350000000000001</v>
      </c>
      <c r="M107" s="157">
        <f t="shared" si="1"/>
        <v>33.32</v>
      </c>
      <c r="N107" s="157">
        <f t="shared" si="1"/>
        <v>423.2</v>
      </c>
      <c r="O107" s="157">
        <f t="shared" si="1"/>
        <v>0</v>
      </c>
      <c r="P107" s="157">
        <f t="shared" si="1"/>
        <v>0.74</v>
      </c>
      <c r="Q107" s="157">
        <f t="shared" si="1"/>
        <v>10.210000000000001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8.8669791666666686</v>
      </c>
      <c r="C108" s="158">
        <f t="shared" ref="C108:Q108" si="2">AVERAGE(C9:C104)</f>
        <v>16.040000000000003</v>
      </c>
      <c r="D108" s="158">
        <f t="shared" si="2"/>
        <v>15.491041666666666</v>
      </c>
      <c r="E108" s="158">
        <f t="shared" si="2"/>
        <v>6.573749999999996</v>
      </c>
      <c r="F108" s="158" t="e">
        <f t="shared" si="2"/>
        <v>#DIV/0!</v>
      </c>
      <c r="G108" s="158">
        <f t="shared" si="2"/>
        <v>110.96791666666668</v>
      </c>
      <c r="H108" s="158">
        <f t="shared" si="2"/>
        <v>40.342395833333306</v>
      </c>
      <c r="I108" s="158">
        <f t="shared" si="2"/>
        <v>10.083750000000002</v>
      </c>
      <c r="J108" s="158">
        <f t="shared" si="2"/>
        <v>0.38770833333333315</v>
      </c>
      <c r="K108" s="158">
        <f t="shared" si="2"/>
        <v>102.87604166666669</v>
      </c>
      <c r="L108" s="158">
        <f t="shared" si="2"/>
        <v>12.704687499999993</v>
      </c>
      <c r="M108" s="158">
        <f t="shared" si="2"/>
        <v>11.914166666666667</v>
      </c>
      <c r="N108" s="158">
        <f t="shared" si="2"/>
        <v>89.803125000000065</v>
      </c>
      <c r="O108" s="158">
        <f t="shared" si="2"/>
        <v>0</v>
      </c>
      <c r="P108" s="158">
        <f t="shared" si="2"/>
        <v>0.57614583333333336</v>
      </c>
      <c r="Q108" s="158">
        <f t="shared" si="2"/>
        <v>9.4365625000000097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5.6107457276741677</v>
      </c>
      <c r="C109" s="158">
        <f t="shared" ref="C109:Q109" si="3">STDEV(C9:C104)</f>
        <v>1.5980547385394599</v>
      </c>
      <c r="D109" s="158">
        <f t="shared" si="3"/>
        <v>4.5268951783910882</v>
      </c>
      <c r="E109" s="158">
        <f t="shared" si="3"/>
        <v>1.2014221835632779</v>
      </c>
      <c r="F109" s="158" t="e">
        <f t="shared" si="3"/>
        <v>#DIV/0!</v>
      </c>
      <c r="G109" s="158">
        <f t="shared" si="3"/>
        <v>29.259387658328553</v>
      </c>
      <c r="H109" s="158">
        <f t="shared" si="3"/>
        <v>9.0500485308141041</v>
      </c>
      <c r="I109" s="158">
        <f t="shared" si="3"/>
        <v>0.84966773691714026</v>
      </c>
      <c r="J109" s="158">
        <f t="shared" si="3"/>
        <v>0.29179112632756476</v>
      </c>
      <c r="K109" s="158">
        <f t="shared" si="3"/>
        <v>61.562438299906702</v>
      </c>
      <c r="L109" s="158">
        <f t="shared" si="3"/>
        <v>3.5834998925998764</v>
      </c>
      <c r="M109" s="158">
        <f t="shared" si="3"/>
        <v>9.7718242294839612</v>
      </c>
      <c r="N109" s="158">
        <f t="shared" si="3"/>
        <v>138.78740611235136</v>
      </c>
      <c r="O109" s="158">
        <f t="shared" si="3"/>
        <v>0</v>
      </c>
      <c r="P109" s="158">
        <f t="shared" si="3"/>
        <v>7.5006944122972125E-2</v>
      </c>
      <c r="Q109" s="158">
        <f t="shared" si="3"/>
        <v>0.16931333845550178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0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&lt;90%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LESS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F111" sqref="F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2740</v>
      </c>
      <c r="B9" s="100">
        <v>7.03</v>
      </c>
      <c r="C9" s="100">
        <v>15.01</v>
      </c>
      <c r="D9" s="100">
        <v>13.48</v>
      </c>
      <c r="E9" s="100">
        <v>7.37</v>
      </c>
      <c r="F9" s="151" t="s">
        <v>8</v>
      </c>
      <c r="G9" s="100">
        <v>109.78</v>
      </c>
      <c r="H9" s="100">
        <v>37.35</v>
      </c>
      <c r="I9" s="100">
        <v>10.92</v>
      </c>
      <c r="J9" s="100">
        <v>0.12</v>
      </c>
      <c r="K9" s="100">
        <v>178.72</v>
      </c>
      <c r="L9" s="100">
        <v>16.329999999999998</v>
      </c>
      <c r="M9" s="100">
        <v>23.21</v>
      </c>
      <c r="N9" s="100">
        <v>1.7</v>
      </c>
      <c r="O9" s="100">
        <v>0</v>
      </c>
      <c r="P9" s="100">
        <v>0.72</v>
      </c>
      <c r="Q9" s="100">
        <v>9.32</v>
      </c>
      <c r="R9" s="6"/>
      <c r="S9" s="6"/>
      <c r="T9" s="156"/>
      <c r="U9" s="6"/>
    </row>
    <row r="10" spans="1:21" customFormat="1">
      <c r="A10" s="201" t="s">
        <v>2741</v>
      </c>
      <c r="B10" s="100">
        <v>7.03</v>
      </c>
      <c r="C10" s="100">
        <v>15.59</v>
      </c>
      <c r="D10" s="100">
        <v>13.78</v>
      </c>
      <c r="E10" s="100">
        <v>6.83</v>
      </c>
      <c r="F10" s="151" t="s">
        <v>8</v>
      </c>
      <c r="G10" s="100">
        <v>94.26</v>
      </c>
      <c r="H10" s="100">
        <v>34.89</v>
      </c>
      <c r="I10" s="100">
        <v>10.87</v>
      </c>
      <c r="J10" s="100">
        <v>0.08</v>
      </c>
      <c r="K10" s="100">
        <v>96.99</v>
      </c>
      <c r="L10" s="100">
        <v>12.66</v>
      </c>
      <c r="M10" s="100">
        <v>13.91</v>
      </c>
      <c r="N10" s="100">
        <v>1.5</v>
      </c>
      <c r="O10" s="100">
        <v>0</v>
      </c>
      <c r="P10" s="100">
        <v>0.7</v>
      </c>
      <c r="Q10" s="100">
        <v>9.32</v>
      </c>
      <c r="R10" s="6"/>
      <c r="S10" s="6"/>
      <c r="T10" s="156"/>
      <c r="U10" s="6"/>
    </row>
    <row r="11" spans="1:21" customFormat="1">
      <c r="A11" s="201" t="s">
        <v>2742</v>
      </c>
      <c r="B11" s="100">
        <v>7.2</v>
      </c>
      <c r="C11" s="100">
        <v>15.71</v>
      </c>
      <c r="D11" s="100">
        <v>13.99</v>
      </c>
      <c r="E11" s="100">
        <v>7</v>
      </c>
      <c r="F11" s="151" t="s">
        <v>8</v>
      </c>
      <c r="G11" s="100">
        <v>86.88</v>
      </c>
      <c r="H11" s="100">
        <v>34.65</v>
      </c>
      <c r="I11" s="100">
        <v>10.84</v>
      </c>
      <c r="J11" s="100">
        <v>0.32</v>
      </c>
      <c r="K11" s="100">
        <v>48.11</v>
      </c>
      <c r="L11" s="100">
        <v>6.74</v>
      </c>
      <c r="M11" s="100">
        <v>-1.06</v>
      </c>
      <c r="N11" s="100">
        <v>1</v>
      </c>
      <c r="O11" s="100">
        <v>0</v>
      </c>
      <c r="P11" s="100">
        <v>0.69</v>
      </c>
      <c r="Q11" s="100">
        <v>9.32</v>
      </c>
      <c r="R11" s="6"/>
      <c r="S11" s="6"/>
      <c r="T11" s="156"/>
      <c r="U11" s="6"/>
    </row>
    <row r="12" spans="1:21" customFormat="1">
      <c r="A12" s="201" t="s">
        <v>2743</v>
      </c>
      <c r="B12" s="100">
        <v>7.48</v>
      </c>
      <c r="C12" s="100">
        <v>15.71</v>
      </c>
      <c r="D12" s="100">
        <v>14.21</v>
      </c>
      <c r="E12" s="100">
        <v>6.84</v>
      </c>
      <c r="F12" s="151" t="s">
        <v>8</v>
      </c>
      <c r="G12" s="100">
        <v>86.88</v>
      </c>
      <c r="H12" s="100">
        <v>34.65</v>
      </c>
      <c r="I12" s="100">
        <v>10.82</v>
      </c>
      <c r="J12" s="100">
        <v>0.36</v>
      </c>
      <c r="K12" s="100">
        <v>55.74</v>
      </c>
      <c r="L12" s="100">
        <v>6.92</v>
      </c>
      <c r="M12" s="100">
        <v>-0.57999999999999996</v>
      </c>
      <c r="N12" s="100">
        <v>1.3</v>
      </c>
      <c r="O12" s="100">
        <v>0</v>
      </c>
      <c r="P12" s="100">
        <v>0.68</v>
      </c>
      <c r="Q12" s="100">
        <v>9.32</v>
      </c>
      <c r="R12" s="6"/>
      <c r="S12" s="6"/>
      <c r="T12" s="156"/>
      <c r="U12" s="6"/>
    </row>
    <row r="13" spans="1:21" customFormat="1">
      <c r="A13" s="201" t="s">
        <v>2744</v>
      </c>
      <c r="B13" s="100">
        <v>7.68</v>
      </c>
      <c r="C13" s="100">
        <v>15.81</v>
      </c>
      <c r="D13" s="100">
        <v>14.42</v>
      </c>
      <c r="E13" s="100">
        <v>7.25</v>
      </c>
      <c r="F13" s="151" t="s">
        <v>8</v>
      </c>
      <c r="G13" s="100">
        <v>86.88</v>
      </c>
      <c r="H13" s="100">
        <v>34.65</v>
      </c>
      <c r="I13" s="100">
        <v>10.76</v>
      </c>
      <c r="J13" s="100">
        <v>0.3</v>
      </c>
      <c r="K13" s="100">
        <v>49.08</v>
      </c>
      <c r="L13" s="100">
        <v>7.48</v>
      </c>
      <c r="M13" s="100">
        <v>0.78</v>
      </c>
      <c r="N13" s="100">
        <v>1.6</v>
      </c>
      <c r="O13" s="100">
        <v>0</v>
      </c>
      <c r="P13" s="100">
        <v>0.68</v>
      </c>
      <c r="Q13" s="100">
        <v>9.32</v>
      </c>
      <c r="R13" s="6"/>
      <c r="S13" s="6"/>
      <c r="T13" s="156"/>
      <c r="U13" s="6"/>
    </row>
    <row r="14" spans="1:21" customFormat="1">
      <c r="A14" s="201" t="s">
        <v>2745</v>
      </c>
      <c r="B14" s="100">
        <v>7.83</v>
      </c>
      <c r="C14" s="100">
        <v>15.98</v>
      </c>
      <c r="D14" s="100">
        <v>14.63</v>
      </c>
      <c r="E14" s="100">
        <v>7.1</v>
      </c>
      <c r="F14" s="151" t="s">
        <v>8</v>
      </c>
      <c r="G14" s="100">
        <v>94.24</v>
      </c>
      <c r="H14" s="100">
        <v>33.200000000000003</v>
      </c>
      <c r="I14" s="100">
        <v>10.76</v>
      </c>
      <c r="J14" s="100">
        <v>0.38</v>
      </c>
      <c r="K14" s="100">
        <v>47.51</v>
      </c>
      <c r="L14" s="100">
        <v>6.84</v>
      </c>
      <c r="M14" s="100">
        <v>-0.84</v>
      </c>
      <c r="N14" s="100">
        <v>1.5</v>
      </c>
      <c r="O14" s="100">
        <v>0</v>
      </c>
      <c r="P14" s="100">
        <v>0.67</v>
      </c>
      <c r="Q14" s="100">
        <v>9.32</v>
      </c>
      <c r="R14" s="6"/>
      <c r="S14" s="6"/>
      <c r="T14" s="156"/>
      <c r="U14" s="6"/>
    </row>
    <row r="15" spans="1:21" customFormat="1">
      <c r="A15" s="201" t="s">
        <v>2746</v>
      </c>
      <c r="B15" s="100">
        <v>8.0299999999999994</v>
      </c>
      <c r="C15" s="100">
        <v>15.94</v>
      </c>
      <c r="D15" s="100">
        <v>14.77</v>
      </c>
      <c r="E15" s="100">
        <v>6.8</v>
      </c>
      <c r="F15" s="151" t="s">
        <v>8</v>
      </c>
      <c r="G15" s="100">
        <v>97.74</v>
      </c>
      <c r="H15" s="100">
        <v>33.03</v>
      </c>
      <c r="I15" s="100">
        <v>10.75</v>
      </c>
      <c r="J15" s="100">
        <v>0.46</v>
      </c>
      <c r="K15" s="100">
        <v>50.26</v>
      </c>
      <c r="L15" s="100">
        <v>6.46</v>
      </c>
      <c r="M15" s="100">
        <v>-1.8</v>
      </c>
      <c r="N15" s="100">
        <v>1.6</v>
      </c>
      <c r="O15" s="100">
        <v>0</v>
      </c>
      <c r="P15" s="100">
        <v>0.67</v>
      </c>
      <c r="Q15" s="100">
        <v>9.32</v>
      </c>
      <c r="R15" s="6"/>
      <c r="S15" s="6"/>
      <c r="T15" s="156"/>
      <c r="U15" s="6"/>
    </row>
    <row r="16" spans="1:21" customFormat="1">
      <c r="A16" s="201" t="s">
        <v>2747</v>
      </c>
      <c r="B16" s="100">
        <v>8.17</v>
      </c>
      <c r="C16" s="100">
        <v>15.87</v>
      </c>
      <c r="D16" s="100">
        <v>14.84</v>
      </c>
      <c r="E16" s="100">
        <v>6.93</v>
      </c>
      <c r="F16" s="151" t="s">
        <v>8</v>
      </c>
      <c r="G16" s="100">
        <v>97.74</v>
      </c>
      <c r="H16" s="100">
        <v>33.03</v>
      </c>
      <c r="I16" s="100">
        <v>10.71</v>
      </c>
      <c r="J16" s="100">
        <v>0.31</v>
      </c>
      <c r="K16" s="100">
        <v>65.260000000000005</v>
      </c>
      <c r="L16" s="100">
        <v>8.09</v>
      </c>
      <c r="M16" s="100">
        <v>2.42</v>
      </c>
      <c r="N16" s="100">
        <v>1.7</v>
      </c>
      <c r="O16" s="100">
        <v>0</v>
      </c>
      <c r="P16" s="100">
        <v>0.67</v>
      </c>
      <c r="Q16" s="100">
        <v>9.32</v>
      </c>
      <c r="R16" s="6"/>
      <c r="S16" s="6"/>
      <c r="T16" s="156"/>
      <c r="U16" s="6"/>
    </row>
    <row r="17" spans="1:21" customFormat="1">
      <c r="A17" s="201" t="s">
        <v>2748</v>
      </c>
      <c r="B17" s="100">
        <v>8.16</v>
      </c>
      <c r="C17" s="100">
        <v>15.98</v>
      </c>
      <c r="D17" s="100">
        <v>14.89</v>
      </c>
      <c r="E17" s="100">
        <v>5.72</v>
      </c>
      <c r="F17" s="151" t="s">
        <v>8</v>
      </c>
      <c r="G17" s="100">
        <v>97.74</v>
      </c>
      <c r="H17" s="100">
        <v>33.03</v>
      </c>
      <c r="I17" s="100">
        <v>10.65</v>
      </c>
      <c r="J17" s="100">
        <v>0.38</v>
      </c>
      <c r="K17" s="100">
        <v>56.52</v>
      </c>
      <c r="L17" s="100">
        <v>7.39</v>
      </c>
      <c r="M17" s="100">
        <v>0.56999999999999995</v>
      </c>
      <c r="N17" s="100">
        <v>1.6</v>
      </c>
      <c r="O17" s="100">
        <v>0</v>
      </c>
      <c r="P17" s="100">
        <v>0.66</v>
      </c>
      <c r="Q17" s="100">
        <v>9.32</v>
      </c>
      <c r="R17" s="6"/>
      <c r="S17" s="6"/>
      <c r="T17" s="156"/>
      <c r="U17" s="6"/>
    </row>
    <row r="18" spans="1:21" customFormat="1">
      <c r="A18" s="201" t="s">
        <v>2749</v>
      </c>
      <c r="B18" s="100">
        <v>8.24</v>
      </c>
      <c r="C18" s="100">
        <v>15.99</v>
      </c>
      <c r="D18" s="100">
        <v>14.96</v>
      </c>
      <c r="E18" s="100">
        <v>6.74</v>
      </c>
      <c r="F18" s="151" t="s">
        <v>8</v>
      </c>
      <c r="G18" s="100">
        <v>95.48</v>
      </c>
      <c r="H18" s="100">
        <v>33.01</v>
      </c>
      <c r="I18" s="100">
        <v>10.58</v>
      </c>
      <c r="J18" s="100">
        <v>0.43</v>
      </c>
      <c r="K18" s="100">
        <v>57.56</v>
      </c>
      <c r="L18" s="100">
        <v>7.05</v>
      </c>
      <c r="M18" s="100">
        <v>-0.24</v>
      </c>
      <c r="N18" s="100">
        <v>1.6</v>
      </c>
      <c r="O18" s="100">
        <v>0</v>
      </c>
      <c r="P18" s="100">
        <v>0.66</v>
      </c>
      <c r="Q18" s="100">
        <v>9.32</v>
      </c>
      <c r="R18" s="6"/>
      <c r="S18" s="6"/>
      <c r="T18" s="156"/>
      <c r="U18" s="6"/>
    </row>
    <row r="19" spans="1:21" customFormat="1">
      <c r="A19" s="201" t="s">
        <v>2750</v>
      </c>
      <c r="B19" s="100">
        <v>8.4</v>
      </c>
      <c r="C19" s="100">
        <v>15.83</v>
      </c>
      <c r="D19" s="100">
        <v>15</v>
      </c>
      <c r="E19" s="100">
        <v>6.81</v>
      </c>
      <c r="F19" s="151" t="s">
        <v>8</v>
      </c>
      <c r="G19" s="100">
        <v>94.4</v>
      </c>
      <c r="H19" s="100">
        <v>33</v>
      </c>
      <c r="I19" s="100">
        <v>10.54</v>
      </c>
      <c r="J19" s="100">
        <v>0.35</v>
      </c>
      <c r="K19" s="100">
        <v>61.39</v>
      </c>
      <c r="L19" s="100">
        <v>7.95</v>
      </c>
      <c r="M19" s="100">
        <v>2.0299999999999998</v>
      </c>
      <c r="N19" s="100">
        <v>1.6</v>
      </c>
      <c r="O19" s="100">
        <v>0</v>
      </c>
      <c r="P19" s="100">
        <v>0.65</v>
      </c>
      <c r="Q19" s="100">
        <v>9.32</v>
      </c>
      <c r="R19" s="6"/>
      <c r="S19" s="6"/>
      <c r="T19" s="156"/>
      <c r="U19" s="6"/>
    </row>
    <row r="20" spans="1:21" customFormat="1">
      <c r="A20" s="201" t="s">
        <v>2751</v>
      </c>
      <c r="B20" s="100">
        <v>8.4</v>
      </c>
      <c r="C20" s="100">
        <v>15.78</v>
      </c>
      <c r="D20" s="100">
        <v>14.98</v>
      </c>
      <c r="E20" s="100">
        <v>6.84</v>
      </c>
      <c r="F20" s="151" t="s">
        <v>8</v>
      </c>
      <c r="G20" s="100">
        <v>94.4</v>
      </c>
      <c r="H20" s="100">
        <v>33</v>
      </c>
      <c r="I20" s="100">
        <v>10.51</v>
      </c>
      <c r="J20" s="100">
        <v>0.39</v>
      </c>
      <c r="K20" s="100">
        <v>45.29</v>
      </c>
      <c r="L20" s="100">
        <v>6.38</v>
      </c>
      <c r="M20" s="100">
        <v>-1.95</v>
      </c>
      <c r="N20" s="100">
        <v>1.5</v>
      </c>
      <c r="O20" s="100">
        <v>0</v>
      </c>
      <c r="P20" s="100">
        <v>0.65</v>
      </c>
      <c r="Q20" s="100">
        <v>9.32</v>
      </c>
      <c r="R20" s="6"/>
      <c r="S20" s="6"/>
      <c r="T20" s="156"/>
      <c r="U20" s="6"/>
    </row>
    <row r="21" spans="1:21" customFormat="1">
      <c r="A21" s="201" t="s">
        <v>2752</v>
      </c>
      <c r="B21" s="100">
        <v>8.3800000000000008</v>
      </c>
      <c r="C21" s="100">
        <v>15.65</v>
      </c>
      <c r="D21" s="100">
        <v>14.89</v>
      </c>
      <c r="E21" s="100">
        <v>6.79</v>
      </c>
      <c r="F21" s="151" t="s">
        <v>8</v>
      </c>
      <c r="G21" s="100">
        <v>94.4</v>
      </c>
      <c r="H21" s="100">
        <v>33</v>
      </c>
      <c r="I21" s="100">
        <v>10.5</v>
      </c>
      <c r="J21" s="100">
        <v>0.21</v>
      </c>
      <c r="K21" s="100">
        <v>51.63</v>
      </c>
      <c r="L21" s="100">
        <v>8.9</v>
      </c>
      <c r="M21" s="100">
        <v>4.4000000000000004</v>
      </c>
      <c r="N21" s="100">
        <v>1.7</v>
      </c>
      <c r="O21" s="100">
        <v>0</v>
      </c>
      <c r="P21" s="100">
        <v>0.64</v>
      </c>
      <c r="Q21" s="100">
        <v>9.32</v>
      </c>
      <c r="R21" s="6"/>
      <c r="S21" s="6"/>
      <c r="T21" s="156"/>
      <c r="U21" s="6"/>
    </row>
    <row r="22" spans="1:21" customFormat="1">
      <c r="A22" s="201" t="s">
        <v>2753</v>
      </c>
      <c r="B22" s="100">
        <v>8.33</v>
      </c>
      <c r="C22" s="100">
        <v>15.52</v>
      </c>
      <c r="D22" s="100">
        <v>14.79</v>
      </c>
      <c r="E22" s="100">
        <v>6.86</v>
      </c>
      <c r="F22" s="151" t="s">
        <v>8</v>
      </c>
      <c r="G22" s="100">
        <v>93.04</v>
      </c>
      <c r="H22" s="100">
        <v>33.65</v>
      </c>
      <c r="I22" s="100">
        <v>10.47</v>
      </c>
      <c r="J22" s="100">
        <v>0.28999999999999998</v>
      </c>
      <c r="K22" s="100">
        <v>52.76</v>
      </c>
      <c r="L22" s="100">
        <v>8.34</v>
      </c>
      <c r="M22" s="100">
        <v>2.97</v>
      </c>
      <c r="N22" s="100">
        <v>1.6</v>
      </c>
      <c r="O22" s="100">
        <v>0</v>
      </c>
      <c r="P22" s="100">
        <v>0.63</v>
      </c>
      <c r="Q22" s="100">
        <v>9.32</v>
      </c>
      <c r="R22" s="6"/>
      <c r="S22" s="6"/>
      <c r="T22" s="156"/>
      <c r="U22" s="6"/>
    </row>
    <row r="23" spans="1:21" customFormat="1">
      <c r="A23" s="201" t="s">
        <v>2754</v>
      </c>
      <c r="B23" s="100">
        <v>8.36</v>
      </c>
      <c r="C23" s="100">
        <v>15.43</v>
      </c>
      <c r="D23" s="100">
        <v>14.77</v>
      </c>
      <c r="E23" s="100">
        <v>7.24</v>
      </c>
      <c r="F23" s="151" t="s">
        <v>8</v>
      </c>
      <c r="G23" s="100">
        <v>92.39</v>
      </c>
      <c r="H23" s="100">
        <v>33.72</v>
      </c>
      <c r="I23" s="100">
        <v>10.41</v>
      </c>
      <c r="J23" s="100">
        <v>0.31</v>
      </c>
      <c r="K23" s="100">
        <v>49.68</v>
      </c>
      <c r="L23" s="100">
        <v>9</v>
      </c>
      <c r="M23" s="100">
        <v>4.63</v>
      </c>
      <c r="N23" s="100">
        <v>1.6</v>
      </c>
      <c r="O23" s="100">
        <v>0</v>
      </c>
      <c r="P23" s="100">
        <v>0.63</v>
      </c>
      <c r="Q23" s="100">
        <v>9.32</v>
      </c>
      <c r="R23" s="6"/>
      <c r="S23" s="6"/>
      <c r="T23" s="156"/>
      <c r="U23" s="6"/>
    </row>
    <row r="24" spans="1:21" customFormat="1">
      <c r="A24" s="201" t="s">
        <v>2755</v>
      </c>
      <c r="B24" s="100">
        <v>8.4600000000000009</v>
      </c>
      <c r="C24" s="100">
        <v>15.48</v>
      </c>
      <c r="D24" s="100">
        <v>14.87</v>
      </c>
      <c r="E24" s="100">
        <v>6.73</v>
      </c>
      <c r="F24" s="151" t="s">
        <v>8</v>
      </c>
      <c r="G24" s="100">
        <v>92.39</v>
      </c>
      <c r="H24" s="100">
        <v>33.72</v>
      </c>
      <c r="I24" s="100">
        <v>10.36</v>
      </c>
      <c r="J24" s="100">
        <v>0.2</v>
      </c>
      <c r="K24" s="100">
        <v>50.44</v>
      </c>
      <c r="L24" s="100">
        <v>9.24</v>
      </c>
      <c r="M24" s="100">
        <v>5.18</v>
      </c>
      <c r="N24" s="100">
        <v>1.7</v>
      </c>
      <c r="O24" s="100">
        <v>0</v>
      </c>
      <c r="P24" s="100">
        <v>0.63</v>
      </c>
      <c r="Q24" s="100">
        <v>9.32</v>
      </c>
      <c r="R24" s="6"/>
      <c r="S24" s="6"/>
      <c r="T24" s="156"/>
      <c r="U24" s="6"/>
    </row>
    <row r="25" spans="1:21" customFormat="1">
      <c r="A25" s="201" t="s">
        <v>2756</v>
      </c>
      <c r="B25" s="100">
        <v>8.57</v>
      </c>
      <c r="C25" s="100">
        <v>15.62</v>
      </c>
      <c r="D25" s="100">
        <v>15.03</v>
      </c>
      <c r="E25" s="100">
        <v>6.53</v>
      </c>
      <c r="F25" s="151" t="s">
        <v>8</v>
      </c>
      <c r="G25" s="100">
        <v>92.39</v>
      </c>
      <c r="H25" s="100">
        <v>33.72</v>
      </c>
      <c r="I25" s="100">
        <v>10.33</v>
      </c>
      <c r="J25" s="100">
        <v>0.1</v>
      </c>
      <c r="K25" s="100">
        <v>83.9</v>
      </c>
      <c r="L25" s="100">
        <v>13.52</v>
      </c>
      <c r="M25" s="100">
        <v>16.100000000000001</v>
      </c>
      <c r="N25" s="100">
        <v>1.6</v>
      </c>
      <c r="O25" s="100">
        <v>0</v>
      </c>
      <c r="P25" s="100">
        <v>0.62</v>
      </c>
      <c r="Q25" s="100">
        <v>9.32</v>
      </c>
      <c r="R25" s="6"/>
      <c r="S25" s="6"/>
      <c r="T25" s="156"/>
      <c r="U25" s="6"/>
    </row>
    <row r="26" spans="1:21" customFormat="1">
      <c r="A26" s="201" t="s">
        <v>2757</v>
      </c>
      <c r="B26" s="100">
        <v>8.58</v>
      </c>
      <c r="C26" s="100">
        <v>15.79</v>
      </c>
      <c r="D26" s="100">
        <v>15.13</v>
      </c>
      <c r="E26" s="100">
        <v>6.77</v>
      </c>
      <c r="F26" s="151" t="s">
        <v>8</v>
      </c>
      <c r="G26" s="100">
        <v>92.73</v>
      </c>
      <c r="H26" s="100">
        <v>32.61</v>
      </c>
      <c r="I26" s="100">
        <v>10.32</v>
      </c>
      <c r="J26" s="100">
        <v>0.13</v>
      </c>
      <c r="K26" s="100">
        <v>73.11</v>
      </c>
      <c r="L26" s="100">
        <v>9.64</v>
      </c>
      <c r="M26" s="100">
        <v>6.35</v>
      </c>
      <c r="N26" s="100">
        <v>1.6</v>
      </c>
      <c r="O26" s="100">
        <v>0</v>
      </c>
      <c r="P26" s="100">
        <v>0.62</v>
      </c>
      <c r="Q26" s="100">
        <v>9.32</v>
      </c>
      <c r="R26" s="6"/>
      <c r="S26" s="6"/>
      <c r="T26" s="156"/>
      <c r="U26" s="6"/>
    </row>
    <row r="27" spans="1:21" customFormat="1">
      <c r="A27" s="201" t="s">
        <v>2758</v>
      </c>
      <c r="B27" s="100">
        <v>8.76</v>
      </c>
      <c r="C27" s="100">
        <v>15.92</v>
      </c>
      <c r="D27" s="100">
        <v>15.34</v>
      </c>
      <c r="E27" s="100">
        <v>6.69</v>
      </c>
      <c r="F27" s="151" t="s">
        <v>8</v>
      </c>
      <c r="G27" s="100">
        <v>92.88</v>
      </c>
      <c r="H27" s="100">
        <v>32.409999999999997</v>
      </c>
      <c r="I27" s="100">
        <v>10.32</v>
      </c>
      <c r="J27" s="100">
        <v>0.15</v>
      </c>
      <c r="K27" s="100">
        <v>60.07</v>
      </c>
      <c r="L27" s="100">
        <v>9.5500000000000007</v>
      </c>
      <c r="M27" s="100">
        <v>6.18</v>
      </c>
      <c r="N27" s="100">
        <v>1.4</v>
      </c>
      <c r="O27" s="100">
        <v>0</v>
      </c>
      <c r="P27" s="100">
        <v>0.6</v>
      </c>
      <c r="Q27" s="100">
        <v>9.32</v>
      </c>
      <c r="R27" s="6"/>
      <c r="S27" s="6"/>
      <c r="T27" s="156"/>
      <c r="U27" s="6"/>
    </row>
    <row r="28" spans="1:21" customFormat="1">
      <c r="A28" s="201" t="s">
        <v>2759</v>
      </c>
      <c r="B28" s="100">
        <v>8.9600000000000009</v>
      </c>
      <c r="C28" s="100">
        <v>16.07</v>
      </c>
      <c r="D28" s="100">
        <v>15.58</v>
      </c>
      <c r="E28" s="100">
        <v>6.89</v>
      </c>
      <c r="F28" s="151" t="s">
        <v>8</v>
      </c>
      <c r="G28" s="100">
        <v>92.88</v>
      </c>
      <c r="H28" s="100">
        <v>32.409999999999997</v>
      </c>
      <c r="I28" s="100">
        <v>10.27</v>
      </c>
      <c r="J28" s="100">
        <v>0.37</v>
      </c>
      <c r="K28" s="100">
        <v>49.57</v>
      </c>
      <c r="L28" s="100">
        <v>7.79</v>
      </c>
      <c r="M28" s="100">
        <v>1.62</v>
      </c>
      <c r="N28" s="100">
        <v>1.4</v>
      </c>
      <c r="O28" s="100">
        <v>0</v>
      </c>
      <c r="P28" s="100">
        <v>0.6</v>
      </c>
      <c r="Q28" s="100">
        <v>9.32</v>
      </c>
      <c r="R28" s="6"/>
      <c r="S28" s="6"/>
      <c r="T28" s="156"/>
      <c r="U28" s="6"/>
    </row>
    <row r="29" spans="1:21" customFormat="1">
      <c r="A29" s="201" t="s">
        <v>2760</v>
      </c>
      <c r="B29" s="100">
        <v>9.1999999999999993</v>
      </c>
      <c r="C29" s="100">
        <v>16.18</v>
      </c>
      <c r="D29" s="100">
        <v>15.84</v>
      </c>
      <c r="E29" s="100">
        <v>6.61</v>
      </c>
      <c r="F29" s="151" t="s">
        <v>8</v>
      </c>
      <c r="G29" s="100">
        <v>92.88</v>
      </c>
      <c r="H29" s="100">
        <v>32.409999999999997</v>
      </c>
      <c r="I29" s="100">
        <v>10.25</v>
      </c>
      <c r="J29" s="100">
        <v>0.41</v>
      </c>
      <c r="K29" s="100">
        <v>52.2</v>
      </c>
      <c r="L29" s="100">
        <v>7.82</v>
      </c>
      <c r="M29" s="100">
        <v>1.74</v>
      </c>
      <c r="N29" s="100">
        <v>1.4</v>
      </c>
      <c r="O29" s="100">
        <v>0</v>
      </c>
      <c r="P29" s="100">
        <v>0.6</v>
      </c>
      <c r="Q29" s="100">
        <v>9.32</v>
      </c>
      <c r="R29" s="6"/>
      <c r="S29" s="6"/>
      <c r="T29" s="156"/>
      <c r="U29" s="6"/>
    </row>
    <row r="30" spans="1:21" customFormat="1">
      <c r="A30" s="201" t="s">
        <v>2761</v>
      </c>
      <c r="B30" s="100">
        <v>9.58</v>
      </c>
      <c r="C30" s="100">
        <v>16.32</v>
      </c>
      <c r="D30" s="100">
        <v>16.21</v>
      </c>
      <c r="E30" s="100">
        <v>6.35</v>
      </c>
      <c r="F30" s="151" t="s">
        <v>8</v>
      </c>
      <c r="G30" s="100">
        <v>94.68</v>
      </c>
      <c r="H30" s="100">
        <v>31.97</v>
      </c>
      <c r="I30" s="100">
        <v>10.25</v>
      </c>
      <c r="J30" s="100">
        <v>0.4</v>
      </c>
      <c r="K30" s="100">
        <v>51.77</v>
      </c>
      <c r="L30" s="100">
        <v>7.13</v>
      </c>
      <c r="M30" s="100">
        <v>-0.04</v>
      </c>
      <c r="N30" s="100">
        <v>1.5</v>
      </c>
      <c r="O30" s="100">
        <v>0</v>
      </c>
      <c r="P30" s="100">
        <v>0.6</v>
      </c>
      <c r="Q30" s="100">
        <v>9.32</v>
      </c>
      <c r="R30" s="6"/>
      <c r="S30" s="6"/>
      <c r="T30" s="156"/>
      <c r="U30" s="6"/>
    </row>
    <row r="31" spans="1:21" customFormat="1">
      <c r="A31" s="201" t="s">
        <v>2762</v>
      </c>
      <c r="B31" s="100">
        <v>9.7200000000000006</v>
      </c>
      <c r="C31" s="100">
        <v>16.36</v>
      </c>
      <c r="D31" s="100">
        <v>16.34</v>
      </c>
      <c r="E31" s="100">
        <v>6.64</v>
      </c>
      <c r="F31" s="151" t="s">
        <v>8</v>
      </c>
      <c r="G31" s="100">
        <v>95.53</v>
      </c>
      <c r="H31" s="100">
        <v>31.92</v>
      </c>
      <c r="I31" s="100">
        <v>10.25</v>
      </c>
      <c r="J31" s="100">
        <v>0.22</v>
      </c>
      <c r="K31" s="100">
        <v>66.260000000000005</v>
      </c>
      <c r="L31" s="100">
        <v>9.09</v>
      </c>
      <c r="M31" s="100">
        <v>4.9800000000000004</v>
      </c>
      <c r="N31" s="100">
        <v>1.7</v>
      </c>
      <c r="O31" s="100">
        <v>0</v>
      </c>
      <c r="P31" s="100">
        <v>0.59</v>
      </c>
      <c r="Q31" s="100">
        <v>9.32</v>
      </c>
      <c r="R31" s="6"/>
      <c r="S31" s="6"/>
      <c r="T31" s="156"/>
      <c r="U31" s="6"/>
    </row>
    <row r="32" spans="1:21" customFormat="1">
      <c r="A32" s="201" t="s">
        <v>2763</v>
      </c>
      <c r="B32" s="100">
        <v>9.6999999999999993</v>
      </c>
      <c r="C32" s="100">
        <v>16.39</v>
      </c>
      <c r="D32" s="100">
        <v>16.34</v>
      </c>
      <c r="E32" s="100">
        <v>6.69</v>
      </c>
      <c r="F32" s="151" t="s">
        <v>8</v>
      </c>
      <c r="G32" s="100">
        <v>95.53</v>
      </c>
      <c r="H32" s="100">
        <v>31.92</v>
      </c>
      <c r="I32" s="100">
        <v>10.28</v>
      </c>
      <c r="J32" s="100">
        <v>0.46</v>
      </c>
      <c r="K32" s="100">
        <v>52.28</v>
      </c>
      <c r="L32" s="100">
        <v>7.11</v>
      </c>
      <c r="M32" s="100">
        <v>-0.05</v>
      </c>
      <c r="N32" s="100">
        <v>1.4</v>
      </c>
      <c r="O32" s="100">
        <v>0</v>
      </c>
      <c r="P32" s="100">
        <v>0.6</v>
      </c>
      <c r="Q32" s="100">
        <v>9.32</v>
      </c>
      <c r="R32" s="6"/>
      <c r="S32" s="6"/>
      <c r="T32" s="156"/>
      <c r="U32" s="6"/>
    </row>
    <row r="33" spans="1:21" customFormat="1">
      <c r="A33" s="201" t="s">
        <v>2764</v>
      </c>
      <c r="B33" s="100">
        <v>9.58</v>
      </c>
      <c r="C33" s="100">
        <v>16.350000000000001</v>
      </c>
      <c r="D33" s="100">
        <v>16.22</v>
      </c>
      <c r="E33" s="100">
        <v>6.49</v>
      </c>
      <c r="F33" s="151" t="s">
        <v>8</v>
      </c>
      <c r="G33" s="100">
        <v>95.53</v>
      </c>
      <c r="H33" s="100">
        <v>31.92</v>
      </c>
      <c r="I33" s="100">
        <v>10.33</v>
      </c>
      <c r="J33" s="100">
        <v>0.43</v>
      </c>
      <c r="K33" s="100">
        <v>47.46</v>
      </c>
      <c r="L33" s="100">
        <v>7.08</v>
      </c>
      <c r="M33" s="100">
        <v>-0.17</v>
      </c>
      <c r="N33" s="100">
        <v>2.1</v>
      </c>
      <c r="O33" s="100">
        <v>0</v>
      </c>
      <c r="P33" s="100">
        <v>0.6</v>
      </c>
      <c r="Q33" s="100">
        <v>9.32</v>
      </c>
      <c r="R33" s="6"/>
      <c r="S33" s="6"/>
      <c r="T33" s="156"/>
      <c r="U33" s="6"/>
    </row>
    <row r="34" spans="1:21" customFormat="1">
      <c r="A34" s="201" t="s">
        <v>2765</v>
      </c>
      <c r="B34" s="100">
        <v>9.59</v>
      </c>
      <c r="C34" s="100">
        <v>16.350000000000001</v>
      </c>
      <c r="D34" s="100">
        <v>16.239999999999998</v>
      </c>
      <c r="E34" s="100">
        <v>6.42</v>
      </c>
      <c r="F34" s="151" t="s">
        <v>8</v>
      </c>
      <c r="G34" s="100">
        <v>89.9</v>
      </c>
      <c r="H34" s="100">
        <v>32.61</v>
      </c>
      <c r="I34" s="100">
        <v>10.39</v>
      </c>
      <c r="J34" s="100">
        <v>0.43</v>
      </c>
      <c r="K34" s="100">
        <v>47.32</v>
      </c>
      <c r="L34" s="100">
        <v>6.68</v>
      </c>
      <c r="M34" s="100">
        <v>-1.26</v>
      </c>
      <c r="N34" s="100">
        <v>5</v>
      </c>
      <c r="O34" s="100">
        <v>0</v>
      </c>
      <c r="P34" s="100">
        <v>0.6</v>
      </c>
      <c r="Q34" s="100">
        <v>9.32</v>
      </c>
      <c r="R34" s="6"/>
      <c r="S34" s="6"/>
      <c r="T34" s="156"/>
      <c r="U34" s="6"/>
    </row>
    <row r="35" spans="1:21" customFormat="1">
      <c r="A35" s="201" t="s">
        <v>2766</v>
      </c>
      <c r="B35" s="100">
        <v>9.81</v>
      </c>
      <c r="C35" s="100">
        <v>16.43</v>
      </c>
      <c r="D35" s="100">
        <v>16.45</v>
      </c>
      <c r="E35" s="100">
        <v>6.19</v>
      </c>
      <c r="F35" s="151" t="s">
        <v>8</v>
      </c>
      <c r="G35" s="100">
        <v>87.22</v>
      </c>
      <c r="H35" s="100">
        <v>32.68</v>
      </c>
      <c r="I35" s="100">
        <v>10.45</v>
      </c>
      <c r="J35" s="100">
        <v>0.4</v>
      </c>
      <c r="K35" s="100">
        <v>44.28</v>
      </c>
      <c r="L35" s="100">
        <v>7.74</v>
      </c>
      <c r="M35" s="100">
        <v>1.24</v>
      </c>
      <c r="N35" s="100">
        <v>12.6</v>
      </c>
      <c r="O35" s="100">
        <v>0</v>
      </c>
      <c r="P35" s="100">
        <v>0.61</v>
      </c>
      <c r="Q35" s="100">
        <v>9.32</v>
      </c>
      <c r="R35" s="6"/>
      <c r="S35" s="6"/>
      <c r="T35" s="156"/>
      <c r="U35" s="6"/>
    </row>
    <row r="36" spans="1:21" customFormat="1">
      <c r="A36" s="201" t="s">
        <v>2767</v>
      </c>
      <c r="B36" s="100">
        <v>10.09</v>
      </c>
      <c r="C36" s="100">
        <v>16.54</v>
      </c>
      <c r="D36" s="100">
        <v>16.73</v>
      </c>
      <c r="E36" s="100">
        <v>6.48</v>
      </c>
      <c r="F36" s="151" t="s">
        <v>8</v>
      </c>
      <c r="G36" s="100">
        <v>87.22</v>
      </c>
      <c r="H36" s="100">
        <v>32.68</v>
      </c>
      <c r="I36" s="100">
        <v>10.57</v>
      </c>
      <c r="J36" s="100">
        <v>0.51</v>
      </c>
      <c r="K36" s="100">
        <v>47.15</v>
      </c>
      <c r="L36" s="100">
        <v>8.15</v>
      </c>
      <c r="M36" s="100">
        <v>2.08</v>
      </c>
      <c r="N36" s="100">
        <v>22.6</v>
      </c>
      <c r="O36" s="100">
        <v>0</v>
      </c>
      <c r="P36" s="100">
        <v>0.62</v>
      </c>
      <c r="Q36" s="100">
        <v>9.32</v>
      </c>
      <c r="R36" s="6"/>
      <c r="S36" s="6"/>
      <c r="T36" s="156"/>
      <c r="U36" s="6"/>
    </row>
    <row r="37" spans="1:21" customFormat="1">
      <c r="A37" s="201" t="s">
        <v>2768</v>
      </c>
      <c r="B37" s="100">
        <v>10.31</v>
      </c>
      <c r="C37" s="100">
        <v>16.690000000000001</v>
      </c>
      <c r="D37" s="100">
        <v>16.989999999999998</v>
      </c>
      <c r="E37" s="100">
        <v>6.25</v>
      </c>
      <c r="F37" s="151" t="s">
        <v>8</v>
      </c>
      <c r="G37" s="100">
        <v>87.22</v>
      </c>
      <c r="H37" s="100">
        <v>32.68</v>
      </c>
      <c r="I37" s="100">
        <v>10.72</v>
      </c>
      <c r="J37" s="100">
        <v>0.56999999999999995</v>
      </c>
      <c r="K37" s="100">
        <v>48.76</v>
      </c>
      <c r="L37" s="100">
        <v>6.97</v>
      </c>
      <c r="M37" s="100">
        <v>-1.17</v>
      </c>
      <c r="N37" s="100">
        <v>34.200000000000003</v>
      </c>
      <c r="O37" s="100">
        <v>0</v>
      </c>
      <c r="P37" s="100">
        <v>0.62</v>
      </c>
      <c r="Q37" s="100">
        <v>9.32</v>
      </c>
      <c r="R37" s="6"/>
      <c r="S37" s="6"/>
      <c r="T37" s="156"/>
      <c r="U37" s="6"/>
    </row>
    <row r="38" spans="1:21" customFormat="1">
      <c r="A38" s="201" t="s">
        <v>2769</v>
      </c>
      <c r="B38" s="100">
        <v>10.44</v>
      </c>
      <c r="C38" s="100">
        <v>16.82</v>
      </c>
      <c r="D38" s="100">
        <v>17.16</v>
      </c>
      <c r="E38" s="100">
        <v>6.67</v>
      </c>
      <c r="F38" s="151" t="s">
        <v>8</v>
      </c>
      <c r="G38" s="100">
        <v>96.83</v>
      </c>
      <c r="H38" s="100">
        <v>32.99</v>
      </c>
      <c r="I38" s="100">
        <v>10.83</v>
      </c>
      <c r="J38" s="100">
        <v>0.7</v>
      </c>
      <c r="K38" s="100">
        <v>48.28</v>
      </c>
      <c r="L38" s="100">
        <v>7.57</v>
      </c>
      <c r="M38" s="100">
        <v>0.02</v>
      </c>
      <c r="N38" s="100">
        <v>46.8</v>
      </c>
      <c r="O38" s="100">
        <v>0</v>
      </c>
      <c r="P38" s="100">
        <v>0.63</v>
      </c>
      <c r="Q38" s="100">
        <v>9.32</v>
      </c>
      <c r="R38" s="6"/>
      <c r="S38" s="6"/>
      <c r="T38" s="156"/>
      <c r="U38" s="6"/>
    </row>
    <row r="39" spans="1:21" customFormat="1">
      <c r="A39" s="201" t="s">
        <v>2770</v>
      </c>
      <c r="B39" s="100">
        <v>10.38</v>
      </c>
      <c r="C39" s="100">
        <v>16.97</v>
      </c>
      <c r="D39" s="100">
        <v>17.190000000000001</v>
      </c>
      <c r="E39" s="100">
        <v>6.38</v>
      </c>
      <c r="F39" s="151" t="s">
        <v>8</v>
      </c>
      <c r="G39" s="100">
        <v>101.4</v>
      </c>
      <c r="H39" s="100">
        <v>33.020000000000003</v>
      </c>
      <c r="I39" s="100">
        <v>10.94</v>
      </c>
      <c r="J39" s="100">
        <v>0.81</v>
      </c>
      <c r="K39" s="100">
        <v>43.83</v>
      </c>
      <c r="L39" s="100">
        <v>7.07</v>
      </c>
      <c r="M39" s="100">
        <v>-1.56</v>
      </c>
      <c r="N39" s="100">
        <v>59.4</v>
      </c>
      <c r="O39" s="100">
        <v>0</v>
      </c>
      <c r="P39" s="100">
        <v>0.63</v>
      </c>
      <c r="Q39" s="100">
        <v>9.32</v>
      </c>
      <c r="R39" s="6"/>
      <c r="S39" s="6"/>
      <c r="T39" s="156"/>
      <c r="U39" s="6"/>
    </row>
    <row r="40" spans="1:21" customFormat="1">
      <c r="A40" s="201" t="s">
        <v>2771</v>
      </c>
      <c r="B40" s="100">
        <v>10.25</v>
      </c>
      <c r="C40" s="100">
        <v>17.22</v>
      </c>
      <c r="D40" s="100">
        <v>17.21</v>
      </c>
      <c r="E40" s="100">
        <v>6.63</v>
      </c>
      <c r="F40" s="151" t="s">
        <v>8</v>
      </c>
      <c r="G40" s="100">
        <v>101.4</v>
      </c>
      <c r="H40" s="100">
        <v>33.020000000000003</v>
      </c>
      <c r="I40" s="100">
        <v>11.03</v>
      </c>
      <c r="J40" s="100">
        <v>0.78</v>
      </c>
      <c r="K40" s="100">
        <v>46.02</v>
      </c>
      <c r="L40" s="100">
        <v>7.54</v>
      </c>
      <c r="M40" s="100">
        <v>-1.43</v>
      </c>
      <c r="N40" s="100">
        <v>104.4</v>
      </c>
      <c r="O40" s="100">
        <v>0</v>
      </c>
      <c r="P40" s="100">
        <v>0.63</v>
      </c>
      <c r="Q40" s="100">
        <v>9.32</v>
      </c>
      <c r="R40" s="6"/>
      <c r="S40" s="6"/>
      <c r="T40" s="156"/>
      <c r="U40" s="6"/>
    </row>
    <row r="41" spans="1:21" customFormat="1">
      <c r="A41" s="201" t="s">
        <v>2772</v>
      </c>
      <c r="B41" s="100">
        <v>10.06</v>
      </c>
      <c r="C41" s="100">
        <v>17.39</v>
      </c>
      <c r="D41" s="100">
        <v>17.16</v>
      </c>
      <c r="E41" s="100">
        <v>6.39</v>
      </c>
      <c r="F41" s="151" t="s">
        <v>8</v>
      </c>
      <c r="G41" s="100">
        <v>101.4</v>
      </c>
      <c r="H41" s="100">
        <v>33.020000000000003</v>
      </c>
      <c r="I41" s="100">
        <v>11.11</v>
      </c>
      <c r="J41" s="100">
        <v>0.92</v>
      </c>
      <c r="K41" s="100">
        <v>47.2</v>
      </c>
      <c r="L41" s="100">
        <v>8.41</v>
      </c>
      <c r="M41" s="100">
        <v>-0.46</v>
      </c>
      <c r="N41" s="100">
        <v>155.6</v>
      </c>
      <c r="O41" s="100">
        <v>0</v>
      </c>
      <c r="P41" s="100">
        <v>0.63</v>
      </c>
      <c r="Q41" s="100">
        <v>9.32</v>
      </c>
      <c r="R41" s="6"/>
      <c r="S41" s="6"/>
      <c r="T41" s="156"/>
      <c r="U41" s="6"/>
    </row>
    <row r="42" spans="1:21" customFormat="1">
      <c r="A42" s="201" t="s">
        <v>2773</v>
      </c>
      <c r="B42" s="100">
        <v>9.7200000000000006</v>
      </c>
      <c r="C42" s="100">
        <v>17.41</v>
      </c>
      <c r="D42" s="100">
        <v>16.89</v>
      </c>
      <c r="E42" s="100">
        <v>6.16</v>
      </c>
      <c r="F42" s="151" t="s">
        <v>8</v>
      </c>
      <c r="G42" s="100">
        <v>110.27</v>
      </c>
      <c r="H42" s="100">
        <v>32.21</v>
      </c>
      <c r="I42" s="100">
        <v>11.15</v>
      </c>
      <c r="J42" s="100">
        <v>0.77</v>
      </c>
      <c r="K42" s="100">
        <v>53.72</v>
      </c>
      <c r="L42" s="100">
        <v>9.35</v>
      </c>
      <c r="M42" s="100">
        <v>1.0900000000000001</v>
      </c>
      <c r="N42" s="100">
        <v>191.4</v>
      </c>
      <c r="O42" s="100">
        <v>0</v>
      </c>
      <c r="P42" s="100">
        <v>0.64</v>
      </c>
      <c r="Q42" s="100">
        <v>9.32</v>
      </c>
      <c r="R42" s="6"/>
      <c r="S42" s="6"/>
      <c r="T42" s="156"/>
      <c r="U42" s="6"/>
    </row>
    <row r="43" spans="1:21" customFormat="1">
      <c r="A43" s="201" t="s">
        <v>2774</v>
      </c>
      <c r="B43" s="100">
        <v>9.18</v>
      </c>
      <c r="C43" s="100">
        <v>17.329999999999998</v>
      </c>
      <c r="D43" s="100">
        <v>16.420000000000002</v>
      </c>
      <c r="E43" s="100">
        <v>6.37</v>
      </c>
      <c r="F43" s="151" t="s">
        <v>8</v>
      </c>
      <c r="G43" s="100">
        <v>114.49</v>
      </c>
      <c r="H43" s="100">
        <v>32.119999999999997</v>
      </c>
      <c r="I43" s="100">
        <v>11.19</v>
      </c>
      <c r="J43" s="100">
        <v>0.69</v>
      </c>
      <c r="K43" s="100">
        <v>49.95</v>
      </c>
      <c r="L43" s="100">
        <v>10.8</v>
      </c>
      <c r="M43" s="100">
        <v>3.91</v>
      </c>
      <c r="N43" s="100">
        <v>226.4</v>
      </c>
      <c r="O43" s="100">
        <v>0</v>
      </c>
      <c r="P43" s="100">
        <v>0.63</v>
      </c>
      <c r="Q43" s="100">
        <v>9.32</v>
      </c>
      <c r="R43" s="6"/>
      <c r="S43" s="6"/>
      <c r="T43" s="156"/>
      <c r="U43" s="6"/>
    </row>
    <row r="44" spans="1:21" customFormat="1">
      <c r="A44" s="201" t="s">
        <v>2775</v>
      </c>
      <c r="B44" s="100">
        <v>8.5299999999999994</v>
      </c>
      <c r="C44" s="100">
        <v>17.55</v>
      </c>
      <c r="D44" s="100">
        <v>16.010000000000002</v>
      </c>
      <c r="E44" s="100">
        <v>6.56</v>
      </c>
      <c r="F44" s="151" t="s">
        <v>8</v>
      </c>
      <c r="G44" s="100">
        <v>114.49</v>
      </c>
      <c r="H44" s="100">
        <v>32.119999999999997</v>
      </c>
      <c r="I44" s="100">
        <v>11.25</v>
      </c>
      <c r="J44" s="100">
        <v>0.96</v>
      </c>
      <c r="K44" s="100">
        <v>47.88</v>
      </c>
      <c r="L44" s="100">
        <v>9.89</v>
      </c>
      <c r="M44" s="100">
        <v>0.97</v>
      </c>
      <c r="N44" s="100">
        <v>251.5</v>
      </c>
      <c r="O44" s="100">
        <v>0</v>
      </c>
      <c r="P44" s="100">
        <v>0.64</v>
      </c>
      <c r="Q44" s="100">
        <v>9.32</v>
      </c>
      <c r="R44" s="6"/>
      <c r="S44" s="6"/>
      <c r="T44" s="156"/>
      <c r="U44" s="6"/>
    </row>
    <row r="45" spans="1:21" customFormat="1">
      <c r="A45" s="201" t="s">
        <v>2776</v>
      </c>
      <c r="B45" s="100">
        <v>8.0299999999999994</v>
      </c>
      <c r="C45" s="100">
        <v>17.809999999999999</v>
      </c>
      <c r="D45" s="100">
        <v>15.75</v>
      </c>
      <c r="E45" s="100">
        <v>6.27</v>
      </c>
      <c r="F45" s="151" t="s">
        <v>8</v>
      </c>
      <c r="G45" s="100">
        <v>114.49</v>
      </c>
      <c r="H45" s="100">
        <v>32.119999999999997</v>
      </c>
      <c r="I45" s="100">
        <v>11.27</v>
      </c>
      <c r="J45" s="100">
        <v>1.01</v>
      </c>
      <c r="K45" s="100">
        <v>47.6</v>
      </c>
      <c r="L45" s="100">
        <v>9.24</v>
      </c>
      <c r="M45" s="100">
        <v>0.61</v>
      </c>
      <c r="N45" s="100">
        <v>199.4</v>
      </c>
      <c r="O45" s="100">
        <v>0</v>
      </c>
      <c r="P45" s="100">
        <v>0.64</v>
      </c>
      <c r="Q45" s="100">
        <v>9.3800000000000008</v>
      </c>
      <c r="R45" s="6"/>
      <c r="S45" s="6"/>
      <c r="T45" s="156"/>
      <c r="U45" s="6"/>
    </row>
    <row r="46" spans="1:21" customFormat="1">
      <c r="A46" s="201" t="s">
        <v>2777</v>
      </c>
      <c r="B46" s="100">
        <v>7.72</v>
      </c>
      <c r="C46" s="100">
        <v>17.66</v>
      </c>
      <c r="D46" s="100">
        <v>15.42</v>
      </c>
      <c r="E46" s="100">
        <v>6.69</v>
      </c>
      <c r="F46" s="151" t="s">
        <v>8</v>
      </c>
      <c r="G46" s="100">
        <v>107.12</v>
      </c>
      <c r="H46" s="100">
        <v>33.49</v>
      </c>
      <c r="I46" s="100">
        <v>11.32</v>
      </c>
      <c r="J46" s="100">
        <v>1.03</v>
      </c>
      <c r="K46" s="100">
        <v>55.19</v>
      </c>
      <c r="L46" s="100">
        <v>10.63</v>
      </c>
      <c r="M46" s="100">
        <v>3.39</v>
      </c>
      <c r="N46" s="100">
        <v>229.6</v>
      </c>
      <c r="O46" s="100">
        <v>0</v>
      </c>
      <c r="P46" s="100">
        <v>0.65</v>
      </c>
      <c r="Q46" s="100">
        <v>9.4</v>
      </c>
      <c r="R46" s="6"/>
      <c r="S46" s="6"/>
      <c r="T46" s="156"/>
      <c r="U46" s="6"/>
    </row>
    <row r="47" spans="1:21" customFormat="1">
      <c r="A47" s="201" t="s">
        <v>2778</v>
      </c>
      <c r="B47" s="100">
        <v>7.35</v>
      </c>
      <c r="C47" s="100">
        <v>17.43</v>
      </c>
      <c r="D47" s="100">
        <v>15</v>
      </c>
      <c r="E47" s="100">
        <v>6.73</v>
      </c>
      <c r="F47" s="151" t="s">
        <v>8</v>
      </c>
      <c r="G47" s="100">
        <v>103.62</v>
      </c>
      <c r="H47" s="100">
        <v>33.630000000000003</v>
      </c>
      <c r="I47" s="100">
        <v>11.3</v>
      </c>
      <c r="J47" s="100">
        <v>0.78</v>
      </c>
      <c r="K47" s="100">
        <v>50.99</v>
      </c>
      <c r="L47" s="100">
        <v>11.82</v>
      </c>
      <c r="M47" s="100">
        <v>6.42</v>
      </c>
      <c r="N47" s="100">
        <v>224.8</v>
      </c>
      <c r="O47" s="100">
        <v>0</v>
      </c>
      <c r="P47" s="100">
        <v>0.63</v>
      </c>
      <c r="Q47" s="100">
        <v>9.32</v>
      </c>
      <c r="R47" s="6"/>
      <c r="S47" s="6"/>
      <c r="T47" s="156"/>
      <c r="U47" s="6"/>
    </row>
    <row r="48" spans="1:21" customFormat="1">
      <c r="A48" s="201" t="s">
        <v>2779</v>
      </c>
      <c r="B48" s="100">
        <v>6.91</v>
      </c>
      <c r="C48" s="100">
        <v>17.22</v>
      </c>
      <c r="D48" s="100">
        <v>14.54</v>
      </c>
      <c r="E48" s="100">
        <v>6.7</v>
      </c>
      <c r="F48" s="151" t="s">
        <v>8</v>
      </c>
      <c r="G48" s="100">
        <v>103.62</v>
      </c>
      <c r="H48" s="100">
        <v>33.630000000000003</v>
      </c>
      <c r="I48" s="100">
        <v>11.24</v>
      </c>
      <c r="J48" s="100">
        <v>1.34</v>
      </c>
      <c r="K48" s="100">
        <v>44.26</v>
      </c>
      <c r="L48" s="100">
        <v>11.42</v>
      </c>
      <c r="M48" s="100">
        <v>3.25</v>
      </c>
      <c r="N48" s="100">
        <v>314.2</v>
      </c>
      <c r="O48" s="100">
        <v>0</v>
      </c>
      <c r="P48" s="100">
        <v>0.63</v>
      </c>
      <c r="Q48" s="100">
        <v>9.32</v>
      </c>
      <c r="R48" s="6"/>
      <c r="S48" s="6"/>
      <c r="T48" s="156"/>
      <c r="U48" s="6"/>
    </row>
    <row r="49" spans="1:21" customFormat="1">
      <c r="A49" s="201" t="s">
        <v>2780</v>
      </c>
      <c r="B49" s="100">
        <v>6.48</v>
      </c>
      <c r="C49" s="100">
        <v>17.09</v>
      </c>
      <c r="D49" s="100">
        <v>14.12</v>
      </c>
      <c r="E49" s="100">
        <v>4.8099999999999996</v>
      </c>
      <c r="F49" s="151" t="s">
        <v>8</v>
      </c>
      <c r="G49" s="100">
        <v>103.62</v>
      </c>
      <c r="H49" s="100">
        <v>33.630000000000003</v>
      </c>
      <c r="I49" s="100">
        <v>11.19</v>
      </c>
      <c r="J49" s="100">
        <v>1.17</v>
      </c>
      <c r="K49" s="100">
        <v>45.2</v>
      </c>
      <c r="L49" s="100">
        <v>11.58</v>
      </c>
      <c r="M49" s="100">
        <v>1.7</v>
      </c>
      <c r="N49" s="100">
        <v>397</v>
      </c>
      <c r="O49" s="100">
        <v>0</v>
      </c>
      <c r="P49" s="100">
        <v>0.62</v>
      </c>
      <c r="Q49" s="100">
        <v>9.32</v>
      </c>
      <c r="R49" s="6"/>
      <c r="S49" s="6"/>
      <c r="T49" s="156"/>
      <c r="U49" s="6"/>
    </row>
    <row r="50" spans="1:21" customFormat="1">
      <c r="A50" s="201" t="s">
        <v>2781</v>
      </c>
      <c r="B50" s="100">
        <v>6.04</v>
      </c>
      <c r="C50" s="100">
        <v>16.98</v>
      </c>
      <c r="D50" s="100">
        <v>13.72</v>
      </c>
      <c r="E50" s="100">
        <v>6.4</v>
      </c>
      <c r="F50" s="151" t="s">
        <v>8</v>
      </c>
      <c r="G50" s="100">
        <v>72.790000000000006</v>
      </c>
      <c r="H50" s="100">
        <v>21.18</v>
      </c>
      <c r="I50" s="100">
        <v>11.12</v>
      </c>
      <c r="J50" s="100">
        <v>1.1200000000000001</v>
      </c>
      <c r="K50" s="100">
        <v>47.15</v>
      </c>
      <c r="L50" s="100">
        <v>11.66</v>
      </c>
      <c r="M50" s="100">
        <v>1.25</v>
      </c>
      <c r="N50" s="100">
        <v>424.9</v>
      </c>
      <c r="O50" s="100">
        <v>0</v>
      </c>
      <c r="P50" s="100">
        <v>0.62</v>
      </c>
      <c r="Q50" s="100">
        <v>9.32</v>
      </c>
      <c r="R50" s="6"/>
      <c r="S50" s="6"/>
      <c r="T50" s="156"/>
      <c r="U50" s="6"/>
    </row>
    <row r="51" spans="1:21" customFormat="1">
      <c r="A51" s="201" t="s">
        <v>2782</v>
      </c>
      <c r="B51" s="100">
        <v>5.64</v>
      </c>
      <c r="C51" s="100">
        <v>16.649999999999999</v>
      </c>
      <c r="D51" s="100">
        <v>13.22</v>
      </c>
      <c r="E51" s="100">
        <v>4.2300000000000004</v>
      </c>
      <c r="F51" s="151" t="s">
        <v>8</v>
      </c>
      <c r="G51" s="100">
        <v>58.13</v>
      </c>
      <c r="H51" s="100">
        <v>16.2</v>
      </c>
      <c r="I51" s="100">
        <v>11.05</v>
      </c>
      <c r="J51" s="100">
        <v>0.86</v>
      </c>
      <c r="K51" s="100">
        <v>54.18</v>
      </c>
      <c r="L51" s="100">
        <v>13.01</v>
      </c>
      <c r="M51" s="100">
        <v>4.3600000000000003</v>
      </c>
      <c r="N51" s="100">
        <v>436.1</v>
      </c>
      <c r="O51" s="100">
        <v>0</v>
      </c>
      <c r="P51" s="100">
        <v>0.61</v>
      </c>
      <c r="Q51" s="100">
        <v>9.32</v>
      </c>
      <c r="R51" s="6"/>
      <c r="S51" s="6"/>
      <c r="T51" s="156"/>
      <c r="U51" s="6"/>
    </row>
    <row r="52" spans="1:21" customFormat="1">
      <c r="A52" s="201" t="s">
        <v>2783</v>
      </c>
      <c r="B52" s="100">
        <v>5.28</v>
      </c>
      <c r="C52" s="100">
        <v>16.54</v>
      </c>
      <c r="D52" s="100">
        <v>12.87</v>
      </c>
      <c r="E52" s="100">
        <v>6.14</v>
      </c>
      <c r="F52" s="151" t="s">
        <v>8</v>
      </c>
      <c r="G52" s="100">
        <v>58.13</v>
      </c>
      <c r="H52" s="100">
        <v>16.2</v>
      </c>
      <c r="I52" s="100">
        <v>10.98</v>
      </c>
      <c r="J52" s="100">
        <v>1.34</v>
      </c>
      <c r="K52" s="100">
        <v>42.17</v>
      </c>
      <c r="L52" s="100">
        <v>12.8</v>
      </c>
      <c r="M52" s="100">
        <v>4.0999999999999996</v>
      </c>
      <c r="N52" s="100">
        <v>423.8</v>
      </c>
      <c r="O52" s="100">
        <v>0</v>
      </c>
      <c r="P52" s="100">
        <v>0.61</v>
      </c>
      <c r="Q52" s="100">
        <v>9.32</v>
      </c>
      <c r="R52" s="6"/>
      <c r="S52" s="6"/>
      <c r="T52" s="156"/>
      <c r="U52" s="6"/>
    </row>
    <row r="53" spans="1:21" customFormat="1">
      <c r="A53" s="201" t="s">
        <v>2784</v>
      </c>
      <c r="B53" s="100">
        <v>4.91</v>
      </c>
      <c r="C53" s="100">
        <v>16.440000000000001</v>
      </c>
      <c r="D53" s="100">
        <v>12.53</v>
      </c>
      <c r="E53" s="100">
        <v>6.61</v>
      </c>
      <c r="F53" s="151" t="s">
        <v>8</v>
      </c>
      <c r="G53" s="100">
        <v>58.13</v>
      </c>
      <c r="H53" s="100">
        <v>16.2</v>
      </c>
      <c r="I53" s="100">
        <v>10.94</v>
      </c>
      <c r="J53" s="100">
        <v>1.39</v>
      </c>
      <c r="K53" s="100">
        <v>49.69</v>
      </c>
      <c r="L53" s="100">
        <v>12.05</v>
      </c>
      <c r="M53" s="100">
        <v>1.25</v>
      </c>
      <c r="N53" s="100">
        <v>467.5</v>
      </c>
      <c r="O53" s="100">
        <v>0</v>
      </c>
      <c r="P53" s="100">
        <v>0.61</v>
      </c>
      <c r="Q53" s="100">
        <v>9.32</v>
      </c>
      <c r="R53" s="6"/>
      <c r="S53" s="6"/>
      <c r="T53" s="156"/>
      <c r="U53" s="6"/>
    </row>
    <row r="54" spans="1:21" customFormat="1">
      <c r="A54" s="201" t="s">
        <v>2785</v>
      </c>
      <c r="B54" s="100">
        <v>4.54</v>
      </c>
      <c r="C54" s="100">
        <v>16.239999999999998</v>
      </c>
      <c r="D54" s="100">
        <v>12.12</v>
      </c>
      <c r="E54" s="100">
        <v>7.02</v>
      </c>
      <c r="F54" s="151" t="s">
        <v>8</v>
      </c>
      <c r="G54" s="100">
        <v>50.48</v>
      </c>
      <c r="H54" s="100">
        <v>15.47</v>
      </c>
      <c r="I54" s="100">
        <v>10.91</v>
      </c>
      <c r="J54" s="100">
        <v>1.42</v>
      </c>
      <c r="K54" s="100">
        <v>34.090000000000003</v>
      </c>
      <c r="L54" s="100">
        <v>12.7</v>
      </c>
      <c r="M54" s="100">
        <v>2.36</v>
      </c>
      <c r="N54" s="100">
        <v>487</v>
      </c>
      <c r="O54" s="100">
        <v>0</v>
      </c>
      <c r="P54" s="100">
        <v>0.59</v>
      </c>
      <c r="Q54" s="100">
        <v>9.32</v>
      </c>
      <c r="R54" s="6"/>
      <c r="S54" s="6"/>
      <c r="T54" s="156"/>
      <c r="U54" s="6"/>
    </row>
    <row r="55" spans="1:21" customFormat="1">
      <c r="A55" s="201" t="s">
        <v>2786</v>
      </c>
      <c r="B55" s="100">
        <v>4.2300000000000004</v>
      </c>
      <c r="C55" s="100">
        <v>16.04</v>
      </c>
      <c r="D55" s="100">
        <v>11.77</v>
      </c>
      <c r="E55" s="100">
        <v>6.66</v>
      </c>
      <c r="F55" s="151" t="s">
        <v>8</v>
      </c>
      <c r="G55" s="100">
        <v>46.84</v>
      </c>
      <c r="H55" s="100">
        <v>15.4</v>
      </c>
      <c r="I55" s="100">
        <v>10.86</v>
      </c>
      <c r="J55" s="100">
        <v>1.32</v>
      </c>
      <c r="K55" s="100">
        <v>43.36</v>
      </c>
      <c r="L55" s="100">
        <v>11.65</v>
      </c>
      <c r="M55" s="100">
        <v>-0.56999999999999995</v>
      </c>
      <c r="N55" s="100">
        <v>500</v>
      </c>
      <c r="O55" s="100">
        <v>0</v>
      </c>
      <c r="P55" s="100">
        <v>0.59</v>
      </c>
      <c r="Q55" s="100">
        <v>9.32</v>
      </c>
      <c r="R55" s="6"/>
      <c r="S55" s="6"/>
      <c r="T55" s="156"/>
      <c r="U55" s="6"/>
    </row>
    <row r="56" spans="1:21" customFormat="1">
      <c r="A56" s="201" t="s">
        <v>2787</v>
      </c>
      <c r="B56" s="100">
        <v>3.98</v>
      </c>
      <c r="C56" s="100">
        <v>15.76</v>
      </c>
      <c r="D56" s="100">
        <v>11.42</v>
      </c>
      <c r="E56" s="100">
        <v>6.58</v>
      </c>
      <c r="F56" s="151" t="s">
        <v>8</v>
      </c>
      <c r="G56" s="100">
        <v>46.84</v>
      </c>
      <c r="H56" s="100">
        <v>15.4</v>
      </c>
      <c r="I56" s="100">
        <v>10.79</v>
      </c>
      <c r="J56" s="100">
        <v>0.87</v>
      </c>
      <c r="K56" s="100">
        <v>53.34</v>
      </c>
      <c r="L56" s="100">
        <v>13.95</v>
      </c>
      <c r="M56" s="100">
        <v>5.24</v>
      </c>
      <c r="N56" s="100">
        <v>504.4</v>
      </c>
      <c r="O56" s="100">
        <v>0</v>
      </c>
      <c r="P56" s="100">
        <v>0.56999999999999995</v>
      </c>
      <c r="Q56" s="100">
        <v>9.32</v>
      </c>
      <c r="R56" s="6"/>
      <c r="S56" s="6"/>
      <c r="T56" s="156"/>
      <c r="U56" s="6"/>
    </row>
    <row r="57" spans="1:21" customFormat="1">
      <c r="A57" s="201" t="s">
        <v>2788</v>
      </c>
      <c r="B57" s="100">
        <v>3.8</v>
      </c>
      <c r="C57" s="100">
        <v>15.63</v>
      </c>
      <c r="D57" s="100">
        <v>11.21</v>
      </c>
      <c r="E57" s="100">
        <v>6.18</v>
      </c>
      <c r="F57" s="151" t="s">
        <v>8</v>
      </c>
      <c r="G57" s="100">
        <v>46.84</v>
      </c>
      <c r="H57" s="100">
        <v>15.4</v>
      </c>
      <c r="I57" s="100">
        <v>10.67</v>
      </c>
      <c r="J57" s="100">
        <v>1.2</v>
      </c>
      <c r="K57" s="100">
        <v>47.87</v>
      </c>
      <c r="L57" s="100">
        <v>13.16</v>
      </c>
      <c r="M57" s="100">
        <v>3.34</v>
      </c>
      <c r="N57" s="100">
        <v>499.8</v>
      </c>
      <c r="O57" s="100">
        <v>0</v>
      </c>
      <c r="P57" s="100">
        <v>0.56999999999999995</v>
      </c>
      <c r="Q57" s="100">
        <v>9.32</v>
      </c>
      <c r="R57" s="6"/>
      <c r="S57" s="6"/>
      <c r="T57" s="156"/>
      <c r="U57" s="6"/>
    </row>
    <row r="58" spans="1:21" customFormat="1">
      <c r="A58" s="201" t="s">
        <v>2789</v>
      </c>
      <c r="B58" s="100">
        <v>3.82</v>
      </c>
      <c r="C58" s="100">
        <v>15.56</v>
      </c>
      <c r="D58" s="100">
        <v>11.19</v>
      </c>
      <c r="E58" s="100">
        <v>7.23</v>
      </c>
      <c r="F58" s="151" t="s">
        <v>8</v>
      </c>
      <c r="G58" s="100">
        <v>43.51</v>
      </c>
      <c r="H58" s="100">
        <v>14.98</v>
      </c>
      <c r="I58" s="100">
        <v>10.57</v>
      </c>
      <c r="J58" s="100">
        <v>1.19</v>
      </c>
      <c r="K58" s="100">
        <v>28.46</v>
      </c>
      <c r="L58" s="100">
        <v>15.58</v>
      </c>
      <c r="M58" s="100">
        <v>9.24</v>
      </c>
      <c r="N58" s="100">
        <v>500.6</v>
      </c>
      <c r="O58" s="100">
        <v>0</v>
      </c>
      <c r="P58" s="100">
        <v>0.56000000000000005</v>
      </c>
      <c r="Q58" s="100">
        <v>9.33</v>
      </c>
      <c r="R58" s="6"/>
      <c r="S58" s="6"/>
      <c r="T58" s="156"/>
      <c r="U58" s="6"/>
    </row>
    <row r="59" spans="1:21" customFormat="1">
      <c r="A59" s="201" t="s">
        <v>2790</v>
      </c>
      <c r="B59" s="100">
        <v>3.78</v>
      </c>
      <c r="C59" s="100">
        <v>15.73</v>
      </c>
      <c r="D59" s="100">
        <v>11.25</v>
      </c>
      <c r="E59" s="100">
        <v>7.63</v>
      </c>
      <c r="F59" s="151" t="s">
        <v>8</v>
      </c>
      <c r="G59" s="100">
        <v>41.92</v>
      </c>
      <c r="H59" s="100">
        <v>14.93</v>
      </c>
      <c r="I59" s="100">
        <v>10.45</v>
      </c>
      <c r="J59" s="100">
        <v>0.71</v>
      </c>
      <c r="K59" s="100">
        <v>39.08</v>
      </c>
      <c r="L59" s="100">
        <v>15.74</v>
      </c>
      <c r="M59" s="100">
        <v>10.55</v>
      </c>
      <c r="N59" s="100">
        <v>466.3</v>
      </c>
      <c r="O59" s="100">
        <v>0</v>
      </c>
      <c r="P59" s="100">
        <v>0.56000000000000005</v>
      </c>
      <c r="Q59" s="100">
        <v>9.5500000000000007</v>
      </c>
      <c r="R59" s="6"/>
      <c r="S59" s="6"/>
      <c r="T59" s="156"/>
      <c r="U59" s="6"/>
    </row>
    <row r="60" spans="1:21" customFormat="1">
      <c r="A60" s="201" t="s">
        <v>2791</v>
      </c>
      <c r="B60" s="100">
        <v>3.5</v>
      </c>
      <c r="C60" s="100">
        <v>17.100000000000001</v>
      </c>
      <c r="D60" s="100">
        <v>11.74</v>
      </c>
      <c r="E60" s="100">
        <v>8.3000000000000007</v>
      </c>
      <c r="F60" s="151" t="s">
        <v>8</v>
      </c>
      <c r="G60" s="100">
        <v>41.92</v>
      </c>
      <c r="H60" s="100">
        <v>14.93</v>
      </c>
      <c r="I60" s="100">
        <v>10.46</v>
      </c>
      <c r="J60" s="100">
        <v>1.22</v>
      </c>
      <c r="K60" s="100">
        <v>33.19</v>
      </c>
      <c r="L60" s="100">
        <v>12.3</v>
      </c>
      <c r="M60" s="100">
        <v>2.36</v>
      </c>
      <c r="N60" s="100">
        <v>443.7</v>
      </c>
      <c r="O60" s="100">
        <v>0</v>
      </c>
      <c r="P60" s="100">
        <v>0.55000000000000004</v>
      </c>
      <c r="Q60" s="100">
        <v>9.7100000000000009</v>
      </c>
      <c r="R60" s="6"/>
      <c r="S60" s="6"/>
      <c r="T60" s="156"/>
      <c r="U60" s="6"/>
    </row>
    <row r="61" spans="1:21" customFormat="1">
      <c r="A61" s="201" t="s">
        <v>2792</v>
      </c>
      <c r="B61" s="100">
        <v>3.47</v>
      </c>
      <c r="C61" s="100">
        <v>18.91</v>
      </c>
      <c r="D61" s="100">
        <v>12.66</v>
      </c>
      <c r="E61" s="100">
        <v>9.26</v>
      </c>
      <c r="F61" s="151" t="s">
        <v>8</v>
      </c>
      <c r="G61" s="100">
        <v>41.92</v>
      </c>
      <c r="H61" s="100">
        <v>14.93</v>
      </c>
      <c r="I61" s="100">
        <v>10.28</v>
      </c>
      <c r="J61" s="100">
        <v>1.17</v>
      </c>
      <c r="K61" s="100">
        <v>33.44</v>
      </c>
      <c r="L61" s="100">
        <v>12.97</v>
      </c>
      <c r="M61" s="100">
        <v>4.2</v>
      </c>
      <c r="N61" s="100">
        <v>438.1</v>
      </c>
      <c r="O61" s="100">
        <v>0</v>
      </c>
      <c r="P61" s="100">
        <v>0.54</v>
      </c>
      <c r="Q61" s="100">
        <v>9.76</v>
      </c>
      <c r="R61" s="6"/>
      <c r="S61" s="6"/>
      <c r="T61" s="156"/>
      <c r="U61" s="6"/>
    </row>
    <row r="62" spans="1:21" customFormat="1">
      <c r="A62" s="201" t="s">
        <v>2793</v>
      </c>
      <c r="B62" s="100">
        <v>3.35</v>
      </c>
      <c r="C62" s="100">
        <v>19.5</v>
      </c>
      <c r="D62" s="100">
        <v>12.88</v>
      </c>
      <c r="E62" s="100">
        <v>8.89</v>
      </c>
      <c r="F62" s="151" t="s">
        <v>8</v>
      </c>
      <c r="G62" s="100">
        <v>54.46</v>
      </c>
      <c r="H62" s="100">
        <v>33.69</v>
      </c>
      <c r="I62" s="100">
        <v>9.84</v>
      </c>
      <c r="J62" s="100">
        <v>1.29</v>
      </c>
      <c r="K62" s="100">
        <v>33.090000000000003</v>
      </c>
      <c r="L62" s="100">
        <v>11.84</v>
      </c>
      <c r="M62" s="100">
        <v>6.56</v>
      </c>
      <c r="N62" s="100">
        <v>212</v>
      </c>
      <c r="O62" s="100">
        <v>0</v>
      </c>
      <c r="P62" s="100">
        <v>0.51</v>
      </c>
      <c r="Q62" s="100">
        <v>9.74</v>
      </c>
      <c r="R62" s="6"/>
      <c r="S62" s="6"/>
      <c r="T62" s="156"/>
      <c r="U62" s="6"/>
    </row>
    <row r="63" spans="1:21" customFormat="1">
      <c r="A63" s="201" t="s">
        <v>2794</v>
      </c>
      <c r="B63" s="100">
        <v>3.19</v>
      </c>
      <c r="C63" s="100">
        <v>19.78</v>
      </c>
      <c r="D63" s="100">
        <v>12.89</v>
      </c>
      <c r="E63" s="100">
        <v>10.6</v>
      </c>
      <c r="F63" s="151" t="s">
        <v>8</v>
      </c>
      <c r="G63" s="100">
        <v>60.42</v>
      </c>
      <c r="H63" s="100">
        <v>35.57</v>
      </c>
      <c r="I63" s="100">
        <v>9.52</v>
      </c>
      <c r="J63" s="100">
        <v>1.2</v>
      </c>
      <c r="K63" s="100">
        <v>33.67</v>
      </c>
      <c r="L63" s="100">
        <v>11.75</v>
      </c>
      <c r="M63" s="100">
        <v>7.4</v>
      </c>
      <c r="N63" s="100">
        <v>160.80000000000001</v>
      </c>
      <c r="O63" s="100">
        <v>0</v>
      </c>
      <c r="P63" s="100">
        <v>0.49</v>
      </c>
      <c r="Q63" s="100">
        <v>9.64</v>
      </c>
      <c r="R63" s="6"/>
      <c r="S63" s="6"/>
      <c r="T63" s="156"/>
      <c r="U63" s="6"/>
    </row>
    <row r="64" spans="1:21" customFormat="1">
      <c r="A64" s="201" t="s">
        <v>2795</v>
      </c>
      <c r="B64" s="100">
        <v>3.21</v>
      </c>
      <c r="C64" s="100">
        <v>19.690000000000001</v>
      </c>
      <c r="D64" s="100">
        <v>12.87</v>
      </c>
      <c r="E64" s="100">
        <v>10.220000000000001</v>
      </c>
      <c r="F64" s="100">
        <v>418.06</v>
      </c>
      <c r="G64" s="100">
        <v>60.42</v>
      </c>
      <c r="H64" s="100">
        <v>35.57</v>
      </c>
      <c r="I64" s="100">
        <v>9.23</v>
      </c>
      <c r="J64" s="100">
        <v>1.26</v>
      </c>
      <c r="K64" s="100">
        <v>29.69</v>
      </c>
      <c r="L64" s="100">
        <v>3.7</v>
      </c>
      <c r="M64" s="100">
        <v>11.64</v>
      </c>
      <c r="N64" s="100">
        <v>130.4</v>
      </c>
      <c r="O64" s="100">
        <v>0</v>
      </c>
      <c r="P64" s="100">
        <v>0.46</v>
      </c>
      <c r="Q64" s="100">
        <v>9.44</v>
      </c>
      <c r="R64" s="6"/>
      <c r="S64" s="6"/>
      <c r="T64" s="156"/>
      <c r="U64" s="6"/>
    </row>
    <row r="65" spans="1:21" customFormat="1">
      <c r="A65" s="201" t="s">
        <v>2796</v>
      </c>
      <c r="B65" s="100">
        <v>3.04</v>
      </c>
      <c r="C65" s="100">
        <v>19.739999999999998</v>
      </c>
      <c r="D65" s="100">
        <v>12.74</v>
      </c>
      <c r="E65" s="100">
        <v>8.59</v>
      </c>
      <c r="F65" s="100">
        <v>511.5</v>
      </c>
      <c r="G65" s="100">
        <v>60.42</v>
      </c>
      <c r="H65" s="100">
        <v>35.57</v>
      </c>
      <c r="I65" s="100">
        <v>8.9600000000000009</v>
      </c>
      <c r="J65" s="100">
        <v>1.26</v>
      </c>
      <c r="K65" s="100">
        <v>27.14</v>
      </c>
      <c r="L65" s="100">
        <v>0.11</v>
      </c>
      <c r="M65" s="100">
        <v>9.4499999999999993</v>
      </c>
      <c r="N65" s="100">
        <v>117.7</v>
      </c>
      <c r="O65" s="100">
        <v>0</v>
      </c>
      <c r="P65" s="100">
        <v>0.42</v>
      </c>
      <c r="Q65" s="100">
        <v>9.32</v>
      </c>
      <c r="R65" s="6"/>
      <c r="S65" s="6"/>
      <c r="T65" s="156"/>
      <c r="U65" s="6"/>
    </row>
    <row r="66" spans="1:21" customFormat="1">
      <c r="A66" s="201" t="s">
        <v>2797</v>
      </c>
      <c r="B66" s="100">
        <v>2.93</v>
      </c>
      <c r="C66" s="100">
        <v>20.37</v>
      </c>
      <c r="D66" s="100">
        <v>12.99</v>
      </c>
      <c r="E66" s="100">
        <v>9.11</v>
      </c>
      <c r="F66" s="100">
        <v>11.34</v>
      </c>
      <c r="G66" s="100">
        <v>63.7</v>
      </c>
      <c r="H66" s="100">
        <v>32.43</v>
      </c>
      <c r="I66" s="100">
        <v>7.69</v>
      </c>
      <c r="J66" s="100">
        <v>1.48</v>
      </c>
      <c r="K66" s="100">
        <v>33.42</v>
      </c>
      <c r="L66" s="100">
        <v>-17.86</v>
      </c>
      <c r="M66" s="100">
        <v>5.51</v>
      </c>
      <c r="N66" s="100">
        <v>101.7</v>
      </c>
      <c r="O66" s="100">
        <v>0</v>
      </c>
      <c r="P66" s="100">
        <v>0.42</v>
      </c>
      <c r="Q66" s="100">
        <v>9.32</v>
      </c>
      <c r="R66" s="6"/>
      <c r="S66" s="6"/>
      <c r="T66" s="156"/>
      <c r="U66" s="6"/>
    </row>
    <row r="67" spans="1:21" customFormat="1">
      <c r="A67" s="201" t="s">
        <v>2798</v>
      </c>
      <c r="B67" s="100">
        <v>2.9</v>
      </c>
      <c r="C67" s="100">
        <v>21.34</v>
      </c>
      <c r="D67" s="100">
        <v>13.47</v>
      </c>
      <c r="E67" s="100">
        <v>8.34</v>
      </c>
      <c r="F67" s="100">
        <v>5.17</v>
      </c>
      <c r="G67" s="100">
        <v>65.260000000000005</v>
      </c>
      <c r="H67" s="100">
        <v>32.119999999999997</v>
      </c>
      <c r="I67" s="100">
        <v>6.38</v>
      </c>
      <c r="J67" s="100">
        <v>1.28</v>
      </c>
      <c r="K67" s="100">
        <v>35.4</v>
      </c>
      <c r="L67" s="100">
        <v>-9</v>
      </c>
      <c r="M67" s="100">
        <v>11.94</v>
      </c>
      <c r="N67" s="100">
        <v>115.1</v>
      </c>
      <c r="O67" s="100">
        <v>0</v>
      </c>
      <c r="P67" s="100">
        <v>0.4</v>
      </c>
      <c r="Q67" s="100">
        <v>9.32</v>
      </c>
      <c r="R67" s="6"/>
      <c r="S67" s="6"/>
      <c r="T67" s="156"/>
      <c r="U67" s="6"/>
    </row>
    <row r="68" spans="1:21" customFormat="1">
      <c r="A68" s="201" t="s">
        <v>2799</v>
      </c>
      <c r="B68" s="100">
        <v>2.91</v>
      </c>
      <c r="C68" s="100">
        <v>21.09</v>
      </c>
      <c r="D68" s="100">
        <v>13.35</v>
      </c>
      <c r="E68" s="100">
        <v>7.13</v>
      </c>
      <c r="F68" s="100">
        <v>0.96</v>
      </c>
      <c r="G68" s="100">
        <v>65.260000000000005</v>
      </c>
      <c r="H68" s="100">
        <v>32.119999999999997</v>
      </c>
      <c r="I68" s="100">
        <v>7.12</v>
      </c>
      <c r="J68" s="100">
        <v>1.1000000000000001</v>
      </c>
      <c r="K68" s="100">
        <v>42.02</v>
      </c>
      <c r="L68" s="100">
        <v>29.3</v>
      </c>
      <c r="M68" s="100">
        <v>17.329999999999998</v>
      </c>
      <c r="N68" s="100">
        <v>83.7</v>
      </c>
      <c r="O68" s="100">
        <v>0</v>
      </c>
      <c r="P68" s="100">
        <v>0.39</v>
      </c>
      <c r="Q68" s="100">
        <v>9.32</v>
      </c>
      <c r="R68" s="6"/>
      <c r="S68" s="6"/>
      <c r="T68" s="156"/>
      <c r="U68" s="6"/>
    </row>
    <row r="69" spans="1:21" customFormat="1">
      <c r="A69" s="201" t="s">
        <v>2800</v>
      </c>
      <c r="B69" s="100">
        <v>2.92</v>
      </c>
      <c r="C69" s="100">
        <v>21.01</v>
      </c>
      <c r="D69" s="100">
        <v>13.32</v>
      </c>
      <c r="E69" s="100">
        <v>5.82</v>
      </c>
      <c r="F69" s="100">
        <v>2.73</v>
      </c>
      <c r="G69" s="100">
        <v>65.260000000000005</v>
      </c>
      <c r="H69" s="100">
        <v>32.119999999999997</v>
      </c>
      <c r="I69" s="100">
        <v>8.11</v>
      </c>
      <c r="J69" s="100">
        <v>0.97</v>
      </c>
      <c r="K69" s="100">
        <v>42.77</v>
      </c>
      <c r="L69" s="100">
        <v>29.26</v>
      </c>
      <c r="M69" s="100">
        <v>18.309999999999999</v>
      </c>
      <c r="N69" s="100">
        <v>76.599999999999994</v>
      </c>
      <c r="O69" s="100">
        <v>0</v>
      </c>
      <c r="P69" s="100">
        <v>0.39</v>
      </c>
      <c r="Q69" s="100">
        <v>9.32</v>
      </c>
      <c r="R69" s="6"/>
      <c r="S69" s="6"/>
      <c r="T69" s="156"/>
      <c r="U69" s="6"/>
    </row>
    <row r="70" spans="1:21" customFormat="1">
      <c r="A70" s="201" t="s">
        <v>2801</v>
      </c>
      <c r="B70" s="100">
        <v>2.87</v>
      </c>
      <c r="C70" s="100">
        <v>23.27</v>
      </c>
      <c r="D70" s="100">
        <v>14.46</v>
      </c>
      <c r="E70" s="100">
        <v>7.72</v>
      </c>
      <c r="F70" s="100">
        <v>18.34</v>
      </c>
      <c r="G70" s="100">
        <v>57.99</v>
      </c>
      <c r="H70" s="100">
        <v>30.32</v>
      </c>
      <c r="I70" s="100">
        <v>8.11</v>
      </c>
      <c r="J70" s="100">
        <v>1.1100000000000001</v>
      </c>
      <c r="K70" s="100">
        <v>26.97</v>
      </c>
      <c r="L70" s="100">
        <v>29.09</v>
      </c>
      <c r="M70" s="100">
        <v>19.63</v>
      </c>
      <c r="N70" s="100">
        <v>70.2</v>
      </c>
      <c r="O70" s="100">
        <v>0</v>
      </c>
      <c r="P70" s="100">
        <v>0.39</v>
      </c>
      <c r="Q70" s="100">
        <v>9.32</v>
      </c>
      <c r="R70" s="6"/>
      <c r="S70" s="6"/>
      <c r="T70" s="156"/>
      <c r="U70" s="6"/>
    </row>
    <row r="71" spans="1:21" customFormat="1">
      <c r="A71" s="201" t="s">
        <v>2802</v>
      </c>
      <c r="B71" s="100">
        <v>2.8</v>
      </c>
      <c r="C71" s="100">
        <v>23.49</v>
      </c>
      <c r="D71" s="100">
        <v>14.52</v>
      </c>
      <c r="E71" s="100">
        <v>6.02</v>
      </c>
      <c r="F71" s="100">
        <v>3.52</v>
      </c>
      <c r="G71" s="100">
        <v>54.53</v>
      </c>
      <c r="H71" s="100">
        <v>30.14</v>
      </c>
      <c r="I71" s="100">
        <v>7.97</v>
      </c>
      <c r="J71" s="100">
        <v>1</v>
      </c>
      <c r="K71" s="100">
        <v>38.909999999999997</v>
      </c>
      <c r="L71" s="100">
        <v>28.91</v>
      </c>
      <c r="M71" s="100">
        <v>20.43</v>
      </c>
      <c r="N71" s="100">
        <v>61.6</v>
      </c>
      <c r="O71" s="100">
        <v>0</v>
      </c>
      <c r="P71" s="100">
        <v>0.39</v>
      </c>
      <c r="Q71" s="100">
        <v>9.32</v>
      </c>
      <c r="R71" s="6"/>
      <c r="S71" s="6"/>
      <c r="T71" s="156"/>
      <c r="U71" s="6"/>
    </row>
    <row r="72" spans="1:21" customFormat="1">
      <c r="A72" s="201" t="s">
        <v>2803</v>
      </c>
      <c r="B72" s="100">
        <v>2.88</v>
      </c>
      <c r="C72" s="100">
        <v>23.34</v>
      </c>
      <c r="D72" s="100">
        <v>14.51</v>
      </c>
      <c r="E72" s="100">
        <v>5.72</v>
      </c>
      <c r="F72" s="100">
        <v>0.67</v>
      </c>
      <c r="G72" s="100">
        <v>54.53</v>
      </c>
      <c r="H72" s="100">
        <v>30.14</v>
      </c>
      <c r="I72" s="100">
        <v>7.77</v>
      </c>
      <c r="J72" s="100">
        <v>1.06</v>
      </c>
      <c r="K72" s="100">
        <v>36.67</v>
      </c>
      <c r="L72" s="100">
        <v>28.75</v>
      </c>
      <c r="M72" s="100">
        <v>20.88</v>
      </c>
      <c r="N72" s="100">
        <v>53.1</v>
      </c>
      <c r="O72" s="100">
        <v>0</v>
      </c>
      <c r="P72" s="100">
        <v>0.39</v>
      </c>
      <c r="Q72" s="100">
        <v>9.32</v>
      </c>
      <c r="R72" s="6"/>
      <c r="S72" s="6"/>
      <c r="T72" s="156"/>
      <c r="U72" s="6"/>
    </row>
    <row r="73" spans="1:21" customFormat="1">
      <c r="A73" s="201" t="s">
        <v>2804</v>
      </c>
      <c r="B73" s="100">
        <v>2.93</v>
      </c>
      <c r="C73" s="100">
        <v>23.23</v>
      </c>
      <c r="D73" s="100">
        <v>14.48</v>
      </c>
      <c r="E73" s="100">
        <v>5.68</v>
      </c>
      <c r="F73" s="100">
        <v>8.23</v>
      </c>
      <c r="G73" s="100">
        <v>54.53</v>
      </c>
      <c r="H73" s="100">
        <v>30.14</v>
      </c>
      <c r="I73" s="100">
        <v>7.75</v>
      </c>
      <c r="J73" s="100">
        <v>0.56000000000000005</v>
      </c>
      <c r="K73" s="100">
        <v>46.72</v>
      </c>
      <c r="L73" s="100">
        <v>28.55</v>
      </c>
      <c r="M73" s="100">
        <v>22.67</v>
      </c>
      <c r="N73" s="100">
        <v>43.6</v>
      </c>
      <c r="O73" s="100">
        <v>0</v>
      </c>
      <c r="P73" s="100">
        <v>0.4</v>
      </c>
      <c r="Q73" s="100">
        <v>9.32</v>
      </c>
      <c r="R73" s="6"/>
      <c r="S73" s="6"/>
      <c r="T73" s="156"/>
      <c r="U73" s="6"/>
    </row>
    <row r="74" spans="1:21" customFormat="1">
      <c r="A74" s="201" t="s">
        <v>2805</v>
      </c>
      <c r="B74" s="100">
        <v>2.9</v>
      </c>
      <c r="C74" s="100">
        <v>23.73</v>
      </c>
      <c r="D74" s="100">
        <v>14.72</v>
      </c>
      <c r="E74" s="100">
        <v>7.63</v>
      </c>
      <c r="F74" s="100">
        <v>17.07</v>
      </c>
      <c r="G74" s="100">
        <v>57.57</v>
      </c>
      <c r="H74" s="100">
        <v>29.53</v>
      </c>
      <c r="I74" s="100">
        <v>8</v>
      </c>
      <c r="J74" s="100">
        <v>0.26</v>
      </c>
      <c r="K74" s="100">
        <v>127.81</v>
      </c>
      <c r="L74" s="100">
        <v>28.26</v>
      </c>
      <c r="M74" s="100">
        <v>23.92</v>
      </c>
      <c r="N74" s="100">
        <v>33.799999999999997</v>
      </c>
      <c r="O74" s="100">
        <v>0</v>
      </c>
      <c r="P74" s="100">
        <v>0.41</v>
      </c>
      <c r="Q74" s="100">
        <v>9.32</v>
      </c>
      <c r="R74" s="6"/>
      <c r="S74" s="6"/>
      <c r="T74" s="156"/>
      <c r="U74" s="6"/>
    </row>
    <row r="75" spans="1:21" customFormat="1">
      <c r="A75" s="201" t="s">
        <v>2806</v>
      </c>
      <c r="B75" s="100">
        <v>2.78</v>
      </c>
      <c r="C75" s="100">
        <v>24.05</v>
      </c>
      <c r="D75" s="100">
        <v>14.79</v>
      </c>
      <c r="E75" s="100">
        <v>5.14</v>
      </c>
      <c r="F75" s="100">
        <v>13.41</v>
      </c>
      <c r="G75" s="100">
        <v>59.01</v>
      </c>
      <c r="H75" s="100">
        <v>29.31</v>
      </c>
      <c r="I75" s="100">
        <v>8.1999999999999993</v>
      </c>
      <c r="J75" s="100">
        <v>0.31</v>
      </c>
      <c r="K75" s="100">
        <v>68.69</v>
      </c>
      <c r="L75" s="100">
        <v>27.76</v>
      </c>
      <c r="M75" s="100">
        <v>26.27</v>
      </c>
      <c r="N75" s="100">
        <v>25</v>
      </c>
      <c r="O75" s="100">
        <v>0</v>
      </c>
      <c r="P75" s="100">
        <v>0.41</v>
      </c>
      <c r="Q75" s="100">
        <v>9.32</v>
      </c>
      <c r="R75" s="6"/>
      <c r="S75" s="6"/>
      <c r="T75" s="156"/>
      <c r="U75" s="6"/>
    </row>
    <row r="76" spans="1:21" customFormat="1">
      <c r="A76" s="201" t="s">
        <v>2807</v>
      </c>
      <c r="B76" s="100">
        <v>2.86</v>
      </c>
      <c r="C76" s="100">
        <v>23.29</v>
      </c>
      <c r="D76" s="100">
        <v>14.46</v>
      </c>
      <c r="E76" s="100">
        <v>4.17</v>
      </c>
      <c r="F76" s="100">
        <v>6.52</v>
      </c>
      <c r="G76" s="100">
        <v>59.01</v>
      </c>
      <c r="H76" s="100">
        <v>29.31</v>
      </c>
      <c r="I76" s="100">
        <v>7.98</v>
      </c>
      <c r="J76" s="100">
        <v>0.17</v>
      </c>
      <c r="K76" s="100">
        <v>111.93</v>
      </c>
      <c r="L76" s="100">
        <v>27.3</v>
      </c>
      <c r="M76" s="100">
        <v>29.13</v>
      </c>
      <c r="N76" s="100">
        <v>15.5</v>
      </c>
      <c r="O76" s="100">
        <v>0</v>
      </c>
      <c r="P76" s="100">
        <v>0.42</v>
      </c>
      <c r="Q76" s="100">
        <v>9.32</v>
      </c>
      <c r="R76" s="6"/>
      <c r="S76" s="6"/>
      <c r="T76" s="156"/>
      <c r="U76" s="6"/>
    </row>
    <row r="77" spans="1:21" customFormat="1">
      <c r="A77" s="201" t="s">
        <v>2808</v>
      </c>
      <c r="B77" s="100">
        <v>3.01</v>
      </c>
      <c r="C77" s="100">
        <v>22.5</v>
      </c>
      <c r="D77" s="100">
        <v>14.17</v>
      </c>
      <c r="E77" s="100">
        <v>3.95</v>
      </c>
      <c r="F77" s="100">
        <v>3.51</v>
      </c>
      <c r="G77" s="100">
        <v>59.01</v>
      </c>
      <c r="H77" s="100">
        <v>29.31</v>
      </c>
      <c r="I77" s="100">
        <v>7.79</v>
      </c>
      <c r="J77" s="100">
        <v>0.21</v>
      </c>
      <c r="K77" s="100">
        <v>133.49</v>
      </c>
      <c r="L77" s="100">
        <v>26.76</v>
      </c>
      <c r="M77" s="100">
        <v>30.17</v>
      </c>
      <c r="N77" s="100">
        <v>7.3</v>
      </c>
      <c r="O77" s="100">
        <v>0</v>
      </c>
      <c r="P77" s="100">
        <v>0.42</v>
      </c>
      <c r="Q77" s="100">
        <v>9.32</v>
      </c>
      <c r="R77" s="6"/>
      <c r="S77" s="6"/>
      <c r="T77" s="156"/>
      <c r="U77" s="6"/>
    </row>
    <row r="78" spans="1:21" customFormat="1">
      <c r="A78" s="201" t="s">
        <v>2809</v>
      </c>
      <c r="B78" s="100">
        <v>3.16</v>
      </c>
      <c r="C78" s="100">
        <v>21.6</v>
      </c>
      <c r="D78" s="100">
        <v>13.82</v>
      </c>
      <c r="E78" s="100">
        <v>3.81</v>
      </c>
      <c r="F78" s="100">
        <v>2.5299999999999998</v>
      </c>
      <c r="G78" s="100">
        <v>79.78</v>
      </c>
      <c r="H78" s="100">
        <v>30</v>
      </c>
      <c r="I78" s="100">
        <v>6.94</v>
      </c>
      <c r="J78" s="100">
        <v>0.2</v>
      </c>
      <c r="K78" s="100">
        <v>142.68</v>
      </c>
      <c r="L78" s="100">
        <v>26.11</v>
      </c>
      <c r="M78" s="100">
        <v>32.840000000000003</v>
      </c>
      <c r="N78" s="100">
        <v>3.1</v>
      </c>
      <c r="O78" s="100">
        <v>0</v>
      </c>
      <c r="P78" s="100">
        <v>0.43</v>
      </c>
      <c r="Q78" s="100">
        <v>9.32</v>
      </c>
      <c r="R78" s="6"/>
      <c r="S78" s="6"/>
      <c r="T78" s="156"/>
      <c r="U78" s="6"/>
    </row>
    <row r="79" spans="1:21" customFormat="1">
      <c r="A79" s="201" t="s">
        <v>2810</v>
      </c>
      <c r="B79" s="100">
        <v>3.3</v>
      </c>
      <c r="C79" s="100">
        <v>20.77</v>
      </c>
      <c r="D79" s="100">
        <v>13.5</v>
      </c>
      <c r="E79" s="100">
        <v>4.1399999999999997</v>
      </c>
      <c r="F79" s="100">
        <v>1.78</v>
      </c>
      <c r="G79" s="100">
        <v>89.65</v>
      </c>
      <c r="H79" s="100">
        <v>30.06</v>
      </c>
      <c r="I79" s="100">
        <v>5.95</v>
      </c>
      <c r="J79" s="100">
        <v>0.22</v>
      </c>
      <c r="K79" s="100">
        <v>141.63</v>
      </c>
      <c r="L79" s="100">
        <v>25.58</v>
      </c>
      <c r="M79" s="100">
        <v>33.770000000000003</v>
      </c>
      <c r="N79" s="100">
        <v>1.8</v>
      </c>
      <c r="O79" s="100">
        <v>0</v>
      </c>
      <c r="P79" s="100">
        <v>0.43</v>
      </c>
      <c r="Q79" s="100">
        <v>9.32</v>
      </c>
      <c r="R79" s="6"/>
      <c r="S79" s="6"/>
      <c r="T79" s="156"/>
      <c r="U79" s="6"/>
    </row>
    <row r="80" spans="1:21" customFormat="1">
      <c r="A80" s="201" t="s">
        <v>2811</v>
      </c>
      <c r="B80" s="100">
        <v>3.39</v>
      </c>
      <c r="C80" s="100">
        <v>20.25</v>
      </c>
      <c r="D80" s="100">
        <v>13.3</v>
      </c>
      <c r="E80" s="100">
        <v>4.0999999999999996</v>
      </c>
      <c r="F80" s="100">
        <v>1.57</v>
      </c>
      <c r="G80" s="100">
        <v>89.65</v>
      </c>
      <c r="H80" s="100">
        <v>30.06</v>
      </c>
      <c r="I80" s="100">
        <v>6.68</v>
      </c>
      <c r="J80" s="100">
        <v>0.18</v>
      </c>
      <c r="K80" s="100">
        <v>142.85</v>
      </c>
      <c r="L80" s="100">
        <v>25.25</v>
      </c>
      <c r="M80" s="100">
        <v>33.9</v>
      </c>
      <c r="N80" s="100">
        <v>1.7</v>
      </c>
      <c r="O80" s="100">
        <v>0</v>
      </c>
      <c r="P80" s="100">
        <v>0.44</v>
      </c>
      <c r="Q80" s="100">
        <v>9.32</v>
      </c>
      <c r="R80" s="6"/>
      <c r="S80" s="6"/>
      <c r="T80" s="156"/>
      <c r="U80" s="6"/>
    </row>
    <row r="81" spans="1:21" customFormat="1">
      <c r="A81" s="201" t="s">
        <v>2812</v>
      </c>
      <c r="B81" s="100">
        <v>3.51</v>
      </c>
      <c r="C81" s="100">
        <v>19.899999999999999</v>
      </c>
      <c r="D81" s="100">
        <v>13.21</v>
      </c>
      <c r="E81" s="100">
        <v>4.03</v>
      </c>
      <c r="F81" s="100">
        <v>1.25</v>
      </c>
      <c r="G81" s="100">
        <v>89.65</v>
      </c>
      <c r="H81" s="100">
        <v>30.06</v>
      </c>
      <c r="I81" s="100">
        <v>7.58</v>
      </c>
      <c r="J81" s="100">
        <v>0.19</v>
      </c>
      <c r="K81" s="100">
        <v>134.37</v>
      </c>
      <c r="L81" s="100">
        <v>24.89</v>
      </c>
      <c r="M81" s="100">
        <v>35.04</v>
      </c>
      <c r="N81" s="100">
        <v>1.6</v>
      </c>
      <c r="O81" s="100">
        <v>0</v>
      </c>
      <c r="P81" s="100">
        <v>0.45</v>
      </c>
      <c r="Q81" s="100">
        <v>9.32</v>
      </c>
      <c r="R81" s="6"/>
      <c r="S81" s="6"/>
      <c r="T81" s="156"/>
      <c r="U81" s="6"/>
    </row>
    <row r="82" spans="1:21" customFormat="1">
      <c r="A82" s="201" t="s">
        <v>2813</v>
      </c>
      <c r="B82" s="100">
        <v>3.61</v>
      </c>
      <c r="C82" s="100">
        <v>19.61</v>
      </c>
      <c r="D82" s="100">
        <v>13.14</v>
      </c>
      <c r="E82" s="100">
        <v>4.8600000000000003</v>
      </c>
      <c r="F82" s="100">
        <v>1.19</v>
      </c>
      <c r="G82" s="100">
        <v>97.21</v>
      </c>
      <c r="H82" s="100">
        <v>35.159999999999997</v>
      </c>
      <c r="I82" s="100">
        <v>7.76</v>
      </c>
      <c r="J82" s="100">
        <v>0.15</v>
      </c>
      <c r="K82" s="100">
        <v>128.54</v>
      </c>
      <c r="L82" s="100">
        <v>24.41</v>
      </c>
      <c r="M82" s="100">
        <v>36.56</v>
      </c>
      <c r="N82" s="100">
        <v>1.7</v>
      </c>
      <c r="O82" s="100">
        <v>0</v>
      </c>
      <c r="P82" s="100">
        <v>0.45</v>
      </c>
      <c r="Q82" s="100">
        <v>9.32</v>
      </c>
      <c r="R82" s="6"/>
      <c r="S82" s="6"/>
      <c r="T82" s="156"/>
      <c r="U82" s="6"/>
    </row>
    <row r="83" spans="1:21" customFormat="1">
      <c r="A83" s="201" t="s">
        <v>2814</v>
      </c>
      <c r="B83" s="100">
        <v>3.73</v>
      </c>
      <c r="C83" s="100">
        <v>19.39</v>
      </c>
      <c r="D83" s="100">
        <v>13.12</v>
      </c>
      <c r="E83" s="100">
        <v>4.6500000000000004</v>
      </c>
      <c r="F83" s="100">
        <v>0.91</v>
      </c>
      <c r="G83" s="100">
        <v>101.88</v>
      </c>
      <c r="H83" s="100">
        <v>35.67</v>
      </c>
      <c r="I83" s="100">
        <v>7.94</v>
      </c>
      <c r="J83" s="100">
        <v>0.2</v>
      </c>
      <c r="K83" s="100">
        <v>144.06</v>
      </c>
      <c r="L83" s="100">
        <v>24.23</v>
      </c>
      <c r="M83" s="100">
        <v>37.81</v>
      </c>
      <c r="N83" s="100">
        <v>1.5</v>
      </c>
      <c r="O83" s="100">
        <v>0</v>
      </c>
      <c r="P83" s="100">
        <v>0.47</v>
      </c>
      <c r="Q83" s="100">
        <v>9.32</v>
      </c>
      <c r="R83" s="6"/>
      <c r="S83" s="6"/>
      <c r="T83" s="156"/>
      <c r="U83" s="6"/>
    </row>
    <row r="84" spans="1:21" customFormat="1">
      <c r="A84" s="201" t="s">
        <v>2815</v>
      </c>
      <c r="B84" s="100">
        <v>3.85</v>
      </c>
      <c r="C84" s="100">
        <v>19.239999999999998</v>
      </c>
      <c r="D84" s="100">
        <v>13.14</v>
      </c>
      <c r="E84" s="100">
        <v>4.72</v>
      </c>
      <c r="F84" s="100">
        <v>1</v>
      </c>
      <c r="G84" s="100">
        <v>101.88</v>
      </c>
      <c r="H84" s="100">
        <v>35.67</v>
      </c>
      <c r="I84" s="100">
        <v>8.18</v>
      </c>
      <c r="J84" s="100">
        <v>0.21</v>
      </c>
      <c r="K84" s="100">
        <v>143.4</v>
      </c>
      <c r="L84" s="100">
        <v>24.1</v>
      </c>
      <c r="M84" s="100">
        <v>36.479999999999997</v>
      </c>
      <c r="N84" s="100">
        <v>1.4</v>
      </c>
      <c r="O84" s="100">
        <v>0</v>
      </c>
      <c r="P84" s="100">
        <v>0.48</v>
      </c>
      <c r="Q84" s="100">
        <v>9.32</v>
      </c>
      <c r="R84" s="6"/>
      <c r="S84" s="6"/>
      <c r="T84" s="156"/>
      <c r="U84" s="6"/>
    </row>
    <row r="85" spans="1:21" customFormat="1">
      <c r="A85" s="201" t="s">
        <v>2816</v>
      </c>
      <c r="B85" s="100">
        <v>4.04</v>
      </c>
      <c r="C85" s="100">
        <v>18.84</v>
      </c>
      <c r="D85" s="100">
        <v>13.08</v>
      </c>
      <c r="E85" s="100">
        <v>5.18</v>
      </c>
      <c r="F85" s="100">
        <v>1.4</v>
      </c>
      <c r="G85" s="100">
        <v>101.88</v>
      </c>
      <c r="H85" s="100">
        <v>35.67</v>
      </c>
      <c r="I85" s="100">
        <v>8.4499999999999993</v>
      </c>
      <c r="J85" s="100">
        <v>0.17</v>
      </c>
      <c r="K85" s="100">
        <v>138.72</v>
      </c>
      <c r="L85" s="100">
        <v>23.8</v>
      </c>
      <c r="M85" s="100">
        <v>36.69</v>
      </c>
      <c r="N85" s="100">
        <v>1.4</v>
      </c>
      <c r="O85" s="100">
        <v>0</v>
      </c>
      <c r="P85" s="100">
        <v>0.51</v>
      </c>
      <c r="Q85" s="100">
        <v>9.32</v>
      </c>
      <c r="R85" s="6"/>
      <c r="S85" s="6"/>
      <c r="T85" s="156"/>
      <c r="U85" s="6"/>
    </row>
    <row r="86" spans="1:21" customFormat="1">
      <c r="A86" s="201" t="s">
        <v>2817</v>
      </c>
      <c r="B86" s="100">
        <v>4.18</v>
      </c>
      <c r="C86" s="100">
        <v>18.27</v>
      </c>
      <c r="D86" s="100">
        <v>12.9</v>
      </c>
      <c r="E86" s="100">
        <v>5.19</v>
      </c>
      <c r="F86" s="100">
        <v>1.1399999999999999</v>
      </c>
      <c r="G86" s="100">
        <v>101.55</v>
      </c>
      <c r="H86" s="100">
        <v>36.65</v>
      </c>
      <c r="I86" s="100">
        <v>8.6300000000000008</v>
      </c>
      <c r="J86" s="100">
        <v>0.17</v>
      </c>
      <c r="K86" s="100">
        <v>145.63999999999999</v>
      </c>
      <c r="L86" s="100">
        <v>23.54</v>
      </c>
      <c r="M86" s="100">
        <v>37.56</v>
      </c>
      <c r="N86" s="100">
        <v>1.5</v>
      </c>
      <c r="O86" s="100">
        <v>0</v>
      </c>
      <c r="P86" s="100">
        <v>0.52</v>
      </c>
      <c r="Q86" s="100">
        <v>9.32</v>
      </c>
      <c r="R86" s="6"/>
      <c r="S86" s="6"/>
      <c r="T86" s="156"/>
      <c r="U86" s="6"/>
    </row>
    <row r="87" spans="1:21" customFormat="1">
      <c r="A87" s="201" t="s">
        <v>2818</v>
      </c>
      <c r="B87" s="100">
        <v>4.32</v>
      </c>
      <c r="C87" s="100">
        <v>17.93</v>
      </c>
      <c r="D87" s="100">
        <v>12.83</v>
      </c>
      <c r="E87" s="100">
        <v>4.8099999999999996</v>
      </c>
      <c r="F87" s="100">
        <v>0.92</v>
      </c>
      <c r="G87" s="100">
        <v>100.83</v>
      </c>
      <c r="H87" s="100">
        <v>36.75</v>
      </c>
      <c r="I87" s="100">
        <v>8.57</v>
      </c>
      <c r="J87" s="100">
        <v>0.15</v>
      </c>
      <c r="K87" s="100">
        <v>145.35</v>
      </c>
      <c r="L87" s="100">
        <v>23.29</v>
      </c>
      <c r="M87" s="100">
        <v>38.39</v>
      </c>
      <c r="N87" s="100">
        <v>1.5</v>
      </c>
      <c r="O87" s="100">
        <v>0</v>
      </c>
      <c r="P87" s="100">
        <v>0.51</v>
      </c>
      <c r="Q87" s="100">
        <v>9.32</v>
      </c>
      <c r="R87" s="6"/>
      <c r="S87" s="6"/>
      <c r="T87" s="156"/>
      <c r="U87" s="6"/>
    </row>
    <row r="88" spans="1:21" customFormat="1">
      <c r="A88" s="201" t="s">
        <v>2819</v>
      </c>
      <c r="B88" s="100">
        <v>4.43</v>
      </c>
      <c r="C88" s="100">
        <v>17.670000000000002</v>
      </c>
      <c r="D88" s="100">
        <v>12.78</v>
      </c>
      <c r="E88" s="100">
        <v>4.88</v>
      </c>
      <c r="F88" s="100">
        <v>0.84</v>
      </c>
      <c r="G88" s="100">
        <v>100.83</v>
      </c>
      <c r="H88" s="100">
        <v>36.75</v>
      </c>
      <c r="I88" s="100">
        <v>8.51</v>
      </c>
      <c r="J88" s="100">
        <v>0.15</v>
      </c>
      <c r="K88" s="100">
        <v>140.52000000000001</v>
      </c>
      <c r="L88" s="100">
        <v>23.04</v>
      </c>
      <c r="M88" s="100">
        <v>39.68</v>
      </c>
      <c r="N88" s="100">
        <v>1.5</v>
      </c>
      <c r="O88" s="100">
        <v>0</v>
      </c>
      <c r="P88" s="100">
        <v>0.53</v>
      </c>
      <c r="Q88" s="100">
        <v>9.32</v>
      </c>
      <c r="R88" s="6"/>
      <c r="S88" s="6"/>
      <c r="T88" s="156"/>
      <c r="U88" s="6"/>
    </row>
    <row r="89" spans="1:21" customFormat="1">
      <c r="A89" s="201" t="s">
        <v>2820</v>
      </c>
      <c r="B89" s="100">
        <v>4.55</v>
      </c>
      <c r="C89" s="100">
        <v>17.41</v>
      </c>
      <c r="D89" s="100">
        <v>12.74</v>
      </c>
      <c r="E89" s="100">
        <v>4.9800000000000004</v>
      </c>
      <c r="F89" s="100">
        <v>0.84</v>
      </c>
      <c r="G89" s="100">
        <v>100.83</v>
      </c>
      <c r="H89" s="100">
        <v>36.75</v>
      </c>
      <c r="I89" s="100">
        <v>8.57</v>
      </c>
      <c r="J89" s="100">
        <v>0.17</v>
      </c>
      <c r="K89" s="100">
        <v>153.69999999999999</v>
      </c>
      <c r="L89" s="100">
        <v>22.69</v>
      </c>
      <c r="M89" s="100">
        <v>45.14</v>
      </c>
      <c r="N89" s="100">
        <v>1.7</v>
      </c>
      <c r="O89" s="100">
        <v>0</v>
      </c>
      <c r="P89" s="100">
        <v>0.53</v>
      </c>
      <c r="Q89" s="100">
        <v>9.32</v>
      </c>
      <c r="R89" s="6"/>
      <c r="S89" s="6"/>
      <c r="T89" s="156"/>
      <c r="U89" s="6"/>
    </row>
    <row r="90" spans="1:21" customFormat="1">
      <c r="A90" s="201" t="s">
        <v>2821</v>
      </c>
      <c r="B90" s="100">
        <v>4.68</v>
      </c>
      <c r="C90" s="100">
        <v>17.07</v>
      </c>
      <c r="D90" s="100">
        <v>12.67</v>
      </c>
      <c r="E90" s="100">
        <v>4.88</v>
      </c>
      <c r="F90" s="100">
        <v>0.71</v>
      </c>
      <c r="G90" s="100">
        <v>93.83</v>
      </c>
      <c r="H90" s="100">
        <v>39.28</v>
      </c>
      <c r="I90" s="100">
        <v>8.58</v>
      </c>
      <c r="J90" s="100">
        <v>0.19</v>
      </c>
      <c r="K90" s="100">
        <v>171.62</v>
      </c>
      <c r="L90" s="100">
        <v>21.37</v>
      </c>
      <c r="M90" s="100">
        <v>60.56</v>
      </c>
      <c r="N90" s="100">
        <v>2.1</v>
      </c>
      <c r="O90" s="100">
        <v>0</v>
      </c>
      <c r="P90" s="100">
        <v>0.54</v>
      </c>
      <c r="Q90" s="100">
        <v>9.32</v>
      </c>
      <c r="R90" s="6"/>
      <c r="S90" s="6"/>
      <c r="T90" s="156"/>
      <c r="U90" s="6"/>
    </row>
    <row r="91" spans="1:21" customFormat="1">
      <c r="A91" s="201" t="s">
        <v>2822</v>
      </c>
      <c r="B91" s="100">
        <v>4.76</v>
      </c>
      <c r="C91" s="100">
        <v>16.5</v>
      </c>
      <c r="D91" s="100">
        <v>12.43</v>
      </c>
      <c r="E91" s="100">
        <v>5.05</v>
      </c>
      <c r="F91" s="100">
        <v>0.59</v>
      </c>
      <c r="G91" s="100">
        <v>90.51</v>
      </c>
      <c r="H91" s="100">
        <v>39.53</v>
      </c>
      <c r="I91" s="100">
        <v>8.61</v>
      </c>
      <c r="J91" s="100">
        <v>0.14000000000000001</v>
      </c>
      <c r="K91" s="100">
        <v>161.08000000000001</v>
      </c>
      <c r="L91" s="100">
        <v>20.99</v>
      </c>
      <c r="M91" s="100">
        <v>57.29</v>
      </c>
      <c r="N91" s="100">
        <v>1.6</v>
      </c>
      <c r="O91" s="100">
        <v>0</v>
      </c>
      <c r="P91" s="100">
        <v>0.55000000000000004</v>
      </c>
      <c r="Q91" s="100">
        <v>9.32</v>
      </c>
      <c r="R91" s="6"/>
      <c r="S91" s="6"/>
      <c r="T91" s="156"/>
      <c r="U91" s="6"/>
    </row>
    <row r="92" spans="1:21" customFormat="1">
      <c r="A92" s="201" t="s">
        <v>2823</v>
      </c>
      <c r="B92" s="100">
        <v>4.96</v>
      </c>
      <c r="C92" s="100">
        <v>16.37</v>
      </c>
      <c r="D92" s="100">
        <v>12.53</v>
      </c>
      <c r="E92" s="100">
        <v>5.07</v>
      </c>
      <c r="F92" s="100">
        <v>0.44</v>
      </c>
      <c r="G92" s="100">
        <v>90.51</v>
      </c>
      <c r="H92" s="100">
        <v>39.53</v>
      </c>
      <c r="I92" s="100">
        <v>8.68</v>
      </c>
      <c r="J92" s="100">
        <v>0.13</v>
      </c>
      <c r="K92" s="100">
        <v>98.69</v>
      </c>
      <c r="L92" s="100">
        <v>21.07</v>
      </c>
      <c r="M92" s="100">
        <v>50.3</v>
      </c>
      <c r="N92" s="100">
        <v>1.3</v>
      </c>
      <c r="O92" s="100">
        <v>0</v>
      </c>
      <c r="P92" s="100">
        <v>0.56000000000000005</v>
      </c>
      <c r="Q92" s="100">
        <v>9.32</v>
      </c>
      <c r="R92" s="6"/>
      <c r="S92" s="6"/>
      <c r="T92" s="156"/>
      <c r="U92" s="6"/>
    </row>
    <row r="93" spans="1:21" customFormat="1">
      <c r="A93" s="201" t="s">
        <v>2824</v>
      </c>
      <c r="B93" s="100">
        <v>5.44</v>
      </c>
      <c r="C93" s="100">
        <v>16.66</v>
      </c>
      <c r="D93" s="100">
        <v>13.06</v>
      </c>
      <c r="E93" s="100">
        <v>4.93</v>
      </c>
      <c r="F93" s="100">
        <v>0.3</v>
      </c>
      <c r="G93" s="100">
        <v>90.51</v>
      </c>
      <c r="H93" s="100">
        <v>39.53</v>
      </c>
      <c r="I93" s="100">
        <v>8.77</v>
      </c>
      <c r="J93" s="100">
        <v>0.16</v>
      </c>
      <c r="K93" s="100">
        <v>92.88</v>
      </c>
      <c r="L93" s="100">
        <v>21.69</v>
      </c>
      <c r="M93" s="100">
        <v>43.98</v>
      </c>
      <c r="N93" s="100">
        <v>1.1000000000000001</v>
      </c>
      <c r="O93" s="100">
        <v>0</v>
      </c>
      <c r="P93" s="100">
        <v>0.57999999999999996</v>
      </c>
      <c r="Q93" s="100">
        <v>9.32</v>
      </c>
      <c r="R93" s="6"/>
      <c r="S93" s="6"/>
      <c r="T93" s="156"/>
      <c r="U93" s="6"/>
    </row>
    <row r="94" spans="1:21" customFormat="1">
      <c r="A94" s="201" t="s">
        <v>2825</v>
      </c>
      <c r="B94" s="100">
        <v>6</v>
      </c>
      <c r="C94" s="100">
        <v>16.98</v>
      </c>
      <c r="D94" s="100">
        <v>13.69</v>
      </c>
      <c r="E94" s="100">
        <v>4.92</v>
      </c>
      <c r="F94" s="100">
        <v>0.23</v>
      </c>
      <c r="G94" s="100">
        <v>92.64</v>
      </c>
      <c r="H94" s="100">
        <v>39.700000000000003</v>
      </c>
      <c r="I94" s="100">
        <v>8.93</v>
      </c>
      <c r="J94" s="100">
        <v>0.32</v>
      </c>
      <c r="K94" s="100">
        <v>61.43</v>
      </c>
      <c r="L94" s="100">
        <v>21.77</v>
      </c>
      <c r="M94" s="100">
        <v>43.39</v>
      </c>
      <c r="N94" s="100">
        <v>1</v>
      </c>
      <c r="O94" s="100">
        <v>0</v>
      </c>
      <c r="P94" s="100">
        <v>0.57999999999999996</v>
      </c>
      <c r="Q94" s="100">
        <v>9.32</v>
      </c>
      <c r="R94" s="6"/>
      <c r="S94" s="6"/>
      <c r="T94" s="156"/>
      <c r="U94" s="6"/>
    </row>
    <row r="95" spans="1:21" customFormat="1">
      <c r="A95" s="201" t="s">
        <v>2826</v>
      </c>
      <c r="B95" s="100">
        <v>6.53</v>
      </c>
      <c r="C95" s="100">
        <v>17.059999999999999</v>
      </c>
      <c r="D95" s="100">
        <v>14.15</v>
      </c>
      <c r="E95" s="100">
        <v>4.91</v>
      </c>
      <c r="F95" s="100">
        <v>0.15</v>
      </c>
      <c r="G95" s="100">
        <v>96.72</v>
      </c>
      <c r="H95" s="100">
        <v>39.72</v>
      </c>
      <c r="I95" s="100">
        <v>9.14</v>
      </c>
      <c r="J95" s="100">
        <v>0.32</v>
      </c>
      <c r="K95" s="100">
        <v>64.75</v>
      </c>
      <c r="L95" s="100">
        <v>21.81</v>
      </c>
      <c r="M95" s="100">
        <v>44.64</v>
      </c>
      <c r="N95" s="100">
        <v>1.2</v>
      </c>
      <c r="O95" s="100">
        <v>0</v>
      </c>
      <c r="P95" s="100">
        <v>0.59</v>
      </c>
      <c r="Q95" s="100">
        <v>9.32</v>
      </c>
      <c r="R95" s="6"/>
      <c r="S95" s="6"/>
      <c r="T95" s="156"/>
      <c r="U95" s="6"/>
    </row>
    <row r="96" spans="1:21" customFormat="1">
      <c r="A96" s="201" t="s">
        <v>2827</v>
      </c>
      <c r="B96" s="100">
        <v>7.11</v>
      </c>
      <c r="C96" s="100">
        <v>17.27</v>
      </c>
      <c r="D96" s="100">
        <v>14.72</v>
      </c>
      <c r="E96" s="100">
        <v>5.21</v>
      </c>
      <c r="F96" s="100">
        <v>0.09</v>
      </c>
      <c r="G96" s="100">
        <v>96.72</v>
      </c>
      <c r="H96" s="100">
        <v>39.72</v>
      </c>
      <c r="I96" s="100">
        <v>9.3000000000000007</v>
      </c>
      <c r="J96" s="100">
        <v>0.41</v>
      </c>
      <c r="K96" s="100">
        <v>60.94</v>
      </c>
      <c r="L96" s="100">
        <v>21.73</v>
      </c>
      <c r="M96" s="100">
        <v>43.08</v>
      </c>
      <c r="N96" s="100">
        <v>1.1000000000000001</v>
      </c>
      <c r="O96" s="100">
        <v>0</v>
      </c>
      <c r="P96" s="100">
        <v>0.6</v>
      </c>
      <c r="Q96" s="100">
        <v>9.32</v>
      </c>
      <c r="R96" s="6"/>
      <c r="S96" s="6"/>
      <c r="T96" s="156"/>
      <c r="U96" s="6"/>
    </row>
    <row r="97" spans="1:28" customFormat="1">
      <c r="A97" s="201" t="s">
        <v>2828</v>
      </c>
      <c r="B97" s="100">
        <v>7.52</v>
      </c>
      <c r="C97" s="100">
        <v>17.45</v>
      </c>
      <c r="D97" s="100">
        <v>15.14</v>
      </c>
      <c r="E97" s="100">
        <v>5.12</v>
      </c>
      <c r="F97" s="100">
        <v>0.21</v>
      </c>
      <c r="G97" s="100">
        <v>96.72</v>
      </c>
      <c r="H97" s="100">
        <v>39.72</v>
      </c>
      <c r="I97" s="100">
        <v>9.44</v>
      </c>
      <c r="J97" s="100">
        <v>0.38</v>
      </c>
      <c r="K97" s="100">
        <v>61.31</v>
      </c>
      <c r="L97" s="100">
        <v>21.7</v>
      </c>
      <c r="M97" s="100">
        <v>43.43</v>
      </c>
      <c r="N97" s="100">
        <v>1.3</v>
      </c>
      <c r="O97" s="100">
        <v>0</v>
      </c>
      <c r="P97" s="100">
        <v>0.61</v>
      </c>
      <c r="Q97" s="100">
        <v>9.32</v>
      </c>
      <c r="R97" s="6"/>
      <c r="S97" s="6"/>
      <c r="T97" s="156"/>
      <c r="U97" s="6"/>
    </row>
    <row r="98" spans="1:28" customFormat="1">
      <c r="A98" s="201" t="s">
        <v>2829</v>
      </c>
      <c r="B98" s="100">
        <v>8</v>
      </c>
      <c r="C98" s="100">
        <v>17.59</v>
      </c>
      <c r="D98" s="100">
        <v>15.61</v>
      </c>
      <c r="E98" s="100">
        <v>4.91</v>
      </c>
      <c r="F98" s="100">
        <v>0.32</v>
      </c>
      <c r="G98" s="100">
        <v>100.88</v>
      </c>
      <c r="H98" s="100">
        <v>42.16</v>
      </c>
      <c r="I98" s="100">
        <v>9.6199999999999992</v>
      </c>
      <c r="J98" s="100">
        <v>0.31</v>
      </c>
      <c r="K98" s="100">
        <v>65.06</v>
      </c>
      <c r="L98" s="100">
        <v>21.39</v>
      </c>
      <c r="M98" s="100">
        <v>45.43</v>
      </c>
      <c r="N98" s="100">
        <v>1.5</v>
      </c>
      <c r="O98" s="100">
        <v>0</v>
      </c>
      <c r="P98" s="100">
        <v>0.62</v>
      </c>
      <c r="Q98" s="100">
        <v>9.32</v>
      </c>
      <c r="R98" s="6"/>
      <c r="S98" s="6"/>
      <c r="T98" s="156"/>
      <c r="U98" s="6"/>
    </row>
    <row r="99" spans="1:28" customFormat="1">
      <c r="A99" s="201" t="s">
        <v>2830</v>
      </c>
      <c r="B99" s="100">
        <v>8.4499999999999993</v>
      </c>
      <c r="C99" s="100">
        <v>17.63</v>
      </c>
      <c r="D99" s="100">
        <v>15.99</v>
      </c>
      <c r="E99" s="100">
        <v>5.55</v>
      </c>
      <c r="F99" s="100">
        <v>0.25</v>
      </c>
      <c r="G99" s="100">
        <v>101.8</v>
      </c>
      <c r="H99" s="100">
        <v>43.02</v>
      </c>
      <c r="I99" s="100">
        <v>9.73</v>
      </c>
      <c r="J99" s="100">
        <v>0.2</v>
      </c>
      <c r="K99" s="100">
        <v>84.78</v>
      </c>
      <c r="L99" s="100">
        <v>21.14</v>
      </c>
      <c r="M99" s="100">
        <v>46.18</v>
      </c>
      <c r="N99" s="100">
        <v>1.6</v>
      </c>
      <c r="O99" s="100">
        <v>0</v>
      </c>
      <c r="P99" s="100">
        <v>0.62</v>
      </c>
      <c r="Q99" s="100">
        <v>9.32</v>
      </c>
      <c r="R99" s="6"/>
      <c r="S99" s="6"/>
      <c r="T99" s="156"/>
      <c r="U99" s="6"/>
    </row>
    <row r="100" spans="1:28" customFormat="1">
      <c r="A100" s="201" t="s">
        <v>2831</v>
      </c>
      <c r="B100" s="100">
        <v>8.61</v>
      </c>
      <c r="C100" s="100">
        <v>17.71</v>
      </c>
      <c r="D100" s="100">
        <v>16.16</v>
      </c>
      <c r="E100" s="100">
        <v>5.0199999999999996</v>
      </c>
      <c r="F100" s="100">
        <v>0.35</v>
      </c>
      <c r="G100" s="100">
        <v>101.8</v>
      </c>
      <c r="H100" s="100">
        <v>43.02</v>
      </c>
      <c r="I100" s="100">
        <v>9.7899999999999991</v>
      </c>
      <c r="J100" s="100">
        <v>0.09</v>
      </c>
      <c r="K100" s="100">
        <v>142.56</v>
      </c>
      <c r="L100" s="100">
        <v>20.75</v>
      </c>
      <c r="M100" s="100">
        <v>50.76</v>
      </c>
      <c r="N100" s="100">
        <v>1.7</v>
      </c>
      <c r="O100" s="100">
        <v>0</v>
      </c>
      <c r="P100" s="100">
        <v>0.63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2832</v>
      </c>
      <c r="B101" s="100">
        <v>8.65</v>
      </c>
      <c r="C101" s="100">
        <v>17.63</v>
      </c>
      <c r="D101" s="100">
        <v>16.149999999999999</v>
      </c>
      <c r="E101" s="100">
        <v>5.07</v>
      </c>
      <c r="F101" s="100">
        <v>0.36</v>
      </c>
      <c r="G101" s="100">
        <v>101.8</v>
      </c>
      <c r="H101" s="100">
        <v>43.02</v>
      </c>
      <c r="I101" s="100">
        <v>9.84</v>
      </c>
      <c r="J101" s="100">
        <v>0.19</v>
      </c>
      <c r="K101" s="100">
        <v>207.33</v>
      </c>
      <c r="L101" s="100">
        <v>19.8</v>
      </c>
      <c r="M101" s="100">
        <v>61.28</v>
      </c>
      <c r="N101" s="100">
        <v>2.1</v>
      </c>
      <c r="O101" s="100">
        <v>0</v>
      </c>
      <c r="P101" s="100">
        <v>0.63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2833</v>
      </c>
      <c r="B102" s="100">
        <v>8.57</v>
      </c>
      <c r="C102" s="100">
        <v>17.329999999999998</v>
      </c>
      <c r="D102" s="100">
        <v>15.93</v>
      </c>
      <c r="E102" s="100">
        <v>5.21</v>
      </c>
      <c r="F102" s="100">
        <v>0.46</v>
      </c>
      <c r="G102" s="100">
        <v>96.79</v>
      </c>
      <c r="H102" s="100">
        <v>41.02</v>
      </c>
      <c r="I102" s="100">
        <v>9.8800000000000008</v>
      </c>
      <c r="J102" s="100">
        <v>0.16</v>
      </c>
      <c r="K102" s="100">
        <v>211.74</v>
      </c>
      <c r="L102" s="100">
        <v>19.21</v>
      </c>
      <c r="M102" s="100">
        <v>65.66</v>
      </c>
      <c r="N102" s="100">
        <v>1.8</v>
      </c>
      <c r="O102" s="100">
        <v>0</v>
      </c>
      <c r="P102" s="100">
        <v>0.62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2834</v>
      </c>
      <c r="B103" s="100">
        <v>8.65</v>
      </c>
      <c r="C103" s="100">
        <v>17.149999999999999</v>
      </c>
      <c r="D103" s="100">
        <v>15.9</v>
      </c>
      <c r="E103" s="100">
        <v>5.07</v>
      </c>
      <c r="F103" s="100">
        <v>0.21</v>
      </c>
      <c r="G103" s="100">
        <v>94.4</v>
      </c>
      <c r="H103" s="100">
        <v>40.82</v>
      </c>
      <c r="I103" s="100">
        <v>9.9</v>
      </c>
      <c r="J103" s="100">
        <v>0.16</v>
      </c>
      <c r="K103" s="100">
        <v>191.89</v>
      </c>
      <c r="L103" s="100">
        <v>19</v>
      </c>
      <c r="M103" s="100">
        <v>65.38</v>
      </c>
      <c r="N103" s="100">
        <v>1.6</v>
      </c>
      <c r="O103" s="100">
        <v>0</v>
      </c>
      <c r="P103" s="100">
        <v>0.62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2835</v>
      </c>
      <c r="B104" s="100">
        <v>8.93</v>
      </c>
      <c r="C104" s="100">
        <v>17.16</v>
      </c>
      <c r="D104" s="100">
        <v>16.13</v>
      </c>
      <c r="E104" s="100">
        <v>4.82</v>
      </c>
      <c r="F104" s="100">
        <v>0.15</v>
      </c>
      <c r="G104" s="100">
        <v>94.4</v>
      </c>
      <c r="H104" s="100">
        <v>40.82</v>
      </c>
      <c r="I104" s="100">
        <v>9.8699999999999992</v>
      </c>
      <c r="J104" s="100">
        <v>0.16</v>
      </c>
      <c r="K104" s="100">
        <v>215.06</v>
      </c>
      <c r="L104" s="100">
        <v>18.899999999999999</v>
      </c>
      <c r="M104" s="100">
        <v>67.78</v>
      </c>
      <c r="N104" s="100">
        <v>1.4</v>
      </c>
      <c r="O104" s="100">
        <v>0</v>
      </c>
      <c r="P104" s="100">
        <v>0.61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2.78</v>
      </c>
      <c r="C106" s="158">
        <f>MIN(C9:C104)</f>
        <v>15.01</v>
      </c>
      <c r="D106" s="158">
        <f t="shared" ref="D106:Q106" si="0">MIN(D9:D104)</f>
        <v>11.19</v>
      </c>
      <c r="E106" s="158">
        <f t="shared" si="0"/>
        <v>3.81</v>
      </c>
      <c r="F106" s="158">
        <f t="shared" si="0"/>
        <v>0.09</v>
      </c>
      <c r="G106" s="158">
        <f t="shared" si="0"/>
        <v>41.92</v>
      </c>
      <c r="H106" s="158">
        <f t="shared" si="0"/>
        <v>14.93</v>
      </c>
      <c r="I106" s="158">
        <f t="shared" si="0"/>
        <v>5.95</v>
      </c>
      <c r="J106" s="158">
        <f t="shared" si="0"/>
        <v>0.08</v>
      </c>
      <c r="K106" s="158">
        <f t="shared" si="0"/>
        <v>26.97</v>
      </c>
      <c r="L106" s="158">
        <f t="shared" si="0"/>
        <v>-17.86</v>
      </c>
      <c r="M106" s="158">
        <f t="shared" si="0"/>
        <v>-1.95</v>
      </c>
      <c r="N106" s="158">
        <f t="shared" si="0"/>
        <v>1</v>
      </c>
      <c r="O106" s="158">
        <f t="shared" si="0"/>
        <v>0</v>
      </c>
      <c r="P106" s="158">
        <f t="shared" si="0"/>
        <v>0.39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10.44</v>
      </c>
      <c r="C107" s="157">
        <f t="shared" ref="C107:Q107" si="1">MAX(C9:C104)</f>
        <v>24.05</v>
      </c>
      <c r="D107" s="157">
        <f t="shared" si="1"/>
        <v>17.21</v>
      </c>
      <c r="E107" s="157">
        <f t="shared" si="1"/>
        <v>10.6</v>
      </c>
      <c r="F107" s="157">
        <f t="shared" si="1"/>
        <v>511.5</v>
      </c>
      <c r="G107" s="157">
        <f t="shared" si="1"/>
        <v>114.49</v>
      </c>
      <c r="H107" s="157">
        <f t="shared" si="1"/>
        <v>43.02</v>
      </c>
      <c r="I107" s="157">
        <f t="shared" si="1"/>
        <v>11.32</v>
      </c>
      <c r="J107" s="157">
        <f t="shared" si="1"/>
        <v>1.48</v>
      </c>
      <c r="K107" s="157">
        <f t="shared" si="1"/>
        <v>215.06</v>
      </c>
      <c r="L107" s="157">
        <f t="shared" si="1"/>
        <v>29.3</v>
      </c>
      <c r="M107" s="157">
        <f t="shared" si="1"/>
        <v>67.78</v>
      </c>
      <c r="N107" s="157">
        <f t="shared" si="1"/>
        <v>504.4</v>
      </c>
      <c r="O107" s="157">
        <f t="shared" si="1"/>
        <v>0</v>
      </c>
      <c r="P107" s="157">
        <f t="shared" si="1"/>
        <v>0.72</v>
      </c>
      <c r="Q107" s="157">
        <f t="shared" si="1"/>
        <v>9.76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6.3341666666666709</v>
      </c>
      <c r="C108" s="158">
        <f t="shared" ref="C108:Q108" si="2">AVERAGE(C9:C104)</f>
        <v>17.766979166666669</v>
      </c>
      <c r="D108" s="158">
        <f t="shared" si="2"/>
        <v>14.361666666666673</v>
      </c>
      <c r="E108" s="158">
        <f t="shared" si="2"/>
        <v>6.2423958333333331</v>
      </c>
      <c r="F108" s="158">
        <f t="shared" si="2"/>
        <v>25.39560975609756</v>
      </c>
      <c r="G108" s="158">
        <f t="shared" si="2"/>
        <v>84.713125000000005</v>
      </c>
      <c r="H108" s="158">
        <f t="shared" si="2"/>
        <v>32.051979166666669</v>
      </c>
      <c r="I108" s="158">
        <f t="shared" si="2"/>
        <v>9.7118750000000045</v>
      </c>
      <c r="J108" s="158">
        <f t="shared" si="2"/>
        <v>0.56500000000000006</v>
      </c>
      <c r="K108" s="158">
        <f t="shared" si="2"/>
        <v>75.918541666666684</v>
      </c>
      <c r="L108" s="158">
        <f t="shared" si="2"/>
        <v>14.631875000000003</v>
      </c>
      <c r="M108" s="158">
        <f t="shared" si="2"/>
        <v>17.406875000000003</v>
      </c>
      <c r="N108" s="158">
        <f t="shared" si="2"/>
        <v>98.509375000000048</v>
      </c>
      <c r="O108" s="158">
        <f t="shared" si="2"/>
        <v>0</v>
      </c>
      <c r="P108" s="158">
        <f t="shared" si="2"/>
        <v>0.56781249999999994</v>
      </c>
      <c r="Q108" s="158">
        <f t="shared" si="2"/>
        <v>9.341562500000018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2.5593307787559727</v>
      </c>
      <c r="C109" s="158">
        <f t="shared" ref="C109:Q109" si="3">STDEV(C9:C104)</f>
        <v>2.2789762797738655</v>
      </c>
      <c r="D109" s="158">
        <f t="shared" si="3"/>
        <v>1.5417008151741385</v>
      </c>
      <c r="E109" s="158">
        <f t="shared" si="3"/>
        <v>1.3256884962294493</v>
      </c>
      <c r="F109" s="158">
        <f t="shared" si="3"/>
        <v>101.37738700146055</v>
      </c>
      <c r="G109" s="158">
        <f t="shared" si="3"/>
        <v>20.082682055757132</v>
      </c>
      <c r="H109" s="158">
        <f t="shared" si="3"/>
        <v>6.9795245833858885</v>
      </c>
      <c r="I109" s="158">
        <f t="shared" si="3"/>
        <v>1.3270269996856479</v>
      </c>
      <c r="J109" s="158">
        <f t="shared" si="3"/>
        <v>0.42599481093948571</v>
      </c>
      <c r="K109" s="158">
        <f t="shared" si="3"/>
        <v>48.182874048100167</v>
      </c>
      <c r="L109" s="158">
        <f t="shared" si="3"/>
        <v>8.7157630112584457</v>
      </c>
      <c r="M109" s="158">
        <f t="shared" si="3"/>
        <v>19.918275412161989</v>
      </c>
      <c r="N109" s="158">
        <f t="shared" si="3"/>
        <v>160.01503552914872</v>
      </c>
      <c r="O109" s="158">
        <f t="shared" si="3"/>
        <v>0</v>
      </c>
      <c r="P109" s="158">
        <f t="shared" si="3"/>
        <v>8.8925789581153727E-2</v>
      </c>
      <c r="Q109" s="158">
        <f t="shared" si="3"/>
        <v>8.3178035119349791E-2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>COUNT(F9:F104)+55</f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02" sqref="F102:F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2836</v>
      </c>
      <c r="B9" s="100">
        <v>8.8699999999999992</v>
      </c>
      <c r="C9" s="100">
        <v>16.559999999999999</v>
      </c>
      <c r="D9" s="100">
        <v>15.77</v>
      </c>
      <c r="E9" s="100">
        <v>5.18</v>
      </c>
      <c r="F9" s="100">
        <v>0.11</v>
      </c>
      <c r="G9" s="100">
        <v>94.4</v>
      </c>
      <c r="H9" s="100">
        <v>40.82</v>
      </c>
      <c r="I9" s="100">
        <v>9.8800000000000008</v>
      </c>
      <c r="J9" s="100">
        <v>0.16</v>
      </c>
      <c r="K9" s="100">
        <v>206.57</v>
      </c>
      <c r="L9" s="100">
        <v>18.66</v>
      </c>
      <c r="M9" s="100">
        <v>76.02</v>
      </c>
      <c r="N9" s="100">
        <v>1.4</v>
      </c>
      <c r="O9" s="100">
        <v>0</v>
      </c>
      <c r="P9" s="100">
        <v>0.6</v>
      </c>
      <c r="Q9" s="100">
        <v>9.32</v>
      </c>
      <c r="R9" s="6"/>
      <c r="S9" s="6"/>
      <c r="T9" s="156"/>
      <c r="U9" s="6"/>
    </row>
    <row r="10" spans="1:21" customFormat="1">
      <c r="A10" s="201" t="s">
        <v>2837</v>
      </c>
      <c r="B10" s="100">
        <v>8.82</v>
      </c>
      <c r="C10" s="100">
        <v>16.57</v>
      </c>
      <c r="D10" s="100">
        <v>15.73</v>
      </c>
      <c r="E10" s="100">
        <v>5.08</v>
      </c>
      <c r="F10" s="100">
        <v>0.11</v>
      </c>
      <c r="G10" s="100">
        <v>88.9</v>
      </c>
      <c r="H10" s="100">
        <v>40.53</v>
      </c>
      <c r="I10" s="100">
        <v>9.91</v>
      </c>
      <c r="J10" s="100">
        <v>0.16</v>
      </c>
      <c r="K10" s="100">
        <v>169.91</v>
      </c>
      <c r="L10" s="100">
        <v>18.57</v>
      </c>
      <c r="M10" s="100">
        <v>74.959999999999994</v>
      </c>
      <c r="N10" s="100">
        <v>1.3</v>
      </c>
      <c r="O10" s="100">
        <v>0</v>
      </c>
      <c r="P10" s="100">
        <v>0.6</v>
      </c>
      <c r="Q10" s="100">
        <v>9.32</v>
      </c>
      <c r="R10" s="6"/>
      <c r="S10" s="6"/>
      <c r="T10" s="156"/>
      <c r="U10" s="6"/>
    </row>
    <row r="11" spans="1:21" customFormat="1">
      <c r="A11" s="201" t="s">
        <v>2838</v>
      </c>
      <c r="B11" s="100">
        <v>8.75</v>
      </c>
      <c r="C11" s="100">
        <v>16.440000000000001</v>
      </c>
      <c r="D11" s="100">
        <v>15.61</v>
      </c>
      <c r="E11" s="100">
        <v>5.19</v>
      </c>
      <c r="F11" s="100">
        <v>0.21</v>
      </c>
      <c r="G11" s="100">
        <v>86.28</v>
      </c>
      <c r="H11" s="100">
        <v>40.5</v>
      </c>
      <c r="I11" s="100">
        <v>9.93</v>
      </c>
      <c r="J11" s="100">
        <v>0.17</v>
      </c>
      <c r="K11" s="100">
        <v>174.11</v>
      </c>
      <c r="L11" s="100">
        <v>18.53</v>
      </c>
      <c r="M11" s="100">
        <v>75.64</v>
      </c>
      <c r="N11" s="100">
        <v>1.3</v>
      </c>
      <c r="O11" s="100">
        <v>0</v>
      </c>
      <c r="P11" s="100">
        <v>0.6</v>
      </c>
      <c r="Q11" s="100">
        <v>9.32</v>
      </c>
      <c r="R11" s="6"/>
      <c r="S11" s="6"/>
      <c r="T11" s="156"/>
      <c r="U11" s="6"/>
    </row>
    <row r="12" spans="1:21" customFormat="1">
      <c r="A12" s="201" t="s">
        <v>2839</v>
      </c>
      <c r="B12" s="100">
        <v>8.6999999999999993</v>
      </c>
      <c r="C12" s="100">
        <v>16.32</v>
      </c>
      <c r="D12" s="100">
        <v>15.51</v>
      </c>
      <c r="E12" s="100">
        <v>5.34</v>
      </c>
      <c r="F12" s="100">
        <v>0.15</v>
      </c>
      <c r="G12" s="100">
        <v>86.28</v>
      </c>
      <c r="H12" s="100">
        <v>40.5</v>
      </c>
      <c r="I12" s="100">
        <v>9.9499999999999993</v>
      </c>
      <c r="J12" s="100">
        <v>0.13</v>
      </c>
      <c r="K12" s="100">
        <v>200.06</v>
      </c>
      <c r="L12" s="100">
        <v>18.32</v>
      </c>
      <c r="M12" s="100">
        <v>70.349999999999994</v>
      </c>
      <c r="N12" s="100">
        <v>1.4</v>
      </c>
      <c r="O12" s="100">
        <v>0</v>
      </c>
      <c r="P12" s="100">
        <v>0.59</v>
      </c>
      <c r="Q12" s="100">
        <v>9.32</v>
      </c>
      <c r="R12" s="6"/>
      <c r="S12" s="6"/>
      <c r="T12" s="156"/>
      <c r="U12" s="6"/>
    </row>
    <row r="13" spans="1:21" customFormat="1">
      <c r="A13" s="201" t="s">
        <v>2840</v>
      </c>
      <c r="B13" s="100">
        <v>8.9</v>
      </c>
      <c r="C13" s="100">
        <v>16.55</v>
      </c>
      <c r="D13" s="100">
        <v>15.78</v>
      </c>
      <c r="E13" s="100">
        <v>5.44</v>
      </c>
      <c r="F13" s="100">
        <v>0.22</v>
      </c>
      <c r="G13" s="100">
        <v>86.28</v>
      </c>
      <c r="H13" s="100">
        <v>40.5</v>
      </c>
      <c r="I13" s="100">
        <v>9.9600000000000009</v>
      </c>
      <c r="J13" s="100">
        <v>0.15</v>
      </c>
      <c r="K13" s="100">
        <v>223.82</v>
      </c>
      <c r="L13" s="100">
        <v>18.21</v>
      </c>
      <c r="M13" s="100">
        <v>66.67</v>
      </c>
      <c r="N13" s="100">
        <v>1.4</v>
      </c>
      <c r="O13" s="100">
        <v>0</v>
      </c>
      <c r="P13" s="100">
        <v>0.59</v>
      </c>
      <c r="Q13" s="100">
        <v>9.32</v>
      </c>
      <c r="R13" s="6"/>
      <c r="S13" s="6"/>
      <c r="T13" s="156"/>
      <c r="U13" s="6"/>
    </row>
    <row r="14" spans="1:21" customFormat="1">
      <c r="A14" s="201" t="s">
        <v>2841</v>
      </c>
      <c r="B14" s="100">
        <v>9.2799999999999994</v>
      </c>
      <c r="C14" s="100">
        <v>16.93</v>
      </c>
      <c r="D14" s="100">
        <v>16.29</v>
      </c>
      <c r="E14" s="100">
        <v>4.8</v>
      </c>
      <c r="F14" s="100">
        <v>0.12</v>
      </c>
      <c r="G14" s="100">
        <v>80.069999999999993</v>
      </c>
      <c r="H14" s="100">
        <v>35.01</v>
      </c>
      <c r="I14" s="100">
        <v>9.9600000000000009</v>
      </c>
      <c r="J14" s="100">
        <v>0.14000000000000001</v>
      </c>
      <c r="K14" s="100">
        <v>65.67</v>
      </c>
      <c r="L14" s="100">
        <v>18.239999999999998</v>
      </c>
      <c r="M14" s="100">
        <v>64.459999999999994</v>
      </c>
      <c r="N14" s="100">
        <v>1.2</v>
      </c>
      <c r="O14" s="100">
        <v>0</v>
      </c>
      <c r="P14" s="100">
        <v>0.59</v>
      </c>
      <c r="Q14" s="100">
        <v>9.32</v>
      </c>
      <c r="R14" s="6"/>
      <c r="S14" s="6"/>
      <c r="T14" s="156"/>
      <c r="U14" s="6"/>
    </row>
    <row r="15" spans="1:21" customFormat="1">
      <c r="A15" s="201" t="s">
        <v>2842</v>
      </c>
      <c r="B15" s="100">
        <v>9.7100000000000009</v>
      </c>
      <c r="C15" s="100">
        <v>17.010000000000002</v>
      </c>
      <c r="D15" s="100">
        <v>16.68</v>
      </c>
      <c r="E15" s="100">
        <v>5.35</v>
      </c>
      <c r="F15" s="100">
        <v>0.13</v>
      </c>
      <c r="G15" s="100">
        <v>77.12</v>
      </c>
      <c r="H15" s="100">
        <v>34.36</v>
      </c>
      <c r="I15" s="100">
        <v>9.9499999999999993</v>
      </c>
      <c r="J15" s="100">
        <v>0.08</v>
      </c>
      <c r="K15" s="100">
        <v>130.53</v>
      </c>
      <c r="L15" s="100">
        <v>18.420000000000002</v>
      </c>
      <c r="M15" s="100">
        <v>63.77</v>
      </c>
      <c r="N15" s="100">
        <v>1.3</v>
      </c>
      <c r="O15" s="100">
        <v>0</v>
      </c>
      <c r="P15" s="100">
        <v>0.57999999999999996</v>
      </c>
      <c r="Q15" s="100">
        <v>9.32</v>
      </c>
      <c r="R15" s="6"/>
      <c r="S15" s="6"/>
      <c r="T15" s="156"/>
      <c r="U15" s="6"/>
    </row>
    <row r="16" spans="1:21" customFormat="1">
      <c r="A16" s="201" t="s">
        <v>2843</v>
      </c>
      <c r="B16" s="100">
        <v>9.8000000000000007</v>
      </c>
      <c r="C16" s="100">
        <v>17</v>
      </c>
      <c r="D16" s="100">
        <v>16.739999999999998</v>
      </c>
      <c r="E16" s="100">
        <v>5.26</v>
      </c>
      <c r="F16" s="100">
        <v>0.18</v>
      </c>
      <c r="G16" s="100">
        <v>77.12</v>
      </c>
      <c r="H16" s="100">
        <v>34.36</v>
      </c>
      <c r="I16" s="100">
        <v>9.9600000000000009</v>
      </c>
      <c r="J16" s="100">
        <v>0.35</v>
      </c>
      <c r="K16" s="100">
        <v>33.29</v>
      </c>
      <c r="L16" s="100">
        <v>18.47</v>
      </c>
      <c r="M16" s="100">
        <v>61.68</v>
      </c>
      <c r="N16" s="100">
        <v>0.9</v>
      </c>
      <c r="O16" s="100">
        <v>0</v>
      </c>
      <c r="P16" s="100">
        <v>0.56999999999999995</v>
      </c>
      <c r="Q16" s="100">
        <v>9.32</v>
      </c>
      <c r="R16" s="6"/>
      <c r="S16" s="6"/>
      <c r="T16" s="156"/>
      <c r="U16" s="6"/>
    </row>
    <row r="17" spans="1:21" customFormat="1">
      <c r="A17" s="201" t="s">
        <v>2844</v>
      </c>
      <c r="B17" s="100">
        <v>9.66</v>
      </c>
      <c r="C17" s="100">
        <v>16.91</v>
      </c>
      <c r="D17" s="100">
        <v>16.579999999999998</v>
      </c>
      <c r="E17" s="100">
        <v>4.08</v>
      </c>
      <c r="F17" s="100">
        <v>0.23</v>
      </c>
      <c r="G17" s="100">
        <v>77.12</v>
      </c>
      <c r="H17" s="100">
        <v>34.36</v>
      </c>
      <c r="I17" s="100">
        <v>9.99</v>
      </c>
      <c r="J17" s="100">
        <v>0.23</v>
      </c>
      <c r="K17" s="100">
        <v>27.07</v>
      </c>
      <c r="L17" s="100">
        <v>18.350000000000001</v>
      </c>
      <c r="M17" s="100">
        <v>62.88</v>
      </c>
      <c r="N17" s="100">
        <v>1.3</v>
      </c>
      <c r="O17" s="100">
        <v>0</v>
      </c>
      <c r="P17" s="100">
        <v>0.57999999999999996</v>
      </c>
      <c r="Q17" s="100">
        <v>9.32</v>
      </c>
      <c r="R17" s="6"/>
      <c r="S17" s="6"/>
      <c r="T17" s="156"/>
      <c r="U17" s="6"/>
    </row>
    <row r="18" spans="1:21" customFormat="1">
      <c r="A18" s="201" t="s">
        <v>2845</v>
      </c>
      <c r="B18" s="100">
        <v>9.49</v>
      </c>
      <c r="C18" s="100">
        <v>16.75</v>
      </c>
      <c r="D18" s="100">
        <v>16.36</v>
      </c>
      <c r="E18" s="100">
        <v>5.0599999999999996</v>
      </c>
      <c r="F18" s="100">
        <v>0.28999999999999998</v>
      </c>
      <c r="G18" s="100">
        <v>78.17</v>
      </c>
      <c r="H18" s="100">
        <v>36.880000000000003</v>
      </c>
      <c r="I18" s="100">
        <v>10</v>
      </c>
      <c r="J18" s="100">
        <v>0.04</v>
      </c>
      <c r="K18" s="100">
        <v>103.65</v>
      </c>
      <c r="L18" s="100">
        <v>18.3</v>
      </c>
      <c r="M18" s="100">
        <v>64.48</v>
      </c>
      <c r="N18" s="100">
        <v>1.5</v>
      </c>
      <c r="O18" s="100">
        <v>0</v>
      </c>
      <c r="P18" s="100">
        <v>0.61</v>
      </c>
      <c r="Q18" s="100">
        <v>9.32</v>
      </c>
      <c r="R18" s="6"/>
      <c r="S18" s="6"/>
      <c r="T18" s="156"/>
      <c r="U18" s="6"/>
    </row>
    <row r="19" spans="1:21" customFormat="1">
      <c r="A19" s="201" t="s">
        <v>2846</v>
      </c>
      <c r="B19" s="100">
        <v>9.3800000000000008</v>
      </c>
      <c r="C19" s="100">
        <v>16.63</v>
      </c>
      <c r="D19" s="100">
        <v>16.21</v>
      </c>
      <c r="E19" s="100">
        <v>4.8</v>
      </c>
      <c r="F19" s="100">
        <v>0.19</v>
      </c>
      <c r="G19" s="100">
        <v>78.67</v>
      </c>
      <c r="H19" s="100">
        <v>37.130000000000003</v>
      </c>
      <c r="I19" s="100">
        <v>10.58</v>
      </c>
      <c r="J19" s="100">
        <v>0.11</v>
      </c>
      <c r="K19" s="100">
        <v>190.23</v>
      </c>
      <c r="L19" s="100">
        <v>17.77</v>
      </c>
      <c r="M19" s="100">
        <v>67.989999999999995</v>
      </c>
      <c r="N19" s="100">
        <v>1.7</v>
      </c>
      <c r="O19" s="100">
        <v>0</v>
      </c>
      <c r="P19" s="100">
        <v>0.64</v>
      </c>
      <c r="Q19" s="100">
        <v>9.32</v>
      </c>
      <c r="R19" s="6"/>
      <c r="S19" s="6"/>
      <c r="T19" s="156"/>
      <c r="U19" s="6"/>
    </row>
    <row r="20" spans="1:21" customFormat="1">
      <c r="A20" s="201" t="s">
        <v>2847</v>
      </c>
      <c r="B20" s="100">
        <v>9.4600000000000009</v>
      </c>
      <c r="C20" s="100">
        <v>16.670000000000002</v>
      </c>
      <c r="D20" s="100">
        <v>16.29</v>
      </c>
      <c r="E20" s="100">
        <v>5.2</v>
      </c>
      <c r="F20" s="100">
        <v>0.22</v>
      </c>
      <c r="G20" s="100">
        <v>78.67</v>
      </c>
      <c r="H20" s="100">
        <v>37.130000000000003</v>
      </c>
      <c r="I20" s="100">
        <v>12.2</v>
      </c>
      <c r="J20" s="100">
        <v>0.13</v>
      </c>
      <c r="K20" s="100">
        <v>165.26</v>
      </c>
      <c r="L20" s="100">
        <v>17.739999999999998</v>
      </c>
      <c r="M20" s="100">
        <v>68.77</v>
      </c>
      <c r="N20" s="100">
        <v>1.3</v>
      </c>
      <c r="O20" s="100">
        <v>0</v>
      </c>
      <c r="P20" s="100">
        <v>0.66</v>
      </c>
      <c r="Q20" s="100">
        <v>9.32</v>
      </c>
      <c r="R20" s="6"/>
      <c r="S20" s="6"/>
      <c r="T20" s="156"/>
      <c r="U20" s="6"/>
    </row>
    <row r="21" spans="1:21" customFormat="1">
      <c r="A21" s="201" t="s">
        <v>2848</v>
      </c>
      <c r="B21" s="100">
        <v>9.59</v>
      </c>
      <c r="C21" s="100">
        <v>16.64</v>
      </c>
      <c r="D21" s="100">
        <v>16.39</v>
      </c>
      <c r="E21" s="100">
        <v>5.03</v>
      </c>
      <c r="F21" s="100">
        <v>0.12</v>
      </c>
      <c r="G21" s="100">
        <v>78.67</v>
      </c>
      <c r="H21" s="100">
        <v>37.130000000000003</v>
      </c>
      <c r="I21" s="100">
        <v>14.15</v>
      </c>
      <c r="J21" s="100">
        <v>0.09</v>
      </c>
      <c r="K21" s="100">
        <v>160.44999999999999</v>
      </c>
      <c r="L21" s="100">
        <v>17.59</v>
      </c>
      <c r="M21" s="100">
        <v>70.040000000000006</v>
      </c>
      <c r="N21" s="100">
        <v>1.4</v>
      </c>
      <c r="O21" s="100">
        <v>0</v>
      </c>
      <c r="P21" s="100">
        <v>0.66</v>
      </c>
      <c r="Q21" s="100">
        <v>9.32</v>
      </c>
      <c r="R21" s="6"/>
      <c r="S21" s="6"/>
      <c r="T21" s="156"/>
      <c r="U21" s="6"/>
    </row>
    <row r="22" spans="1:21" customFormat="1">
      <c r="A22" s="201" t="s">
        <v>2849</v>
      </c>
      <c r="B22" s="100">
        <v>9.7200000000000006</v>
      </c>
      <c r="C22" s="100">
        <v>16.5</v>
      </c>
      <c r="D22" s="100">
        <v>16.41</v>
      </c>
      <c r="E22" s="100">
        <v>5.03</v>
      </c>
      <c r="F22" s="100">
        <v>0.27</v>
      </c>
      <c r="G22" s="100">
        <v>78.209999999999994</v>
      </c>
      <c r="H22" s="100">
        <v>38.6</v>
      </c>
      <c r="I22" s="100">
        <v>14.26</v>
      </c>
      <c r="J22" s="100">
        <v>0.25</v>
      </c>
      <c r="K22" s="100">
        <v>40.270000000000003</v>
      </c>
      <c r="L22" s="100">
        <v>17.850000000000001</v>
      </c>
      <c r="M22" s="100">
        <v>67.06</v>
      </c>
      <c r="N22" s="100">
        <v>0.9</v>
      </c>
      <c r="O22" s="100">
        <v>0</v>
      </c>
      <c r="P22" s="100">
        <v>0.66</v>
      </c>
      <c r="Q22" s="100">
        <v>9.32</v>
      </c>
      <c r="R22" s="6"/>
      <c r="S22" s="6"/>
      <c r="T22" s="156"/>
      <c r="U22" s="6"/>
    </row>
    <row r="23" spans="1:21" customFormat="1">
      <c r="A23" s="201" t="s">
        <v>2850</v>
      </c>
      <c r="B23" s="100">
        <v>10.06</v>
      </c>
      <c r="C23" s="100">
        <v>16.440000000000001</v>
      </c>
      <c r="D23" s="100">
        <v>16.649999999999999</v>
      </c>
      <c r="E23" s="100">
        <v>5.04</v>
      </c>
      <c r="F23" s="100">
        <v>0.21</v>
      </c>
      <c r="G23" s="100">
        <v>77.989999999999995</v>
      </c>
      <c r="H23" s="100">
        <v>38.75</v>
      </c>
      <c r="I23" s="100">
        <v>13.5</v>
      </c>
      <c r="J23" s="100">
        <v>0.24</v>
      </c>
      <c r="K23" s="100">
        <v>16.649999999999999</v>
      </c>
      <c r="L23" s="100">
        <v>17.87</v>
      </c>
      <c r="M23" s="100">
        <v>67.489999999999995</v>
      </c>
      <c r="N23" s="100">
        <v>1.2</v>
      </c>
      <c r="O23" s="100">
        <v>0</v>
      </c>
      <c r="P23" s="100">
        <v>0.66</v>
      </c>
      <c r="Q23" s="100">
        <v>9.32</v>
      </c>
      <c r="R23" s="6"/>
      <c r="S23" s="6"/>
      <c r="T23" s="156"/>
      <c r="U23" s="6"/>
    </row>
    <row r="24" spans="1:21" customFormat="1">
      <c r="A24" s="201" t="s">
        <v>2851</v>
      </c>
      <c r="B24" s="100">
        <v>10.33</v>
      </c>
      <c r="C24" s="100">
        <v>16.36</v>
      </c>
      <c r="D24" s="100">
        <v>16.829999999999998</v>
      </c>
      <c r="E24" s="100">
        <v>5.0999999999999996</v>
      </c>
      <c r="F24" s="100">
        <v>0.18</v>
      </c>
      <c r="G24" s="100">
        <v>77.989999999999995</v>
      </c>
      <c r="H24" s="100">
        <v>38.75</v>
      </c>
      <c r="I24" s="100">
        <v>13.66</v>
      </c>
      <c r="J24" s="100">
        <v>0.4</v>
      </c>
      <c r="K24" s="100">
        <v>23.85</v>
      </c>
      <c r="L24" s="100">
        <v>17.89</v>
      </c>
      <c r="M24" s="100">
        <v>66.040000000000006</v>
      </c>
      <c r="N24" s="100">
        <v>1.2</v>
      </c>
      <c r="O24" s="100">
        <v>0</v>
      </c>
      <c r="P24" s="100">
        <v>0.66</v>
      </c>
      <c r="Q24" s="100">
        <v>9.32</v>
      </c>
      <c r="R24" s="6"/>
      <c r="S24" s="6"/>
      <c r="T24" s="156"/>
      <c r="U24" s="6"/>
    </row>
    <row r="25" spans="1:21" customFormat="1">
      <c r="A25" s="201" t="s">
        <v>2852</v>
      </c>
      <c r="B25" s="100">
        <v>10.68</v>
      </c>
      <c r="C25" s="100">
        <v>16.45</v>
      </c>
      <c r="D25" s="100">
        <v>17.16</v>
      </c>
      <c r="E25" s="100">
        <v>5.0599999999999996</v>
      </c>
      <c r="F25" s="100">
        <v>0.08</v>
      </c>
      <c r="G25" s="100">
        <v>77.989999999999995</v>
      </c>
      <c r="H25" s="100">
        <v>38.75</v>
      </c>
      <c r="I25" s="100">
        <v>13.6</v>
      </c>
      <c r="J25" s="100">
        <v>0.31</v>
      </c>
      <c r="K25" s="100">
        <v>22.26</v>
      </c>
      <c r="L25" s="100">
        <v>17.8</v>
      </c>
      <c r="M25" s="100">
        <v>66.25</v>
      </c>
      <c r="N25" s="100">
        <v>1.4</v>
      </c>
      <c r="O25" s="100">
        <v>0</v>
      </c>
      <c r="P25" s="100">
        <v>0.68</v>
      </c>
      <c r="Q25" s="100">
        <v>9.32</v>
      </c>
      <c r="R25" s="6"/>
      <c r="S25" s="6"/>
      <c r="T25" s="156"/>
      <c r="U25" s="6"/>
    </row>
    <row r="26" spans="1:21" customFormat="1">
      <c r="A26" s="201" t="s">
        <v>2853</v>
      </c>
      <c r="B26" s="100">
        <v>10.99</v>
      </c>
      <c r="C26" s="100">
        <v>16.5</v>
      </c>
      <c r="D26" s="100">
        <v>17.43</v>
      </c>
      <c r="E26" s="100">
        <v>5.24</v>
      </c>
      <c r="F26" s="100">
        <v>0.06</v>
      </c>
      <c r="G26" s="100">
        <v>83.55</v>
      </c>
      <c r="H26" s="100">
        <v>39.049999999999997</v>
      </c>
      <c r="I26" s="100">
        <v>13.83</v>
      </c>
      <c r="J26" s="100">
        <v>0.28999999999999998</v>
      </c>
      <c r="K26" s="100">
        <v>35.07</v>
      </c>
      <c r="L26" s="100">
        <v>17.64</v>
      </c>
      <c r="M26" s="100">
        <v>67.2</v>
      </c>
      <c r="N26" s="100">
        <v>1.4</v>
      </c>
      <c r="O26" s="100">
        <v>0</v>
      </c>
      <c r="P26" s="100">
        <v>0.7</v>
      </c>
      <c r="Q26" s="100">
        <v>9.32</v>
      </c>
      <c r="R26" s="6"/>
      <c r="S26" s="6"/>
      <c r="T26" s="156"/>
      <c r="U26" s="6"/>
    </row>
    <row r="27" spans="1:21" customFormat="1">
      <c r="A27" s="201" t="s">
        <v>2854</v>
      </c>
      <c r="B27" s="100">
        <v>11.22</v>
      </c>
      <c r="C27" s="100">
        <v>16.43</v>
      </c>
      <c r="D27" s="100">
        <v>17.579999999999998</v>
      </c>
      <c r="E27" s="100">
        <v>5</v>
      </c>
      <c r="F27" s="100">
        <v>7.0000000000000007E-2</v>
      </c>
      <c r="G27" s="100">
        <v>86.2</v>
      </c>
      <c r="H27" s="100">
        <v>39.18</v>
      </c>
      <c r="I27" s="100">
        <v>14.82</v>
      </c>
      <c r="J27" s="100">
        <v>0.33</v>
      </c>
      <c r="K27" s="100">
        <v>39.18</v>
      </c>
      <c r="L27" s="100">
        <v>17.600000000000001</v>
      </c>
      <c r="M27" s="100">
        <v>67.2</v>
      </c>
      <c r="N27" s="100">
        <v>1.3</v>
      </c>
      <c r="O27" s="100">
        <v>0</v>
      </c>
      <c r="P27" s="100">
        <v>0.72</v>
      </c>
      <c r="Q27" s="100">
        <v>9.32</v>
      </c>
      <c r="R27" s="6"/>
      <c r="S27" s="6"/>
      <c r="T27" s="156"/>
      <c r="U27" s="6"/>
    </row>
    <row r="28" spans="1:21" customFormat="1">
      <c r="A28" s="201" t="s">
        <v>2855</v>
      </c>
      <c r="B28" s="100">
        <v>11.57</v>
      </c>
      <c r="C28" s="100">
        <v>16.5</v>
      </c>
      <c r="D28" s="100">
        <v>17.89</v>
      </c>
      <c r="E28" s="100">
        <v>5.0999999999999996</v>
      </c>
      <c r="F28" s="100">
        <v>0.15</v>
      </c>
      <c r="G28" s="100">
        <v>86.2</v>
      </c>
      <c r="H28" s="100">
        <v>39.18</v>
      </c>
      <c r="I28" s="100">
        <v>18.690000000000001</v>
      </c>
      <c r="J28" s="100">
        <v>0.42</v>
      </c>
      <c r="K28" s="100">
        <v>39.97</v>
      </c>
      <c r="L28" s="100">
        <v>17.46</v>
      </c>
      <c r="M28" s="100">
        <v>68.27</v>
      </c>
      <c r="N28" s="100">
        <v>1.4</v>
      </c>
      <c r="O28" s="100">
        <v>0</v>
      </c>
      <c r="P28" s="100">
        <v>0.74</v>
      </c>
      <c r="Q28" s="100">
        <v>9.32</v>
      </c>
      <c r="R28" s="6"/>
      <c r="S28" s="6"/>
      <c r="T28" s="156"/>
      <c r="U28" s="6"/>
    </row>
    <row r="29" spans="1:21" customFormat="1">
      <c r="A29" s="201" t="s">
        <v>2856</v>
      </c>
      <c r="B29" s="100">
        <v>12.08</v>
      </c>
      <c r="C29" s="100">
        <v>16.57</v>
      </c>
      <c r="D29" s="100">
        <v>18.350000000000001</v>
      </c>
      <c r="E29" s="100">
        <v>5.04</v>
      </c>
      <c r="F29" s="100">
        <v>0.26</v>
      </c>
      <c r="G29" s="100">
        <v>86.2</v>
      </c>
      <c r="H29" s="100">
        <v>39.18</v>
      </c>
      <c r="I29" s="100">
        <v>22.41</v>
      </c>
      <c r="J29" s="100">
        <v>0.38</v>
      </c>
      <c r="K29" s="100">
        <v>58.07</v>
      </c>
      <c r="L29" s="100">
        <v>17.309999999999999</v>
      </c>
      <c r="M29" s="100">
        <v>69.42</v>
      </c>
      <c r="N29" s="100">
        <v>1.5</v>
      </c>
      <c r="O29" s="100">
        <v>0</v>
      </c>
      <c r="P29" s="100">
        <v>0.76</v>
      </c>
      <c r="Q29" s="100">
        <v>9.32</v>
      </c>
      <c r="R29" s="6"/>
      <c r="S29" s="6"/>
      <c r="T29" s="156"/>
      <c r="U29" s="6"/>
    </row>
    <row r="30" spans="1:21" customFormat="1">
      <c r="A30" s="201" t="s">
        <v>2857</v>
      </c>
      <c r="B30" s="100">
        <v>12.47</v>
      </c>
      <c r="C30" s="100">
        <v>16.59</v>
      </c>
      <c r="D30" s="100">
        <v>18.670000000000002</v>
      </c>
      <c r="E30" s="100">
        <v>4.99</v>
      </c>
      <c r="F30" s="100">
        <v>0.12</v>
      </c>
      <c r="G30" s="100">
        <v>87</v>
      </c>
      <c r="H30" s="100">
        <v>38.39</v>
      </c>
      <c r="I30" s="100">
        <v>22.87</v>
      </c>
      <c r="J30" s="100">
        <v>0.42</v>
      </c>
      <c r="K30" s="100">
        <v>51.59</v>
      </c>
      <c r="L30" s="100">
        <v>17.149999999999999</v>
      </c>
      <c r="M30" s="100">
        <v>70.91</v>
      </c>
      <c r="N30" s="100">
        <v>1.5</v>
      </c>
      <c r="O30" s="100">
        <v>0</v>
      </c>
      <c r="P30" s="100">
        <v>0.75</v>
      </c>
      <c r="Q30" s="100">
        <v>9.32</v>
      </c>
      <c r="R30" s="6"/>
      <c r="S30" s="6"/>
      <c r="T30" s="156"/>
      <c r="U30" s="6"/>
    </row>
    <row r="31" spans="1:21" customFormat="1">
      <c r="A31" s="201" t="s">
        <v>2858</v>
      </c>
      <c r="B31" s="100">
        <v>12.61</v>
      </c>
      <c r="C31" s="100">
        <v>16.440000000000001</v>
      </c>
      <c r="D31" s="100">
        <v>18.7</v>
      </c>
      <c r="E31" s="100">
        <v>3.32</v>
      </c>
      <c r="F31" s="100">
        <v>0.11</v>
      </c>
      <c r="G31" s="100">
        <v>87.38</v>
      </c>
      <c r="H31" s="100">
        <v>38.31</v>
      </c>
      <c r="I31" s="100">
        <v>22.86</v>
      </c>
      <c r="J31" s="100">
        <v>0.42</v>
      </c>
      <c r="K31" s="100">
        <v>34.880000000000003</v>
      </c>
      <c r="L31" s="100">
        <v>17</v>
      </c>
      <c r="M31" s="100">
        <v>71.95</v>
      </c>
      <c r="N31" s="100">
        <v>1.5</v>
      </c>
      <c r="O31" s="100">
        <v>0</v>
      </c>
      <c r="P31" s="100">
        <v>0.74</v>
      </c>
      <c r="Q31" s="100">
        <v>9.32</v>
      </c>
      <c r="R31" s="6"/>
      <c r="S31" s="6"/>
      <c r="T31" s="156"/>
      <c r="U31" s="6"/>
    </row>
    <row r="32" spans="1:21" customFormat="1">
      <c r="A32" s="201" t="s">
        <v>2859</v>
      </c>
      <c r="B32" s="100">
        <v>12.82</v>
      </c>
      <c r="C32" s="100">
        <v>16.36</v>
      </c>
      <c r="D32" s="100">
        <v>18.829999999999998</v>
      </c>
      <c r="E32" s="100">
        <v>5.0599999999999996</v>
      </c>
      <c r="F32" s="100">
        <v>0.14000000000000001</v>
      </c>
      <c r="G32" s="100">
        <v>87.38</v>
      </c>
      <c r="H32" s="100">
        <v>38.31</v>
      </c>
      <c r="I32" s="100">
        <v>22.49</v>
      </c>
      <c r="J32" s="100">
        <v>0.39</v>
      </c>
      <c r="K32" s="100">
        <v>47.14</v>
      </c>
      <c r="L32" s="100">
        <v>16.920000000000002</v>
      </c>
      <c r="M32" s="100">
        <v>72.75</v>
      </c>
      <c r="N32" s="100">
        <v>1.5</v>
      </c>
      <c r="O32" s="100">
        <v>0</v>
      </c>
      <c r="P32" s="100">
        <v>0.74</v>
      </c>
      <c r="Q32" s="100">
        <v>9.32</v>
      </c>
      <c r="R32" s="6"/>
      <c r="S32" s="6"/>
      <c r="T32" s="156"/>
      <c r="U32" s="6"/>
    </row>
    <row r="33" spans="1:21" customFormat="1">
      <c r="A33" s="201" t="s">
        <v>2860</v>
      </c>
      <c r="B33" s="100">
        <v>13.06</v>
      </c>
      <c r="C33" s="100">
        <v>16.45</v>
      </c>
      <c r="D33" s="100">
        <v>19.059999999999999</v>
      </c>
      <c r="E33" s="100">
        <v>4.95</v>
      </c>
      <c r="F33" s="100">
        <v>0.24</v>
      </c>
      <c r="G33" s="100">
        <v>87.38</v>
      </c>
      <c r="H33" s="100">
        <v>38.31</v>
      </c>
      <c r="I33" s="100">
        <v>19.37</v>
      </c>
      <c r="J33" s="100">
        <v>0.3</v>
      </c>
      <c r="K33" s="100">
        <v>66.23</v>
      </c>
      <c r="L33" s="100">
        <v>16.88</v>
      </c>
      <c r="M33" s="100">
        <v>73.260000000000005</v>
      </c>
      <c r="N33" s="100">
        <v>2.2000000000000002</v>
      </c>
      <c r="O33" s="100">
        <v>0</v>
      </c>
      <c r="P33" s="100">
        <v>0.73</v>
      </c>
      <c r="Q33" s="100">
        <v>9.32</v>
      </c>
      <c r="R33" s="6"/>
      <c r="S33" s="6"/>
      <c r="T33" s="156"/>
      <c r="U33" s="6"/>
    </row>
    <row r="34" spans="1:21" customFormat="1">
      <c r="A34" s="201" t="s">
        <v>2861</v>
      </c>
      <c r="B34" s="100">
        <v>13.22</v>
      </c>
      <c r="C34" s="100">
        <v>16.329999999999998</v>
      </c>
      <c r="D34" s="100">
        <v>19.13</v>
      </c>
      <c r="E34" s="100">
        <v>4.84</v>
      </c>
      <c r="F34" s="100">
        <v>0.09</v>
      </c>
      <c r="G34" s="100">
        <v>87.51</v>
      </c>
      <c r="H34" s="100">
        <v>37.46</v>
      </c>
      <c r="I34" s="100">
        <v>16.02</v>
      </c>
      <c r="J34" s="100">
        <v>0.12</v>
      </c>
      <c r="K34" s="100">
        <v>81.33</v>
      </c>
      <c r="L34" s="100">
        <v>16.78</v>
      </c>
      <c r="M34" s="100">
        <v>75.48</v>
      </c>
      <c r="N34" s="100">
        <v>5.3</v>
      </c>
      <c r="O34" s="100">
        <v>0</v>
      </c>
      <c r="P34" s="100">
        <v>0.72</v>
      </c>
      <c r="Q34" s="100">
        <v>9.32</v>
      </c>
      <c r="R34" s="6"/>
      <c r="S34" s="6"/>
      <c r="T34" s="156"/>
      <c r="U34" s="6"/>
    </row>
    <row r="35" spans="1:21" customFormat="1">
      <c r="A35" s="201" t="s">
        <v>2862</v>
      </c>
      <c r="B35" s="100">
        <v>13.69</v>
      </c>
      <c r="C35" s="100">
        <v>16.29</v>
      </c>
      <c r="D35" s="100">
        <v>19.489999999999998</v>
      </c>
      <c r="E35" s="100">
        <v>4.71</v>
      </c>
      <c r="F35" s="100">
        <v>0.05</v>
      </c>
      <c r="G35" s="100">
        <v>87.57</v>
      </c>
      <c r="H35" s="100">
        <v>37.369999999999997</v>
      </c>
      <c r="I35" s="100">
        <v>15.68</v>
      </c>
      <c r="J35" s="100">
        <v>0.28000000000000003</v>
      </c>
      <c r="K35" s="100">
        <v>54.56</v>
      </c>
      <c r="L35" s="100">
        <v>16.760000000000002</v>
      </c>
      <c r="M35" s="100">
        <v>75.84</v>
      </c>
      <c r="N35" s="100">
        <v>12.4</v>
      </c>
      <c r="O35" s="100">
        <v>0</v>
      </c>
      <c r="P35" s="100">
        <v>0.72</v>
      </c>
      <c r="Q35" s="100">
        <v>9.32</v>
      </c>
      <c r="R35" s="6"/>
      <c r="S35" s="6"/>
      <c r="T35" s="156"/>
      <c r="U35" s="6"/>
    </row>
    <row r="36" spans="1:21" customFormat="1">
      <c r="A36" s="201" t="s">
        <v>2863</v>
      </c>
      <c r="B36" s="100">
        <v>14.24</v>
      </c>
      <c r="C36" s="100">
        <v>16.28</v>
      </c>
      <c r="D36" s="100">
        <v>19.93</v>
      </c>
      <c r="E36" s="100">
        <v>4.97</v>
      </c>
      <c r="F36" s="100">
        <v>0.12</v>
      </c>
      <c r="G36" s="100">
        <v>87.57</v>
      </c>
      <c r="H36" s="100">
        <v>37.369999999999997</v>
      </c>
      <c r="I36" s="100">
        <v>15.32</v>
      </c>
      <c r="J36" s="100">
        <v>0.23</v>
      </c>
      <c r="K36" s="100">
        <v>36.81</v>
      </c>
      <c r="L36" s="100">
        <v>16.96</v>
      </c>
      <c r="M36" s="100">
        <v>75.319999999999993</v>
      </c>
      <c r="N36" s="100">
        <v>23.9</v>
      </c>
      <c r="O36" s="100">
        <v>0</v>
      </c>
      <c r="P36" s="100">
        <v>0.71</v>
      </c>
      <c r="Q36" s="100">
        <v>9.32</v>
      </c>
      <c r="R36" s="6"/>
      <c r="S36" s="6"/>
      <c r="T36" s="156"/>
      <c r="U36" s="6"/>
    </row>
    <row r="37" spans="1:21" customFormat="1">
      <c r="A37" s="201" t="s">
        <v>2864</v>
      </c>
      <c r="B37" s="100">
        <v>15</v>
      </c>
      <c r="C37" s="100">
        <v>16.32</v>
      </c>
      <c r="D37" s="100">
        <v>20.56</v>
      </c>
      <c r="E37" s="100">
        <v>4.8600000000000003</v>
      </c>
      <c r="F37" s="100">
        <v>0.17</v>
      </c>
      <c r="G37" s="100">
        <v>87.57</v>
      </c>
      <c r="H37" s="100">
        <v>37.369999999999997</v>
      </c>
      <c r="I37" s="100">
        <v>14.99</v>
      </c>
      <c r="J37" s="100">
        <v>0.51</v>
      </c>
      <c r="K37" s="100">
        <v>39.229999999999997</v>
      </c>
      <c r="L37" s="100">
        <v>17.260000000000002</v>
      </c>
      <c r="M37" s="100">
        <v>73.540000000000006</v>
      </c>
      <c r="N37" s="100">
        <v>37.200000000000003</v>
      </c>
      <c r="O37" s="100">
        <v>0</v>
      </c>
      <c r="P37" s="100">
        <v>0.71</v>
      </c>
      <c r="Q37" s="100">
        <v>9.32</v>
      </c>
      <c r="R37" s="6"/>
      <c r="S37" s="6"/>
      <c r="T37" s="156"/>
      <c r="U37" s="6"/>
    </row>
    <row r="38" spans="1:21" customFormat="1">
      <c r="A38" s="201" t="s">
        <v>2865</v>
      </c>
      <c r="B38" s="100">
        <v>15.59</v>
      </c>
      <c r="C38" s="100">
        <v>16.48</v>
      </c>
      <c r="D38" s="100">
        <v>21.11</v>
      </c>
      <c r="E38" s="100">
        <v>4.67</v>
      </c>
      <c r="F38" s="100">
        <v>7.0000000000000007E-2</v>
      </c>
      <c r="G38" s="100">
        <v>87.3</v>
      </c>
      <c r="H38" s="100">
        <v>37.630000000000003</v>
      </c>
      <c r="I38" s="100">
        <v>14.7</v>
      </c>
      <c r="J38" s="100">
        <v>0.38</v>
      </c>
      <c r="K38" s="100">
        <v>24.79</v>
      </c>
      <c r="L38" s="100">
        <v>17.760000000000002</v>
      </c>
      <c r="M38" s="100">
        <v>69.739999999999995</v>
      </c>
      <c r="N38" s="100">
        <v>50.2</v>
      </c>
      <c r="O38" s="100">
        <v>0</v>
      </c>
      <c r="P38" s="100">
        <v>0.71</v>
      </c>
      <c r="Q38" s="100">
        <v>9.32</v>
      </c>
      <c r="R38" s="6"/>
      <c r="S38" s="6"/>
      <c r="T38" s="156"/>
      <c r="U38" s="6"/>
    </row>
    <row r="39" spans="1:21" customFormat="1">
      <c r="A39" s="201" t="s">
        <v>2866</v>
      </c>
      <c r="B39" s="100">
        <v>16.04</v>
      </c>
      <c r="C39" s="100">
        <v>17</v>
      </c>
      <c r="D39" s="100">
        <v>21.75</v>
      </c>
      <c r="E39" s="100">
        <v>4.9800000000000004</v>
      </c>
      <c r="F39" s="100">
        <v>7.0000000000000007E-2</v>
      </c>
      <c r="G39" s="100">
        <v>87.18</v>
      </c>
      <c r="H39" s="100">
        <v>37.65</v>
      </c>
      <c r="I39" s="100">
        <v>14.45</v>
      </c>
      <c r="J39" s="100">
        <v>0.51</v>
      </c>
      <c r="K39" s="100">
        <v>18.149999999999999</v>
      </c>
      <c r="L39" s="100">
        <v>18.22</v>
      </c>
      <c r="M39" s="100">
        <v>67.3</v>
      </c>
      <c r="N39" s="100">
        <v>62.4</v>
      </c>
      <c r="O39" s="100">
        <v>0</v>
      </c>
      <c r="P39" s="100">
        <v>0.72</v>
      </c>
      <c r="Q39" s="100">
        <v>9.32</v>
      </c>
      <c r="R39" s="6"/>
      <c r="S39" s="6"/>
      <c r="T39" s="156"/>
      <c r="U39" s="6"/>
    </row>
    <row r="40" spans="1:21" customFormat="1">
      <c r="A40" s="201" t="s">
        <v>2867</v>
      </c>
      <c r="B40" s="100">
        <v>16.5</v>
      </c>
      <c r="C40" s="100">
        <v>17.43</v>
      </c>
      <c r="D40" s="100">
        <v>22.34</v>
      </c>
      <c r="E40" s="100">
        <v>5.0599999999999996</v>
      </c>
      <c r="F40" s="100">
        <v>0.08</v>
      </c>
      <c r="G40" s="100">
        <v>87.18</v>
      </c>
      <c r="H40" s="100">
        <v>37.65</v>
      </c>
      <c r="I40" s="100">
        <v>14.29</v>
      </c>
      <c r="J40" s="100">
        <v>0.51</v>
      </c>
      <c r="K40" s="100">
        <v>54.79</v>
      </c>
      <c r="L40" s="100">
        <v>18.8</v>
      </c>
      <c r="M40" s="100">
        <v>65.150000000000006</v>
      </c>
      <c r="N40" s="100">
        <v>112.1</v>
      </c>
      <c r="O40" s="100">
        <v>0</v>
      </c>
      <c r="P40" s="100">
        <v>0.73</v>
      </c>
      <c r="Q40" s="100">
        <v>9.32</v>
      </c>
      <c r="R40" s="6"/>
      <c r="S40" s="6"/>
      <c r="T40" s="156"/>
      <c r="U40" s="6"/>
    </row>
    <row r="41" spans="1:21" customFormat="1">
      <c r="A41" s="201" t="s">
        <v>2868</v>
      </c>
      <c r="B41" s="100">
        <v>16.52</v>
      </c>
      <c r="C41" s="100">
        <v>17.88</v>
      </c>
      <c r="D41" s="100">
        <v>22.59</v>
      </c>
      <c r="E41" s="100">
        <v>4.8600000000000003</v>
      </c>
      <c r="F41" s="100">
        <v>0.17</v>
      </c>
      <c r="G41" s="100">
        <v>87.18</v>
      </c>
      <c r="H41" s="100">
        <v>37.65</v>
      </c>
      <c r="I41" s="100">
        <v>14.18</v>
      </c>
      <c r="J41" s="100">
        <v>0.86</v>
      </c>
      <c r="K41" s="100">
        <v>40.869999999999997</v>
      </c>
      <c r="L41" s="100">
        <v>19.3</v>
      </c>
      <c r="M41" s="100">
        <v>64.459999999999994</v>
      </c>
      <c r="N41" s="100">
        <v>183.9</v>
      </c>
      <c r="O41" s="100">
        <v>0</v>
      </c>
      <c r="P41" s="100">
        <v>0.73</v>
      </c>
      <c r="Q41" s="100">
        <v>9.32</v>
      </c>
      <c r="R41" s="6"/>
      <c r="S41" s="6"/>
      <c r="T41" s="156"/>
      <c r="U41" s="6"/>
    </row>
    <row r="42" spans="1:21" customFormat="1">
      <c r="A42" s="201" t="s">
        <v>2869</v>
      </c>
      <c r="B42" s="100">
        <v>16.28</v>
      </c>
      <c r="C42" s="100">
        <v>17.93</v>
      </c>
      <c r="D42" s="100">
        <v>22.42</v>
      </c>
      <c r="E42" s="100">
        <v>4.96</v>
      </c>
      <c r="F42" s="100">
        <v>0.14000000000000001</v>
      </c>
      <c r="G42" s="100">
        <v>92.61</v>
      </c>
      <c r="H42" s="100">
        <v>39.549999999999997</v>
      </c>
      <c r="I42" s="100">
        <v>14.09</v>
      </c>
      <c r="J42" s="100">
        <v>0.8</v>
      </c>
      <c r="K42" s="100">
        <v>45.55</v>
      </c>
      <c r="L42" s="100">
        <v>20.059999999999999</v>
      </c>
      <c r="M42" s="100">
        <v>62.03</v>
      </c>
      <c r="N42" s="100">
        <v>222.3</v>
      </c>
      <c r="O42" s="100">
        <v>0</v>
      </c>
      <c r="P42" s="100">
        <v>0.73</v>
      </c>
      <c r="Q42" s="100">
        <v>9.32</v>
      </c>
      <c r="R42" s="6"/>
      <c r="S42" s="6"/>
      <c r="T42" s="156"/>
      <c r="U42" s="6"/>
    </row>
    <row r="43" spans="1:21" customFormat="1">
      <c r="A43" s="201" t="s">
        <v>2870</v>
      </c>
      <c r="B43" s="100">
        <v>15.98</v>
      </c>
      <c r="C43" s="100">
        <v>17.95</v>
      </c>
      <c r="D43" s="100">
        <v>22.19</v>
      </c>
      <c r="E43" s="100">
        <v>4.9800000000000004</v>
      </c>
      <c r="F43" s="100">
        <v>0.19</v>
      </c>
      <c r="G43" s="100">
        <v>95.2</v>
      </c>
      <c r="H43" s="100">
        <v>39.74</v>
      </c>
      <c r="I43" s="100">
        <v>13.96</v>
      </c>
      <c r="J43" s="100">
        <v>0.55000000000000004</v>
      </c>
      <c r="K43" s="100">
        <v>57.17</v>
      </c>
      <c r="L43" s="100">
        <v>21.26</v>
      </c>
      <c r="M43" s="100">
        <v>57.92</v>
      </c>
      <c r="N43" s="100">
        <v>261.2</v>
      </c>
      <c r="O43" s="100">
        <v>0</v>
      </c>
      <c r="P43" s="100">
        <v>0.73</v>
      </c>
      <c r="Q43" s="100">
        <v>9.32</v>
      </c>
      <c r="R43" s="6"/>
      <c r="S43" s="6"/>
      <c r="T43" s="156"/>
      <c r="U43" s="6"/>
    </row>
    <row r="44" spans="1:21" customFormat="1">
      <c r="A44" s="201" t="s">
        <v>2871</v>
      </c>
      <c r="B44" s="100">
        <v>15.39</v>
      </c>
      <c r="C44" s="100">
        <v>17.73</v>
      </c>
      <c r="D44" s="100">
        <v>21.61</v>
      </c>
      <c r="E44" s="100">
        <v>4.75</v>
      </c>
      <c r="F44" s="100">
        <v>0.22</v>
      </c>
      <c r="G44" s="100">
        <v>95.2</v>
      </c>
      <c r="H44" s="100">
        <v>39.74</v>
      </c>
      <c r="I44" s="100">
        <v>13.79</v>
      </c>
      <c r="J44" s="100">
        <v>0.53</v>
      </c>
      <c r="K44" s="100">
        <v>61.88</v>
      </c>
      <c r="L44" s="100">
        <v>22.13</v>
      </c>
      <c r="M44" s="100">
        <v>54.07</v>
      </c>
      <c r="N44" s="100">
        <v>284.60000000000002</v>
      </c>
      <c r="O44" s="100">
        <v>0</v>
      </c>
      <c r="P44" s="100">
        <v>0.73</v>
      </c>
      <c r="Q44" s="100">
        <v>9.32</v>
      </c>
      <c r="R44" s="6"/>
      <c r="S44" s="6"/>
      <c r="T44" s="156"/>
      <c r="U44" s="6"/>
    </row>
    <row r="45" spans="1:21" customFormat="1">
      <c r="A45" s="201" t="s">
        <v>2872</v>
      </c>
      <c r="B45" s="100">
        <v>14.71</v>
      </c>
      <c r="C45" s="100">
        <v>17.55</v>
      </c>
      <c r="D45" s="100">
        <v>20.96</v>
      </c>
      <c r="E45" s="100">
        <v>5</v>
      </c>
      <c r="F45" s="100">
        <v>0.26</v>
      </c>
      <c r="G45" s="100">
        <v>95.2</v>
      </c>
      <c r="H45" s="100">
        <v>39.74</v>
      </c>
      <c r="I45" s="100">
        <v>13.64</v>
      </c>
      <c r="J45" s="100">
        <v>0.8</v>
      </c>
      <c r="K45" s="100">
        <v>39.53</v>
      </c>
      <c r="L45" s="100">
        <v>22.77</v>
      </c>
      <c r="M45" s="100">
        <v>51.68</v>
      </c>
      <c r="N45" s="100">
        <v>199.4</v>
      </c>
      <c r="O45" s="100">
        <v>0</v>
      </c>
      <c r="P45" s="100">
        <v>0.72</v>
      </c>
      <c r="Q45" s="100">
        <v>9.32</v>
      </c>
      <c r="R45" s="6"/>
      <c r="S45" s="6"/>
      <c r="T45" s="156"/>
      <c r="U45" s="6"/>
    </row>
    <row r="46" spans="1:21" customFormat="1">
      <c r="A46" s="201" t="s">
        <v>2873</v>
      </c>
      <c r="B46" s="100">
        <v>14.11</v>
      </c>
      <c r="C46" s="100">
        <v>17.45</v>
      </c>
      <c r="D46" s="100">
        <v>20.43</v>
      </c>
      <c r="E46" s="100">
        <v>4.91</v>
      </c>
      <c r="F46" s="100">
        <v>0.27</v>
      </c>
      <c r="G46" s="100">
        <v>94.15</v>
      </c>
      <c r="H46" s="100">
        <v>38.72</v>
      </c>
      <c r="I46" s="100">
        <v>13.5</v>
      </c>
      <c r="J46" s="100">
        <v>0.77</v>
      </c>
      <c r="K46" s="100">
        <v>47.13</v>
      </c>
      <c r="L46" s="100">
        <v>23.39</v>
      </c>
      <c r="M46" s="100">
        <v>49.03</v>
      </c>
      <c r="N46" s="100">
        <v>224.3</v>
      </c>
      <c r="O46" s="100">
        <v>0</v>
      </c>
      <c r="P46" s="100">
        <v>0.72</v>
      </c>
      <c r="Q46" s="100">
        <v>9.32</v>
      </c>
      <c r="R46" s="6"/>
      <c r="S46" s="6"/>
      <c r="T46" s="156"/>
      <c r="U46" s="6"/>
    </row>
    <row r="47" spans="1:21" customFormat="1">
      <c r="A47" s="201" t="s">
        <v>2874</v>
      </c>
      <c r="B47" s="100">
        <v>13.5</v>
      </c>
      <c r="C47" s="100">
        <v>17.399999999999999</v>
      </c>
      <c r="D47" s="100">
        <v>19.920000000000002</v>
      </c>
      <c r="E47" s="100">
        <v>5.24</v>
      </c>
      <c r="F47" s="100">
        <v>0.39</v>
      </c>
      <c r="G47" s="100">
        <v>93.65</v>
      </c>
      <c r="H47" s="100">
        <v>38.61</v>
      </c>
      <c r="I47" s="100">
        <v>13.36</v>
      </c>
      <c r="J47" s="100">
        <v>0.97</v>
      </c>
      <c r="K47" s="100">
        <v>52.52</v>
      </c>
      <c r="L47" s="100">
        <v>23.97</v>
      </c>
      <c r="M47" s="100">
        <v>45.92</v>
      </c>
      <c r="N47" s="100">
        <v>247.4</v>
      </c>
      <c r="O47" s="100">
        <v>0</v>
      </c>
      <c r="P47" s="100">
        <v>0.72</v>
      </c>
      <c r="Q47" s="100">
        <v>9.32</v>
      </c>
      <c r="R47" s="6"/>
      <c r="S47" s="6"/>
      <c r="T47" s="156"/>
      <c r="U47" s="6"/>
    </row>
    <row r="48" spans="1:21" customFormat="1">
      <c r="A48" s="201" t="s">
        <v>2875</v>
      </c>
      <c r="B48" s="100">
        <v>12.44</v>
      </c>
      <c r="C48" s="100">
        <v>17.84</v>
      </c>
      <c r="D48" s="100">
        <v>19.3</v>
      </c>
      <c r="E48" s="100">
        <v>5.29</v>
      </c>
      <c r="F48" s="100">
        <v>0.48</v>
      </c>
      <c r="G48" s="100">
        <v>93.65</v>
      </c>
      <c r="H48" s="100">
        <v>38.61</v>
      </c>
      <c r="I48" s="100">
        <v>13.2</v>
      </c>
      <c r="J48" s="100">
        <v>0.35</v>
      </c>
      <c r="K48" s="100">
        <v>88.96</v>
      </c>
      <c r="L48" s="100">
        <v>25.04</v>
      </c>
      <c r="M48" s="100">
        <v>42.77</v>
      </c>
      <c r="N48" s="100">
        <v>368.3</v>
      </c>
      <c r="O48" s="100">
        <v>0</v>
      </c>
      <c r="P48" s="100">
        <v>0.69</v>
      </c>
      <c r="Q48" s="100">
        <v>9.32</v>
      </c>
      <c r="R48" s="6"/>
      <c r="S48" s="6"/>
      <c r="T48" s="156"/>
      <c r="U48" s="6"/>
    </row>
    <row r="49" spans="1:21" customFormat="1">
      <c r="A49" s="201" t="s">
        <v>2876</v>
      </c>
      <c r="B49" s="100">
        <v>11.02</v>
      </c>
      <c r="C49" s="100">
        <v>18.2</v>
      </c>
      <c r="D49" s="100">
        <v>18.34</v>
      </c>
      <c r="E49" s="100">
        <v>4.68</v>
      </c>
      <c r="F49" s="100">
        <v>0.82</v>
      </c>
      <c r="G49" s="100">
        <v>93.65</v>
      </c>
      <c r="H49" s="100">
        <v>38.61</v>
      </c>
      <c r="I49" s="100">
        <v>13.04</v>
      </c>
      <c r="J49" s="100">
        <v>0.54</v>
      </c>
      <c r="K49" s="100">
        <v>75.849999999999994</v>
      </c>
      <c r="L49" s="100">
        <v>25.9</v>
      </c>
      <c r="M49" s="100">
        <v>39.799999999999997</v>
      </c>
      <c r="N49" s="100">
        <v>482.8</v>
      </c>
      <c r="O49" s="100">
        <v>0</v>
      </c>
      <c r="P49" s="100">
        <v>0.69</v>
      </c>
      <c r="Q49" s="100">
        <v>9.32</v>
      </c>
      <c r="R49" s="6"/>
      <c r="S49" s="6"/>
      <c r="T49" s="156"/>
      <c r="U49" s="6"/>
    </row>
    <row r="50" spans="1:21" customFormat="1">
      <c r="A50" s="201" t="s">
        <v>2877</v>
      </c>
      <c r="B50" s="100">
        <v>9.66</v>
      </c>
      <c r="C50" s="100">
        <v>18.5</v>
      </c>
      <c r="D50" s="100">
        <v>17.420000000000002</v>
      </c>
      <c r="E50" s="100">
        <v>5.4</v>
      </c>
      <c r="F50" s="100">
        <v>1</v>
      </c>
      <c r="G50" s="100">
        <v>92.66</v>
      </c>
      <c r="H50" s="100">
        <v>38.65</v>
      </c>
      <c r="I50" s="100">
        <v>12.84</v>
      </c>
      <c r="J50" s="100">
        <v>0.75</v>
      </c>
      <c r="K50" s="100">
        <v>52.64</v>
      </c>
      <c r="L50" s="100">
        <v>26.36</v>
      </c>
      <c r="M50" s="100">
        <v>38.450000000000003</v>
      </c>
      <c r="N50" s="100">
        <v>508.3</v>
      </c>
      <c r="O50" s="100">
        <v>0</v>
      </c>
      <c r="P50" s="100">
        <v>0.68</v>
      </c>
      <c r="Q50" s="100">
        <v>9.32</v>
      </c>
      <c r="R50" s="6"/>
      <c r="S50" s="6"/>
      <c r="T50" s="156"/>
      <c r="U50" s="6"/>
    </row>
    <row r="51" spans="1:21" customFormat="1">
      <c r="A51" s="201" t="s">
        <v>2878</v>
      </c>
      <c r="B51" s="100">
        <v>8.4499999999999993</v>
      </c>
      <c r="C51" s="100">
        <v>18.73</v>
      </c>
      <c r="D51" s="100">
        <v>16.559999999999999</v>
      </c>
      <c r="E51" s="100">
        <v>5.57</v>
      </c>
      <c r="F51" s="100">
        <v>1.06</v>
      </c>
      <c r="G51" s="100">
        <v>92.19</v>
      </c>
      <c r="H51" s="100">
        <v>38.65</v>
      </c>
      <c r="I51" s="100">
        <v>12.61</v>
      </c>
      <c r="J51" s="100">
        <v>0.69</v>
      </c>
      <c r="K51" s="100">
        <v>56.05</v>
      </c>
      <c r="L51" s="100">
        <v>26.88</v>
      </c>
      <c r="M51" s="100">
        <v>37.590000000000003</v>
      </c>
      <c r="N51" s="100">
        <v>541.9</v>
      </c>
      <c r="O51" s="100">
        <v>0</v>
      </c>
      <c r="P51" s="100">
        <v>0.67</v>
      </c>
      <c r="Q51" s="100">
        <v>9.32</v>
      </c>
      <c r="R51" s="6"/>
      <c r="S51" s="6"/>
      <c r="T51" s="156"/>
      <c r="U51" s="6"/>
    </row>
    <row r="52" spans="1:21" customFormat="1">
      <c r="A52" s="201" t="s">
        <v>2879</v>
      </c>
      <c r="B52" s="100">
        <v>7.21</v>
      </c>
      <c r="C52" s="100">
        <v>18.82</v>
      </c>
      <c r="D52" s="100">
        <v>15.61</v>
      </c>
      <c r="E52" s="100">
        <v>5.82</v>
      </c>
      <c r="F52" s="100">
        <v>1.25</v>
      </c>
      <c r="G52" s="100">
        <v>92.19</v>
      </c>
      <c r="H52" s="100">
        <v>38.65</v>
      </c>
      <c r="I52" s="100">
        <v>12.39</v>
      </c>
      <c r="J52" s="100">
        <v>0.72</v>
      </c>
      <c r="K52" s="100">
        <v>57.05</v>
      </c>
      <c r="L52" s="100">
        <v>27.33</v>
      </c>
      <c r="M52" s="100">
        <v>36.92</v>
      </c>
      <c r="N52" s="100">
        <v>514.79999999999995</v>
      </c>
      <c r="O52" s="100">
        <v>0</v>
      </c>
      <c r="P52" s="100">
        <v>0.66</v>
      </c>
      <c r="Q52" s="100">
        <v>9.3699999999999992</v>
      </c>
      <c r="R52" s="6"/>
      <c r="S52" s="6"/>
      <c r="T52" s="156"/>
      <c r="U52" s="6"/>
    </row>
    <row r="53" spans="1:21" customFormat="1">
      <c r="A53" s="201" t="s">
        <v>2880</v>
      </c>
      <c r="B53" s="100">
        <v>6.06</v>
      </c>
      <c r="C53" s="100">
        <v>18.86</v>
      </c>
      <c r="D53" s="100">
        <v>14.71</v>
      </c>
      <c r="E53" s="100">
        <v>5.77</v>
      </c>
      <c r="F53" s="100">
        <v>1.58</v>
      </c>
      <c r="G53" s="100">
        <v>92.19</v>
      </c>
      <c r="H53" s="100">
        <v>38.65</v>
      </c>
      <c r="I53" s="100">
        <v>12.12</v>
      </c>
      <c r="J53" s="100">
        <v>0.78</v>
      </c>
      <c r="K53" s="100">
        <v>55.08</v>
      </c>
      <c r="L53" s="100">
        <v>27.45</v>
      </c>
      <c r="M53" s="100">
        <v>36.51</v>
      </c>
      <c r="N53" s="100">
        <v>567.1</v>
      </c>
      <c r="O53" s="100">
        <v>0</v>
      </c>
      <c r="P53" s="100">
        <v>0.64</v>
      </c>
      <c r="Q53" s="100">
        <v>9.32</v>
      </c>
      <c r="R53" s="6"/>
      <c r="S53" s="6"/>
      <c r="T53" s="156"/>
      <c r="U53" s="6"/>
    </row>
    <row r="54" spans="1:21" customFormat="1">
      <c r="A54" s="201" t="s">
        <v>2881</v>
      </c>
      <c r="B54" s="100">
        <v>5.14</v>
      </c>
      <c r="C54" s="100">
        <v>18.55</v>
      </c>
      <c r="D54" s="100">
        <v>13.81</v>
      </c>
      <c r="E54" s="100">
        <v>5.52</v>
      </c>
      <c r="F54" s="100">
        <v>1.87</v>
      </c>
      <c r="G54" s="100">
        <v>79.38</v>
      </c>
      <c r="H54" s="100">
        <v>36.31</v>
      </c>
      <c r="I54" s="100">
        <v>12.94</v>
      </c>
      <c r="J54" s="100">
        <v>0.77</v>
      </c>
      <c r="K54" s="100">
        <v>50.68</v>
      </c>
      <c r="L54" s="100">
        <v>28.01</v>
      </c>
      <c r="M54" s="100">
        <v>35.33</v>
      </c>
      <c r="N54" s="100">
        <v>584</v>
      </c>
      <c r="O54" s="100">
        <v>0</v>
      </c>
      <c r="P54" s="100">
        <v>0.63</v>
      </c>
      <c r="Q54" s="100">
        <v>9.32</v>
      </c>
      <c r="R54" s="6"/>
      <c r="S54" s="6"/>
      <c r="T54" s="156"/>
      <c r="U54" s="6"/>
    </row>
    <row r="55" spans="1:21" customFormat="1">
      <c r="A55" s="201" t="s">
        <v>2882</v>
      </c>
      <c r="B55" s="100">
        <v>4.51</v>
      </c>
      <c r="C55" s="100">
        <v>18.12</v>
      </c>
      <c r="D55" s="100">
        <v>13.08</v>
      </c>
      <c r="E55" s="100">
        <v>5.37</v>
      </c>
      <c r="F55" s="100">
        <v>2.5</v>
      </c>
      <c r="G55" s="100">
        <v>73.290000000000006</v>
      </c>
      <c r="H55" s="100">
        <v>36.08</v>
      </c>
      <c r="I55" s="100">
        <v>13.96</v>
      </c>
      <c r="J55" s="100">
        <v>1.04</v>
      </c>
      <c r="K55" s="100">
        <v>41.91</v>
      </c>
      <c r="L55" s="100">
        <v>28.11</v>
      </c>
      <c r="M55" s="100">
        <v>33.96</v>
      </c>
      <c r="N55" s="100">
        <v>598.1</v>
      </c>
      <c r="O55" s="100">
        <v>0</v>
      </c>
      <c r="P55" s="100">
        <v>0.61</v>
      </c>
      <c r="Q55" s="100">
        <v>9.32</v>
      </c>
      <c r="R55" s="6"/>
      <c r="S55" s="6"/>
      <c r="T55" s="156"/>
      <c r="U55" s="6"/>
    </row>
    <row r="56" spans="1:21" customFormat="1">
      <c r="A56" s="201" t="s">
        <v>2883</v>
      </c>
      <c r="B56" s="100">
        <v>3.98</v>
      </c>
      <c r="C56" s="100">
        <v>17.77</v>
      </c>
      <c r="D56" s="100">
        <v>12.47</v>
      </c>
      <c r="E56" s="100">
        <v>5.38</v>
      </c>
      <c r="F56" s="100">
        <v>2.6</v>
      </c>
      <c r="G56" s="100">
        <v>73.290000000000006</v>
      </c>
      <c r="H56" s="100">
        <v>36.08</v>
      </c>
      <c r="I56" s="100">
        <v>13.72</v>
      </c>
      <c r="J56" s="100">
        <v>0.33</v>
      </c>
      <c r="K56" s="100">
        <v>87.09</v>
      </c>
      <c r="L56" s="100">
        <v>28.62</v>
      </c>
      <c r="M56" s="100">
        <v>33.26</v>
      </c>
      <c r="N56" s="100">
        <v>603</v>
      </c>
      <c r="O56" s="100">
        <v>0</v>
      </c>
      <c r="P56" s="100">
        <v>0.61</v>
      </c>
      <c r="Q56" s="100">
        <v>9.32</v>
      </c>
      <c r="R56" s="6"/>
      <c r="S56" s="6"/>
      <c r="T56" s="156"/>
      <c r="U56" s="6"/>
    </row>
    <row r="57" spans="1:21" customFormat="1">
      <c r="A57" s="201" t="s">
        <v>2884</v>
      </c>
      <c r="B57" s="100">
        <v>3.59</v>
      </c>
      <c r="C57" s="100">
        <v>17.059999999999999</v>
      </c>
      <c r="D57" s="100">
        <v>11.8</v>
      </c>
      <c r="E57" s="100">
        <v>5.64</v>
      </c>
      <c r="F57" s="100">
        <v>3.31</v>
      </c>
      <c r="G57" s="100">
        <v>73.290000000000006</v>
      </c>
      <c r="H57" s="100">
        <v>36.08</v>
      </c>
      <c r="I57" s="100">
        <v>13.4</v>
      </c>
      <c r="J57" s="100">
        <v>0.34</v>
      </c>
      <c r="K57" s="100">
        <v>120.99</v>
      </c>
      <c r="L57" s="100">
        <v>28.65</v>
      </c>
      <c r="M57" s="100">
        <v>32.89</v>
      </c>
      <c r="N57" s="100">
        <v>611.70000000000005</v>
      </c>
      <c r="O57" s="100">
        <v>0</v>
      </c>
      <c r="P57" s="100">
        <v>0.6</v>
      </c>
      <c r="Q57" s="100">
        <v>9.32</v>
      </c>
      <c r="R57" s="6"/>
      <c r="S57" s="6"/>
      <c r="T57" s="156"/>
      <c r="U57" s="6"/>
    </row>
    <row r="58" spans="1:21" customFormat="1">
      <c r="A58" s="201" t="s">
        <v>2885</v>
      </c>
      <c r="B58" s="100">
        <v>3.34</v>
      </c>
      <c r="C58" s="100">
        <v>16.260000000000002</v>
      </c>
      <c r="D58" s="100">
        <v>11.18</v>
      </c>
      <c r="E58" s="100">
        <v>5.42</v>
      </c>
      <c r="F58" s="100">
        <v>3.61</v>
      </c>
      <c r="G58" s="100">
        <v>71.819999999999993</v>
      </c>
      <c r="H58" s="100">
        <v>36.6</v>
      </c>
      <c r="I58" s="100">
        <v>13.1</v>
      </c>
      <c r="J58" s="100">
        <v>0.59</v>
      </c>
      <c r="K58" s="100">
        <v>60.18</v>
      </c>
      <c r="L58" s="100">
        <v>28.7</v>
      </c>
      <c r="M58" s="100">
        <v>32.619999999999997</v>
      </c>
      <c r="N58" s="100">
        <v>599.5</v>
      </c>
      <c r="O58" s="100">
        <v>0</v>
      </c>
      <c r="P58" s="100">
        <v>0.59</v>
      </c>
      <c r="Q58" s="100">
        <v>9.32</v>
      </c>
      <c r="R58" s="6"/>
      <c r="S58" s="6"/>
      <c r="T58" s="156"/>
      <c r="U58" s="6"/>
    </row>
    <row r="59" spans="1:21" customFormat="1">
      <c r="A59" s="201" t="s">
        <v>2886</v>
      </c>
      <c r="B59" s="100">
        <v>3.2</v>
      </c>
      <c r="C59" s="100">
        <v>15.67</v>
      </c>
      <c r="D59" s="100">
        <v>10.75</v>
      </c>
      <c r="E59" s="100">
        <v>5.86</v>
      </c>
      <c r="F59" s="100">
        <v>3.61</v>
      </c>
      <c r="G59" s="100">
        <v>71.13</v>
      </c>
      <c r="H59" s="100">
        <v>36.65</v>
      </c>
      <c r="I59" s="100">
        <v>12.93</v>
      </c>
      <c r="J59" s="100">
        <v>0.32</v>
      </c>
      <c r="K59" s="100">
        <v>88.94</v>
      </c>
      <c r="L59" s="100">
        <v>29.17</v>
      </c>
      <c r="M59" s="100">
        <v>31.62</v>
      </c>
      <c r="N59" s="100">
        <v>565.6</v>
      </c>
      <c r="O59" s="100">
        <v>0</v>
      </c>
      <c r="P59" s="100">
        <v>0.59</v>
      </c>
      <c r="Q59" s="100">
        <v>9.32</v>
      </c>
      <c r="R59" s="6"/>
      <c r="S59" s="6"/>
      <c r="T59" s="156"/>
      <c r="U59" s="6"/>
    </row>
    <row r="60" spans="1:21" customFormat="1">
      <c r="A60" s="201" t="s">
        <v>2887</v>
      </c>
      <c r="B60" s="100">
        <v>3.13</v>
      </c>
      <c r="C60" s="100">
        <v>15.1</v>
      </c>
      <c r="D60" s="100">
        <v>10.4</v>
      </c>
      <c r="E60" s="100">
        <v>5.58</v>
      </c>
      <c r="F60" s="100">
        <v>4.3499999999999996</v>
      </c>
      <c r="G60" s="100">
        <v>71.13</v>
      </c>
      <c r="H60" s="100">
        <v>36.65</v>
      </c>
      <c r="I60" s="100">
        <v>12.8</v>
      </c>
      <c r="J60" s="100">
        <v>0.39</v>
      </c>
      <c r="K60" s="100">
        <v>109.55</v>
      </c>
      <c r="L60" s="100">
        <v>29.34</v>
      </c>
      <c r="M60" s="100">
        <v>30.89</v>
      </c>
      <c r="N60" s="100">
        <v>535.4</v>
      </c>
      <c r="O60" s="100">
        <v>0</v>
      </c>
      <c r="P60" s="100">
        <v>0.57999999999999996</v>
      </c>
      <c r="Q60" s="100">
        <v>9.32</v>
      </c>
      <c r="R60" s="6"/>
      <c r="S60" s="6"/>
      <c r="T60" s="156"/>
      <c r="U60" s="6"/>
    </row>
    <row r="61" spans="1:21" customFormat="1">
      <c r="A61" s="201" t="s">
        <v>2888</v>
      </c>
      <c r="B61" s="100">
        <v>3.11</v>
      </c>
      <c r="C61" s="100">
        <v>14.57</v>
      </c>
      <c r="D61" s="100">
        <v>10.1</v>
      </c>
      <c r="E61" s="100">
        <v>5.98</v>
      </c>
      <c r="F61" s="100">
        <v>4.18</v>
      </c>
      <c r="G61" s="100">
        <v>71.13</v>
      </c>
      <c r="H61" s="100">
        <v>36.65</v>
      </c>
      <c r="I61" s="100">
        <v>12.57</v>
      </c>
      <c r="J61" s="100">
        <v>0.85</v>
      </c>
      <c r="K61" s="100">
        <v>49.51</v>
      </c>
      <c r="L61" s="100">
        <v>28.98</v>
      </c>
      <c r="M61" s="100">
        <v>31.35</v>
      </c>
      <c r="N61" s="100">
        <v>529.70000000000005</v>
      </c>
      <c r="O61" s="100">
        <v>0</v>
      </c>
      <c r="P61" s="100">
        <v>0.56999999999999995</v>
      </c>
      <c r="Q61" s="100">
        <v>9.32</v>
      </c>
      <c r="R61" s="6"/>
      <c r="S61" s="6"/>
      <c r="T61" s="156"/>
      <c r="U61" s="6"/>
    </row>
    <row r="62" spans="1:21" customFormat="1">
      <c r="A62" s="201" t="s">
        <v>2889</v>
      </c>
      <c r="B62" s="100">
        <v>3.13</v>
      </c>
      <c r="C62" s="100">
        <v>14.36</v>
      </c>
      <c r="D62" s="100">
        <v>10.01</v>
      </c>
      <c r="E62" s="100">
        <v>5.93</v>
      </c>
      <c r="F62" s="100">
        <v>4.68</v>
      </c>
      <c r="G62" s="100">
        <v>68.84</v>
      </c>
      <c r="H62" s="100">
        <v>35.14</v>
      </c>
      <c r="I62" s="100">
        <v>12.34</v>
      </c>
      <c r="J62" s="100">
        <v>0.43</v>
      </c>
      <c r="K62" s="100">
        <v>38.21</v>
      </c>
      <c r="L62" s="100">
        <v>28.96</v>
      </c>
      <c r="M62" s="100">
        <v>31.48</v>
      </c>
      <c r="N62" s="100">
        <v>267.60000000000002</v>
      </c>
      <c r="O62" s="100">
        <v>0</v>
      </c>
      <c r="P62" s="100">
        <v>0.56000000000000005</v>
      </c>
      <c r="Q62" s="100">
        <v>9.32</v>
      </c>
      <c r="R62" s="6"/>
      <c r="S62" s="6"/>
      <c r="T62" s="156"/>
      <c r="U62" s="6"/>
    </row>
    <row r="63" spans="1:21" customFormat="1">
      <c r="A63" s="201" t="s">
        <v>2890</v>
      </c>
      <c r="B63" s="100">
        <v>3.15</v>
      </c>
      <c r="C63" s="100">
        <v>14.42</v>
      </c>
      <c r="D63" s="100">
        <v>10.06</v>
      </c>
      <c r="E63" s="100">
        <v>6.09</v>
      </c>
      <c r="F63" s="100">
        <v>4.66</v>
      </c>
      <c r="G63" s="100">
        <v>67.75</v>
      </c>
      <c r="H63" s="100">
        <v>34.99</v>
      </c>
      <c r="I63" s="100">
        <v>12.07</v>
      </c>
      <c r="J63" s="100">
        <v>0.5</v>
      </c>
      <c r="K63" s="100">
        <v>61.75</v>
      </c>
      <c r="L63" s="100">
        <v>28.88</v>
      </c>
      <c r="M63" s="100">
        <v>31.2</v>
      </c>
      <c r="N63" s="100">
        <v>152.19999999999999</v>
      </c>
      <c r="O63" s="100">
        <v>0</v>
      </c>
      <c r="P63" s="100">
        <v>0.55000000000000004</v>
      </c>
      <c r="Q63" s="100">
        <v>9.32</v>
      </c>
      <c r="R63" s="6"/>
      <c r="S63" s="6"/>
      <c r="T63" s="156"/>
      <c r="U63" s="6"/>
    </row>
    <row r="64" spans="1:21" customFormat="1">
      <c r="A64" s="201" t="s">
        <v>2891</v>
      </c>
      <c r="B64" s="100">
        <v>3.14</v>
      </c>
      <c r="C64" s="100">
        <v>14.33</v>
      </c>
      <c r="D64" s="100">
        <v>10</v>
      </c>
      <c r="E64" s="100">
        <v>6.17</v>
      </c>
      <c r="F64" s="100">
        <v>4.8600000000000003</v>
      </c>
      <c r="G64" s="100">
        <v>67.75</v>
      </c>
      <c r="H64" s="100">
        <v>34.99</v>
      </c>
      <c r="I64" s="100">
        <v>11.79</v>
      </c>
      <c r="J64" s="100">
        <v>1</v>
      </c>
      <c r="K64" s="100">
        <v>41.31</v>
      </c>
      <c r="L64" s="100">
        <v>28.74</v>
      </c>
      <c r="M64" s="100">
        <v>30.68</v>
      </c>
      <c r="N64" s="100">
        <v>126.1</v>
      </c>
      <c r="O64" s="100">
        <v>0</v>
      </c>
      <c r="P64" s="100">
        <v>0.54</v>
      </c>
      <c r="Q64" s="100">
        <v>9.32</v>
      </c>
      <c r="R64" s="6"/>
      <c r="S64" s="6"/>
      <c r="T64" s="156"/>
      <c r="U64" s="6"/>
    </row>
    <row r="65" spans="1:21" customFormat="1">
      <c r="A65" s="201" t="s">
        <v>2892</v>
      </c>
      <c r="B65" s="100">
        <v>3.15</v>
      </c>
      <c r="C65" s="100">
        <v>14.33</v>
      </c>
      <c r="D65" s="100">
        <v>10.01</v>
      </c>
      <c r="E65" s="100">
        <v>5.91</v>
      </c>
      <c r="F65" s="100">
        <v>4.42</v>
      </c>
      <c r="G65" s="100">
        <v>67.75</v>
      </c>
      <c r="H65" s="100">
        <v>34.99</v>
      </c>
      <c r="I65" s="100">
        <v>11.56</v>
      </c>
      <c r="J65" s="100">
        <v>0.71</v>
      </c>
      <c r="K65" s="100">
        <v>39.479999999999997</v>
      </c>
      <c r="L65" s="100">
        <v>28.75</v>
      </c>
      <c r="M65" s="100">
        <v>30.56</v>
      </c>
      <c r="N65" s="100">
        <v>119.3</v>
      </c>
      <c r="O65" s="100">
        <v>0</v>
      </c>
      <c r="P65" s="100">
        <v>0.51</v>
      </c>
      <c r="Q65" s="100">
        <v>9.32</v>
      </c>
      <c r="R65" s="6"/>
      <c r="S65" s="6"/>
      <c r="T65" s="156"/>
      <c r="U65" s="6"/>
    </row>
    <row r="66" spans="1:21" customFormat="1">
      <c r="A66" s="201" t="s">
        <v>2893</v>
      </c>
      <c r="B66" s="100">
        <v>3.11</v>
      </c>
      <c r="C66" s="100">
        <v>14.26</v>
      </c>
      <c r="D66" s="100">
        <v>9.9499999999999993</v>
      </c>
      <c r="E66" s="100">
        <v>5.84</v>
      </c>
      <c r="F66" s="100">
        <v>4.1399999999999997</v>
      </c>
      <c r="G66" s="100">
        <v>62.44</v>
      </c>
      <c r="H66" s="100">
        <v>32.97</v>
      </c>
      <c r="I66" s="100">
        <v>11.38</v>
      </c>
      <c r="J66" s="100">
        <v>0.74</v>
      </c>
      <c r="K66" s="100">
        <v>43.27</v>
      </c>
      <c r="L66" s="100">
        <v>28.77</v>
      </c>
      <c r="M66" s="100">
        <v>30.77</v>
      </c>
      <c r="N66" s="100">
        <v>111.9</v>
      </c>
      <c r="O66" s="100">
        <v>0</v>
      </c>
      <c r="P66" s="100">
        <v>0.53</v>
      </c>
      <c r="Q66" s="100">
        <v>9.32</v>
      </c>
      <c r="R66" s="6"/>
      <c r="S66" s="6"/>
      <c r="T66" s="156"/>
      <c r="U66" s="6"/>
    </row>
    <row r="67" spans="1:21" customFormat="1">
      <c r="A67" s="201" t="s">
        <v>2894</v>
      </c>
      <c r="B67" s="100">
        <v>3.08</v>
      </c>
      <c r="C67" s="100">
        <v>14.12</v>
      </c>
      <c r="D67" s="100">
        <v>9.85</v>
      </c>
      <c r="E67" s="100">
        <v>5.99</v>
      </c>
      <c r="F67" s="100">
        <v>4.76</v>
      </c>
      <c r="G67" s="100">
        <v>59.91</v>
      </c>
      <c r="H67" s="100">
        <v>32.770000000000003</v>
      </c>
      <c r="I67" s="100">
        <v>11.22</v>
      </c>
      <c r="J67" s="100">
        <v>0.98</v>
      </c>
      <c r="K67" s="100">
        <v>45.53</v>
      </c>
      <c r="L67" s="100">
        <v>28.86</v>
      </c>
      <c r="M67" s="100">
        <v>30.71</v>
      </c>
      <c r="N67" s="100">
        <v>132.80000000000001</v>
      </c>
      <c r="O67" s="100">
        <v>0</v>
      </c>
      <c r="P67" s="100">
        <v>0.52</v>
      </c>
      <c r="Q67" s="100">
        <v>9.32</v>
      </c>
      <c r="R67" s="6"/>
      <c r="S67" s="6"/>
      <c r="T67" s="156"/>
      <c r="U67" s="6"/>
    </row>
    <row r="68" spans="1:21" customFormat="1">
      <c r="A68" s="201" t="s">
        <v>2895</v>
      </c>
      <c r="B68" s="100">
        <v>3.15</v>
      </c>
      <c r="C68" s="100">
        <v>14.11</v>
      </c>
      <c r="D68" s="100">
        <v>9.9</v>
      </c>
      <c r="E68" s="100">
        <v>6.23</v>
      </c>
      <c r="F68" s="100">
        <v>5.31</v>
      </c>
      <c r="G68" s="100">
        <v>59.91</v>
      </c>
      <c r="H68" s="100">
        <v>32.770000000000003</v>
      </c>
      <c r="I68" s="100">
        <v>11.04</v>
      </c>
      <c r="J68" s="100">
        <v>0.56999999999999995</v>
      </c>
      <c r="K68" s="100">
        <v>67.03</v>
      </c>
      <c r="L68" s="100">
        <v>28.68</v>
      </c>
      <c r="M68" s="100">
        <v>30.98</v>
      </c>
      <c r="N68" s="100">
        <v>89.1</v>
      </c>
      <c r="O68" s="100">
        <v>0</v>
      </c>
      <c r="P68" s="100">
        <v>0.54</v>
      </c>
      <c r="Q68" s="100">
        <v>9.32</v>
      </c>
      <c r="R68" s="6"/>
      <c r="S68" s="6"/>
      <c r="T68" s="156"/>
      <c r="U68" s="6"/>
    </row>
    <row r="69" spans="1:21" customFormat="1">
      <c r="A69" s="201" t="s">
        <v>2896</v>
      </c>
      <c r="B69" s="100">
        <v>3.31</v>
      </c>
      <c r="C69" s="100">
        <v>13.9</v>
      </c>
      <c r="D69" s="100">
        <v>9.92</v>
      </c>
      <c r="E69" s="100">
        <v>6.93</v>
      </c>
      <c r="F69" s="100">
        <v>7.72</v>
      </c>
      <c r="G69" s="100">
        <v>59.91</v>
      </c>
      <c r="H69" s="100">
        <v>32.770000000000003</v>
      </c>
      <c r="I69" s="100">
        <v>10.91</v>
      </c>
      <c r="J69" s="100">
        <v>0.92</v>
      </c>
      <c r="K69" s="100">
        <v>34.53</v>
      </c>
      <c r="L69" s="100">
        <v>28.57</v>
      </c>
      <c r="M69" s="100">
        <v>29.7</v>
      </c>
      <c r="N69" s="100">
        <v>79.599999999999994</v>
      </c>
      <c r="O69" s="100">
        <v>0</v>
      </c>
      <c r="P69" s="100">
        <v>0.53</v>
      </c>
      <c r="Q69" s="100">
        <v>9.32</v>
      </c>
      <c r="R69" s="6"/>
      <c r="S69" s="6"/>
      <c r="T69" s="156"/>
      <c r="U69" s="6"/>
    </row>
    <row r="70" spans="1:21" customFormat="1">
      <c r="A70" s="201" t="s">
        <v>2897</v>
      </c>
      <c r="B70" s="100">
        <v>3.29</v>
      </c>
      <c r="C70" s="100">
        <v>13.47</v>
      </c>
      <c r="D70" s="100">
        <v>9.68</v>
      </c>
      <c r="E70" s="100">
        <v>6.8</v>
      </c>
      <c r="F70" s="100">
        <v>3.51</v>
      </c>
      <c r="G70" s="100">
        <v>57.24</v>
      </c>
      <c r="H70" s="100">
        <v>32.18</v>
      </c>
      <c r="I70" s="100">
        <v>10.82</v>
      </c>
      <c r="J70" s="100">
        <v>0.91</v>
      </c>
      <c r="K70" s="100">
        <v>43.34</v>
      </c>
      <c r="L70" s="100">
        <v>28.55</v>
      </c>
      <c r="M70" s="100">
        <v>29.63</v>
      </c>
      <c r="N70" s="100">
        <v>70.5</v>
      </c>
      <c r="O70" s="100">
        <v>0</v>
      </c>
      <c r="P70" s="100">
        <v>0.53</v>
      </c>
      <c r="Q70" s="100">
        <v>9.32</v>
      </c>
      <c r="R70" s="6"/>
      <c r="S70" s="6"/>
      <c r="T70" s="156"/>
      <c r="U70" s="6"/>
    </row>
    <row r="71" spans="1:21" customFormat="1">
      <c r="A71" s="201" t="s">
        <v>2898</v>
      </c>
      <c r="B71" s="100">
        <v>3.33</v>
      </c>
      <c r="C71" s="100">
        <v>13.33</v>
      </c>
      <c r="D71" s="100">
        <v>9.6300000000000008</v>
      </c>
      <c r="E71" s="100">
        <v>6.46</v>
      </c>
      <c r="F71" s="100">
        <v>3.95</v>
      </c>
      <c r="G71" s="100">
        <v>55.97</v>
      </c>
      <c r="H71" s="100">
        <v>32.119999999999997</v>
      </c>
      <c r="I71" s="100">
        <v>10.7</v>
      </c>
      <c r="J71" s="100">
        <v>1</v>
      </c>
      <c r="K71" s="100">
        <v>45.73</v>
      </c>
      <c r="L71" s="100">
        <v>28.46</v>
      </c>
      <c r="M71" s="100">
        <v>29.68</v>
      </c>
      <c r="N71" s="100">
        <v>61.7</v>
      </c>
      <c r="O71" s="100">
        <v>0</v>
      </c>
      <c r="P71" s="100">
        <v>0.53</v>
      </c>
      <c r="Q71" s="100">
        <v>9.32</v>
      </c>
      <c r="R71" s="6"/>
      <c r="S71" s="6"/>
      <c r="T71" s="156"/>
      <c r="U71" s="6"/>
    </row>
    <row r="72" spans="1:21" customFormat="1">
      <c r="A72" s="201" t="s">
        <v>2899</v>
      </c>
      <c r="B72" s="100">
        <v>3.41</v>
      </c>
      <c r="C72" s="100">
        <v>13.31</v>
      </c>
      <c r="D72" s="100">
        <v>9.69</v>
      </c>
      <c r="E72" s="100">
        <v>6.8</v>
      </c>
      <c r="F72" s="100">
        <v>4.5599999999999996</v>
      </c>
      <c r="G72" s="100">
        <v>55.97</v>
      </c>
      <c r="H72" s="100">
        <v>32.119999999999997</v>
      </c>
      <c r="I72" s="100">
        <v>10.64</v>
      </c>
      <c r="J72" s="100">
        <v>0.97</v>
      </c>
      <c r="K72" s="100">
        <v>43.96</v>
      </c>
      <c r="L72" s="100">
        <v>28.32</v>
      </c>
      <c r="M72" s="100">
        <v>29.11</v>
      </c>
      <c r="N72" s="100">
        <v>52.1</v>
      </c>
      <c r="O72" s="100">
        <v>0</v>
      </c>
      <c r="P72" s="100">
        <v>0.53</v>
      </c>
      <c r="Q72" s="100">
        <v>9.32</v>
      </c>
      <c r="R72" s="6"/>
      <c r="S72" s="6"/>
      <c r="T72" s="156"/>
      <c r="U72" s="6"/>
    </row>
    <row r="73" spans="1:21" customFormat="1">
      <c r="A73" s="201" t="s">
        <v>2900</v>
      </c>
      <c r="B73" s="100">
        <v>3.41</v>
      </c>
      <c r="C73" s="100">
        <v>13.33</v>
      </c>
      <c r="D73" s="100">
        <v>9.6999999999999993</v>
      </c>
      <c r="E73" s="100">
        <v>6.3</v>
      </c>
      <c r="F73" s="100">
        <v>3.52</v>
      </c>
      <c r="G73" s="100">
        <v>55.97</v>
      </c>
      <c r="H73" s="100">
        <v>32.119999999999997</v>
      </c>
      <c r="I73" s="100">
        <v>10.63</v>
      </c>
      <c r="J73" s="100">
        <v>0.92</v>
      </c>
      <c r="K73" s="100">
        <v>38.36</v>
      </c>
      <c r="L73" s="100">
        <v>28.13</v>
      </c>
      <c r="M73" s="100">
        <v>30.18</v>
      </c>
      <c r="N73" s="100">
        <v>43.9</v>
      </c>
      <c r="O73" s="100">
        <v>0</v>
      </c>
      <c r="P73" s="100">
        <v>0.53</v>
      </c>
      <c r="Q73" s="100">
        <v>9.32</v>
      </c>
      <c r="R73" s="6"/>
      <c r="S73" s="6"/>
      <c r="T73" s="156"/>
      <c r="U73" s="6"/>
    </row>
    <row r="74" spans="1:21" customFormat="1">
      <c r="A74" s="201" t="s">
        <v>2901</v>
      </c>
      <c r="B74" s="100">
        <v>3.48</v>
      </c>
      <c r="C74" s="100">
        <v>13.67</v>
      </c>
      <c r="D74" s="100">
        <v>9.93</v>
      </c>
      <c r="E74" s="100">
        <v>6.82</v>
      </c>
      <c r="F74" s="100">
        <v>4.43</v>
      </c>
      <c r="G74" s="100">
        <v>53.7</v>
      </c>
      <c r="H74" s="100">
        <v>30.23</v>
      </c>
      <c r="I74" s="100">
        <v>10.6</v>
      </c>
      <c r="J74" s="100">
        <v>0.66</v>
      </c>
      <c r="K74" s="100">
        <v>49.29</v>
      </c>
      <c r="L74" s="100">
        <v>27.89</v>
      </c>
      <c r="M74" s="100">
        <v>31.95</v>
      </c>
      <c r="N74" s="100">
        <v>34.200000000000003</v>
      </c>
      <c r="O74" s="100">
        <v>0</v>
      </c>
      <c r="P74" s="100">
        <v>0.53</v>
      </c>
      <c r="Q74" s="100">
        <v>9.32</v>
      </c>
      <c r="R74" s="6"/>
      <c r="S74" s="6"/>
      <c r="T74" s="156"/>
      <c r="U74" s="6"/>
    </row>
    <row r="75" spans="1:21" customFormat="1">
      <c r="A75" s="201" t="s">
        <v>2902</v>
      </c>
      <c r="B75" s="100">
        <v>3.63</v>
      </c>
      <c r="C75" s="100">
        <v>13.73</v>
      </c>
      <c r="D75" s="100">
        <v>10.08</v>
      </c>
      <c r="E75" s="100">
        <v>6.53</v>
      </c>
      <c r="F75" s="100">
        <v>2.62</v>
      </c>
      <c r="G75" s="100">
        <v>52.62</v>
      </c>
      <c r="H75" s="100">
        <v>29.76</v>
      </c>
      <c r="I75" s="100">
        <v>10.59</v>
      </c>
      <c r="J75" s="100">
        <v>0.68</v>
      </c>
      <c r="K75" s="100">
        <v>52.15</v>
      </c>
      <c r="L75" s="100">
        <v>27.48</v>
      </c>
      <c r="M75" s="100">
        <v>33.04</v>
      </c>
      <c r="N75" s="100">
        <v>23.9</v>
      </c>
      <c r="O75" s="100">
        <v>0</v>
      </c>
      <c r="P75" s="100">
        <v>0.54</v>
      </c>
      <c r="Q75" s="100">
        <v>9.32</v>
      </c>
      <c r="R75" s="6"/>
      <c r="S75" s="6"/>
      <c r="T75" s="156"/>
      <c r="U75" s="6"/>
    </row>
    <row r="76" spans="1:21" customFormat="1">
      <c r="A76" s="201" t="s">
        <v>2903</v>
      </c>
      <c r="B76" s="100">
        <v>3.83</v>
      </c>
      <c r="C76" s="100">
        <v>13.99</v>
      </c>
      <c r="D76" s="100">
        <v>10.38</v>
      </c>
      <c r="E76" s="100">
        <v>6.42</v>
      </c>
      <c r="F76" s="100">
        <v>2.2599999999999998</v>
      </c>
      <c r="G76" s="100">
        <v>52.62</v>
      </c>
      <c r="H76" s="100">
        <v>29.76</v>
      </c>
      <c r="I76" s="100">
        <v>10.58</v>
      </c>
      <c r="J76" s="100">
        <v>0.6</v>
      </c>
      <c r="K76" s="100">
        <v>54.25</v>
      </c>
      <c r="L76" s="100">
        <v>27.04</v>
      </c>
      <c r="M76" s="100">
        <v>34.58</v>
      </c>
      <c r="N76" s="100">
        <v>15.3</v>
      </c>
      <c r="O76" s="100">
        <v>0</v>
      </c>
      <c r="P76" s="100">
        <v>0.54</v>
      </c>
      <c r="Q76" s="100">
        <v>9.3800000000000008</v>
      </c>
      <c r="R76" s="6"/>
      <c r="S76" s="6"/>
      <c r="T76" s="156"/>
      <c r="U76" s="6"/>
    </row>
    <row r="77" spans="1:21" customFormat="1">
      <c r="A77" s="201" t="s">
        <v>2904</v>
      </c>
      <c r="B77" s="100">
        <v>4.03</v>
      </c>
      <c r="C77" s="100">
        <v>14.28</v>
      </c>
      <c r="D77" s="100">
        <v>10.7</v>
      </c>
      <c r="E77" s="100">
        <v>6.55</v>
      </c>
      <c r="F77" s="100">
        <v>1.38</v>
      </c>
      <c r="G77" s="100">
        <v>52.62</v>
      </c>
      <c r="H77" s="100">
        <v>29.76</v>
      </c>
      <c r="I77" s="100">
        <v>10.58</v>
      </c>
      <c r="J77" s="100">
        <v>0.55000000000000004</v>
      </c>
      <c r="K77" s="100">
        <v>54.71</v>
      </c>
      <c r="L77" s="100">
        <v>26.53</v>
      </c>
      <c r="M77" s="100">
        <v>36.74</v>
      </c>
      <c r="N77" s="100">
        <v>7.3</v>
      </c>
      <c r="O77" s="100">
        <v>0</v>
      </c>
      <c r="P77" s="100">
        <v>0.53</v>
      </c>
      <c r="Q77" s="100">
        <v>9.7799999999999994</v>
      </c>
      <c r="R77" s="6"/>
      <c r="S77" s="6"/>
      <c r="T77" s="156"/>
      <c r="U77" s="6"/>
    </row>
    <row r="78" spans="1:21" customFormat="1">
      <c r="A78" s="201" t="s">
        <v>2905</v>
      </c>
      <c r="B78" s="100">
        <v>4.34</v>
      </c>
      <c r="C78" s="100">
        <v>14.64</v>
      </c>
      <c r="D78" s="100">
        <v>11.12</v>
      </c>
      <c r="E78" s="100">
        <v>6.34</v>
      </c>
      <c r="F78" s="100">
        <v>0.95</v>
      </c>
      <c r="G78" s="100">
        <v>57.29</v>
      </c>
      <c r="H78" s="100">
        <v>29.64</v>
      </c>
      <c r="I78" s="100">
        <v>10.57</v>
      </c>
      <c r="J78" s="100">
        <v>0.61</v>
      </c>
      <c r="K78" s="100">
        <v>45.86</v>
      </c>
      <c r="L78" s="100">
        <v>26.1</v>
      </c>
      <c r="M78" s="100">
        <v>38.090000000000003</v>
      </c>
      <c r="N78" s="100">
        <v>3.1</v>
      </c>
      <c r="O78" s="100">
        <v>0</v>
      </c>
      <c r="P78" s="100">
        <v>0.54</v>
      </c>
      <c r="Q78" s="100">
        <v>9.32</v>
      </c>
      <c r="R78" s="6"/>
      <c r="S78" s="6"/>
      <c r="T78" s="156"/>
      <c r="U78" s="6"/>
    </row>
    <row r="79" spans="1:21" customFormat="1">
      <c r="A79" s="201" t="s">
        <v>2906</v>
      </c>
      <c r="B79" s="100">
        <v>4.62</v>
      </c>
      <c r="C79" s="100">
        <v>15.01</v>
      </c>
      <c r="D79" s="100">
        <v>11.55</v>
      </c>
      <c r="E79" s="100">
        <v>5.95</v>
      </c>
      <c r="F79" s="100">
        <v>0.8</v>
      </c>
      <c r="G79" s="100">
        <v>59.51</v>
      </c>
      <c r="H79" s="100">
        <v>29.63</v>
      </c>
      <c r="I79" s="100">
        <v>10.57</v>
      </c>
      <c r="J79" s="100">
        <v>0.49</v>
      </c>
      <c r="K79" s="100">
        <v>57.56</v>
      </c>
      <c r="L79" s="100">
        <v>25.64</v>
      </c>
      <c r="M79" s="100">
        <v>39.33</v>
      </c>
      <c r="N79" s="100">
        <v>2.1</v>
      </c>
      <c r="O79" s="100">
        <v>0</v>
      </c>
      <c r="P79" s="100">
        <v>0.55000000000000004</v>
      </c>
      <c r="Q79" s="100">
        <v>9.32</v>
      </c>
      <c r="R79" s="6"/>
      <c r="S79" s="6"/>
      <c r="T79" s="156"/>
      <c r="U79" s="6"/>
    </row>
    <row r="80" spans="1:21" customFormat="1">
      <c r="A80" s="201" t="s">
        <v>2907</v>
      </c>
      <c r="B80" s="100">
        <v>5.03</v>
      </c>
      <c r="C80" s="100">
        <v>15.53</v>
      </c>
      <c r="D80" s="100">
        <v>12.15</v>
      </c>
      <c r="E80" s="100">
        <v>6.02</v>
      </c>
      <c r="F80" s="100">
        <v>0.43</v>
      </c>
      <c r="G80" s="100">
        <v>59.51</v>
      </c>
      <c r="H80" s="100">
        <v>29.63</v>
      </c>
      <c r="I80" s="100">
        <v>10.57</v>
      </c>
      <c r="J80" s="100">
        <v>0.52</v>
      </c>
      <c r="K80" s="100">
        <v>59.76</v>
      </c>
      <c r="L80" s="100">
        <v>25.32</v>
      </c>
      <c r="M80" s="100">
        <v>40.51</v>
      </c>
      <c r="N80" s="100">
        <v>1.9</v>
      </c>
      <c r="O80" s="100">
        <v>0</v>
      </c>
      <c r="P80" s="100">
        <v>0.55000000000000004</v>
      </c>
      <c r="Q80" s="100">
        <v>9.32</v>
      </c>
      <c r="R80" s="6"/>
      <c r="S80" s="6"/>
      <c r="T80" s="156"/>
      <c r="U80" s="6"/>
    </row>
    <row r="81" spans="1:21" customFormat="1">
      <c r="A81" s="201" t="s">
        <v>2908</v>
      </c>
      <c r="B81" s="100">
        <v>5.68</v>
      </c>
      <c r="C81" s="100">
        <v>16.05</v>
      </c>
      <c r="D81" s="100">
        <v>12.94</v>
      </c>
      <c r="E81" s="100">
        <v>5.6</v>
      </c>
      <c r="F81" s="100">
        <v>0.32</v>
      </c>
      <c r="G81" s="100">
        <v>59.51</v>
      </c>
      <c r="H81" s="100">
        <v>29.63</v>
      </c>
      <c r="I81" s="100">
        <v>10.65</v>
      </c>
      <c r="J81" s="100">
        <v>0.51</v>
      </c>
      <c r="K81" s="100">
        <v>51.54</v>
      </c>
      <c r="L81" s="100">
        <v>24.92</v>
      </c>
      <c r="M81" s="100">
        <v>41.81</v>
      </c>
      <c r="N81" s="100">
        <v>1.8</v>
      </c>
      <c r="O81" s="100">
        <v>0</v>
      </c>
      <c r="P81" s="100">
        <v>0.56999999999999995</v>
      </c>
      <c r="Q81" s="100">
        <v>9.32</v>
      </c>
      <c r="R81" s="6"/>
      <c r="S81" s="6"/>
      <c r="T81" s="156"/>
      <c r="U81" s="6"/>
    </row>
    <row r="82" spans="1:21" customFormat="1">
      <c r="A82" s="201" t="s">
        <v>2909</v>
      </c>
      <c r="B82" s="100">
        <v>6.18</v>
      </c>
      <c r="C82" s="100">
        <v>16.25</v>
      </c>
      <c r="D82" s="100">
        <v>13.45</v>
      </c>
      <c r="E82" s="100">
        <v>6.72</v>
      </c>
      <c r="F82" s="100">
        <v>0.27</v>
      </c>
      <c r="G82" s="100">
        <v>68.98</v>
      </c>
      <c r="H82" s="100">
        <v>34.15</v>
      </c>
      <c r="I82" s="100">
        <v>10.89</v>
      </c>
      <c r="J82" s="100">
        <v>0.48</v>
      </c>
      <c r="K82" s="100">
        <v>57.59</v>
      </c>
      <c r="L82" s="100">
        <v>24.59</v>
      </c>
      <c r="M82" s="100">
        <v>42.97</v>
      </c>
      <c r="N82" s="100">
        <v>1.8</v>
      </c>
      <c r="O82" s="100">
        <v>0</v>
      </c>
      <c r="P82" s="100">
        <v>0.57999999999999996</v>
      </c>
      <c r="Q82" s="100">
        <v>9.32</v>
      </c>
      <c r="R82" s="6"/>
      <c r="S82" s="6"/>
      <c r="T82" s="156"/>
      <c r="U82" s="6"/>
    </row>
    <row r="83" spans="1:21" customFormat="1">
      <c r="A83" s="201" t="s">
        <v>2910</v>
      </c>
      <c r="B83" s="100">
        <v>6.54</v>
      </c>
      <c r="C83" s="100">
        <v>16.43</v>
      </c>
      <c r="D83" s="100">
        <v>13.83</v>
      </c>
      <c r="E83" s="100">
        <v>6.57</v>
      </c>
      <c r="F83" s="100">
        <v>0.35</v>
      </c>
      <c r="G83" s="100">
        <v>73.489999999999995</v>
      </c>
      <c r="H83" s="100">
        <v>34.61</v>
      </c>
      <c r="I83" s="100">
        <v>11.22</v>
      </c>
      <c r="J83" s="100">
        <v>0.34</v>
      </c>
      <c r="K83" s="100">
        <v>60.73</v>
      </c>
      <c r="L83" s="100">
        <v>24.31</v>
      </c>
      <c r="M83" s="100">
        <v>44.36</v>
      </c>
      <c r="N83" s="100">
        <v>1.8</v>
      </c>
      <c r="O83" s="100">
        <v>0</v>
      </c>
      <c r="P83" s="100">
        <v>0.57999999999999996</v>
      </c>
      <c r="Q83" s="100">
        <v>9.32</v>
      </c>
      <c r="R83" s="6"/>
      <c r="S83" s="6"/>
      <c r="T83" s="156"/>
      <c r="U83" s="6"/>
    </row>
    <row r="84" spans="1:21" customFormat="1">
      <c r="A84" s="201" t="s">
        <v>2911</v>
      </c>
      <c r="B84" s="100">
        <v>6.83</v>
      </c>
      <c r="C84" s="100">
        <v>16.73</v>
      </c>
      <c r="D84" s="100">
        <v>14.22</v>
      </c>
      <c r="E84" s="100">
        <v>6.59</v>
      </c>
      <c r="F84" s="100">
        <v>0.26</v>
      </c>
      <c r="G84" s="100">
        <v>73.489999999999995</v>
      </c>
      <c r="H84" s="100">
        <v>34.61</v>
      </c>
      <c r="I84" s="100">
        <v>11.5</v>
      </c>
      <c r="J84" s="100">
        <v>0.1</v>
      </c>
      <c r="K84" s="100">
        <v>119.58</v>
      </c>
      <c r="L84" s="100">
        <v>23.55</v>
      </c>
      <c r="M84" s="100">
        <v>49.12</v>
      </c>
      <c r="N84" s="100">
        <v>2.1</v>
      </c>
      <c r="O84" s="100">
        <v>0</v>
      </c>
      <c r="P84" s="100">
        <v>0.6</v>
      </c>
      <c r="Q84" s="100">
        <v>9.32</v>
      </c>
      <c r="R84" s="6"/>
      <c r="S84" s="6"/>
      <c r="T84" s="156"/>
      <c r="U84" s="6"/>
    </row>
    <row r="85" spans="1:21" customFormat="1">
      <c r="A85" s="201" t="s">
        <v>2912</v>
      </c>
      <c r="B85" s="100">
        <v>7.14</v>
      </c>
      <c r="C85" s="100">
        <v>17.02</v>
      </c>
      <c r="D85" s="100">
        <v>14.61</v>
      </c>
      <c r="E85" s="100">
        <v>6.78</v>
      </c>
      <c r="F85" s="100">
        <v>0.28999999999999998</v>
      </c>
      <c r="G85" s="100">
        <v>73.489999999999995</v>
      </c>
      <c r="H85" s="100">
        <v>34.61</v>
      </c>
      <c r="I85" s="100">
        <v>11.72</v>
      </c>
      <c r="J85" s="100">
        <v>0.14000000000000001</v>
      </c>
      <c r="K85" s="100">
        <v>143.44</v>
      </c>
      <c r="L85" s="100">
        <v>22.88</v>
      </c>
      <c r="M85" s="100">
        <v>53.06</v>
      </c>
      <c r="N85" s="100">
        <v>2.1</v>
      </c>
      <c r="O85" s="100">
        <v>0</v>
      </c>
      <c r="P85" s="100">
        <v>0.62</v>
      </c>
      <c r="Q85" s="100">
        <v>9.32</v>
      </c>
      <c r="R85" s="6"/>
      <c r="S85" s="6"/>
      <c r="T85" s="156"/>
      <c r="U85" s="6"/>
    </row>
    <row r="86" spans="1:21" customFormat="1">
      <c r="A86" s="201" t="s">
        <v>2913</v>
      </c>
      <c r="B86" s="100">
        <v>7.33</v>
      </c>
      <c r="C86" s="100">
        <v>17.14</v>
      </c>
      <c r="D86" s="100">
        <v>14.83</v>
      </c>
      <c r="E86" s="100">
        <v>6.8</v>
      </c>
      <c r="F86" s="100">
        <v>0.27</v>
      </c>
      <c r="G86" s="100">
        <v>82.7</v>
      </c>
      <c r="H86" s="100">
        <v>35.31</v>
      </c>
      <c r="I86" s="100">
        <v>11.93</v>
      </c>
      <c r="J86" s="100">
        <v>0.22</v>
      </c>
      <c r="K86" s="100">
        <v>171.47</v>
      </c>
      <c r="L86" s="100">
        <v>22.42</v>
      </c>
      <c r="M86" s="100">
        <v>54.97</v>
      </c>
      <c r="N86" s="100">
        <v>2</v>
      </c>
      <c r="O86" s="100">
        <v>0</v>
      </c>
      <c r="P86" s="100">
        <v>0.63</v>
      </c>
      <c r="Q86" s="100">
        <v>9.32</v>
      </c>
      <c r="R86" s="6"/>
      <c r="S86" s="6"/>
      <c r="T86" s="156"/>
      <c r="U86" s="6"/>
    </row>
    <row r="87" spans="1:21" customFormat="1">
      <c r="A87" s="201" t="s">
        <v>2914</v>
      </c>
      <c r="B87" s="100">
        <v>7.27</v>
      </c>
      <c r="C87" s="100">
        <v>17.11</v>
      </c>
      <c r="D87" s="100">
        <v>14.77</v>
      </c>
      <c r="E87" s="100">
        <v>6.45</v>
      </c>
      <c r="F87" s="100">
        <v>0.33</v>
      </c>
      <c r="G87" s="100">
        <v>87.08</v>
      </c>
      <c r="H87" s="100">
        <v>35.380000000000003</v>
      </c>
      <c r="I87" s="100">
        <v>12.12</v>
      </c>
      <c r="J87" s="100">
        <v>0.15</v>
      </c>
      <c r="K87" s="100">
        <v>164.16</v>
      </c>
      <c r="L87" s="100">
        <v>22.22</v>
      </c>
      <c r="M87" s="100">
        <v>56.66</v>
      </c>
      <c r="N87" s="100">
        <v>1.7</v>
      </c>
      <c r="O87" s="100">
        <v>0</v>
      </c>
      <c r="P87" s="100">
        <v>0.62</v>
      </c>
      <c r="Q87" s="100">
        <v>9.32</v>
      </c>
      <c r="R87" s="6"/>
      <c r="S87" s="6"/>
      <c r="T87" s="156"/>
      <c r="U87" s="6"/>
    </row>
    <row r="88" spans="1:21" customFormat="1">
      <c r="A88" s="201" t="s">
        <v>2915</v>
      </c>
      <c r="B88" s="100">
        <v>7.19</v>
      </c>
      <c r="C88" s="100">
        <v>17.239999999999998</v>
      </c>
      <c r="D88" s="100">
        <v>14.77</v>
      </c>
      <c r="E88" s="100">
        <v>6.35</v>
      </c>
      <c r="F88" s="100">
        <v>0.28999999999999998</v>
      </c>
      <c r="G88" s="100">
        <v>87.08</v>
      </c>
      <c r="H88" s="100">
        <v>35.380000000000003</v>
      </c>
      <c r="I88" s="100">
        <v>12.34</v>
      </c>
      <c r="J88" s="100">
        <v>0.11</v>
      </c>
      <c r="K88" s="100">
        <v>105.18</v>
      </c>
      <c r="L88" s="100">
        <v>22.48</v>
      </c>
      <c r="M88" s="100">
        <v>53.59</v>
      </c>
      <c r="N88" s="100">
        <v>1.5</v>
      </c>
      <c r="O88" s="100">
        <v>0</v>
      </c>
      <c r="P88" s="100">
        <v>0.64</v>
      </c>
      <c r="Q88" s="100">
        <v>9.32</v>
      </c>
      <c r="R88" s="6"/>
      <c r="S88" s="6"/>
      <c r="T88" s="156"/>
      <c r="U88" s="6"/>
    </row>
    <row r="89" spans="1:21" customFormat="1">
      <c r="A89" s="201" t="s">
        <v>2916</v>
      </c>
      <c r="B89" s="100">
        <v>7.19</v>
      </c>
      <c r="C89" s="100">
        <v>17.52</v>
      </c>
      <c r="D89" s="100">
        <v>14.92</v>
      </c>
      <c r="E89" s="100">
        <v>6.52</v>
      </c>
      <c r="F89" s="100">
        <v>0.18</v>
      </c>
      <c r="G89" s="100">
        <v>87.08</v>
      </c>
      <c r="H89" s="100">
        <v>35.380000000000003</v>
      </c>
      <c r="I89" s="100">
        <v>12.6</v>
      </c>
      <c r="J89" s="100">
        <v>0.18</v>
      </c>
      <c r="K89" s="100">
        <v>155.91</v>
      </c>
      <c r="L89" s="100">
        <v>22.39</v>
      </c>
      <c r="M89" s="100">
        <v>54.7</v>
      </c>
      <c r="N89" s="100">
        <v>1.6</v>
      </c>
      <c r="O89" s="100">
        <v>0</v>
      </c>
      <c r="P89" s="100">
        <v>0.65</v>
      </c>
      <c r="Q89" s="100">
        <v>9.32</v>
      </c>
      <c r="R89" s="6"/>
      <c r="S89" s="6"/>
      <c r="T89" s="156"/>
      <c r="U89" s="6"/>
    </row>
    <row r="90" spans="1:21" customFormat="1">
      <c r="A90" s="201" t="s">
        <v>2917</v>
      </c>
      <c r="B90" s="100">
        <v>7.12</v>
      </c>
      <c r="C90" s="100">
        <v>17.62</v>
      </c>
      <c r="D90" s="100">
        <v>14.91</v>
      </c>
      <c r="E90" s="100">
        <v>6.79</v>
      </c>
      <c r="F90" s="100">
        <v>0.27</v>
      </c>
      <c r="G90" s="100">
        <v>89.64</v>
      </c>
      <c r="H90" s="100">
        <v>41.47</v>
      </c>
      <c r="I90" s="100">
        <v>12.89</v>
      </c>
      <c r="J90" s="100">
        <v>0.24</v>
      </c>
      <c r="K90" s="100">
        <v>167.79</v>
      </c>
      <c r="L90" s="100">
        <v>21.84</v>
      </c>
      <c r="M90" s="100">
        <v>61.57</v>
      </c>
      <c r="N90" s="100">
        <v>1.9</v>
      </c>
      <c r="O90" s="100">
        <v>0</v>
      </c>
      <c r="P90" s="100">
        <v>0.66</v>
      </c>
      <c r="Q90" s="100">
        <v>9.32</v>
      </c>
      <c r="R90" s="6"/>
      <c r="S90" s="6"/>
      <c r="T90" s="156"/>
      <c r="U90" s="6"/>
    </row>
    <row r="91" spans="1:21" customFormat="1">
      <c r="A91" s="201" t="s">
        <v>2918</v>
      </c>
      <c r="B91" s="100">
        <v>6.98</v>
      </c>
      <c r="C91" s="100">
        <v>17.329999999999998</v>
      </c>
      <c r="D91" s="100">
        <v>14.66</v>
      </c>
      <c r="E91" s="100">
        <v>6.43</v>
      </c>
      <c r="F91" s="100">
        <v>0.28000000000000003</v>
      </c>
      <c r="G91" s="100">
        <v>90.86</v>
      </c>
      <c r="H91" s="100">
        <v>42.08</v>
      </c>
      <c r="I91" s="100">
        <v>13.18</v>
      </c>
      <c r="J91" s="100">
        <v>0.27</v>
      </c>
      <c r="K91" s="100">
        <v>168.18</v>
      </c>
      <c r="L91" s="100">
        <v>21.36</v>
      </c>
      <c r="M91" s="100">
        <v>66.34</v>
      </c>
      <c r="N91" s="100">
        <v>1.8</v>
      </c>
      <c r="O91" s="100">
        <v>0</v>
      </c>
      <c r="P91" s="100">
        <v>0.67</v>
      </c>
      <c r="Q91" s="100">
        <v>9.32</v>
      </c>
      <c r="R91" s="6"/>
      <c r="S91" s="6"/>
      <c r="T91" s="156"/>
      <c r="U91" s="6"/>
    </row>
    <row r="92" spans="1:21" customFormat="1">
      <c r="A92" s="201" t="s">
        <v>2919</v>
      </c>
      <c r="B92" s="100">
        <v>6.75</v>
      </c>
      <c r="C92" s="100">
        <v>17.149999999999999</v>
      </c>
      <c r="D92" s="100">
        <v>14.37</v>
      </c>
      <c r="E92" s="100">
        <v>6.37</v>
      </c>
      <c r="F92" s="100">
        <v>0.31</v>
      </c>
      <c r="G92" s="100">
        <v>90.86</v>
      </c>
      <c r="H92" s="100">
        <v>42.08</v>
      </c>
      <c r="I92" s="100">
        <v>13.39</v>
      </c>
      <c r="J92" s="100">
        <v>0.22</v>
      </c>
      <c r="K92" s="100">
        <v>175.98</v>
      </c>
      <c r="L92" s="100">
        <v>21.27</v>
      </c>
      <c r="M92" s="100">
        <v>67.37</v>
      </c>
      <c r="N92" s="100">
        <v>1.7</v>
      </c>
      <c r="O92" s="100">
        <v>0</v>
      </c>
      <c r="P92" s="100">
        <v>0.69</v>
      </c>
      <c r="Q92" s="100">
        <v>9.32</v>
      </c>
      <c r="R92" s="6"/>
      <c r="S92" s="6"/>
      <c r="T92" s="156"/>
      <c r="U92" s="6"/>
    </row>
    <row r="93" spans="1:21" customFormat="1">
      <c r="A93" s="201" t="s">
        <v>2920</v>
      </c>
      <c r="B93" s="100">
        <v>6.58</v>
      </c>
      <c r="C93" s="100">
        <v>16.88</v>
      </c>
      <c r="D93" s="100">
        <v>14.1</v>
      </c>
      <c r="E93" s="100">
        <v>6.43</v>
      </c>
      <c r="F93" s="100">
        <v>0.41</v>
      </c>
      <c r="G93" s="100">
        <v>90.86</v>
      </c>
      <c r="H93" s="100">
        <v>42.08</v>
      </c>
      <c r="I93" s="100">
        <v>13.48</v>
      </c>
      <c r="J93" s="100">
        <v>0.2</v>
      </c>
      <c r="K93" s="100">
        <v>189.99</v>
      </c>
      <c r="L93" s="100">
        <v>20.92</v>
      </c>
      <c r="M93" s="100">
        <v>73.72</v>
      </c>
      <c r="N93" s="100">
        <v>1.7</v>
      </c>
      <c r="O93" s="100">
        <v>0</v>
      </c>
      <c r="P93" s="100">
        <v>0.7</v>
      </c>
      <c r="Q93" s="100">
        <v>9.32</v>
      </c>
      <c r="R93" s="6"/>
      <c r="S93" s="6"/>
      <c r="T93" s="156"/>
      <c r="U93" s="6"/>
    </row>
    <row r="94" spans="1:21" customFormat="1">
      <c r="A94" s="201" t="s">
        <v>2921</v>
      </c>
      <c r="B94" s="100">
        <v>6.51</v>
      </c>
      <c r="C94" s="100">
        <v>16.43</v>
      </c>
      <c r="D94" s="100">
        <v>13.8</v>
      </c>
      <c r="E94" s="100">
        <v>6.29</v>
      </c>
      <c r="F94" s="100">
        <v>0.37</v>
      </c>
      <c r="G94" s="100">
        <v>91.29</v>
      </c>
      <c r="H94" s="100">
        <v>42.94</v>
      </c>
      <c r="I94" s="100">
        <v>13.51</v>
      </c>
      <c r="J94" s="100">
        <v>0.19</v>
      </c>
      <c r="K94" s="100">
        <v>192.32</v>
      </c>
      <c r="L94" s="100">
        <v>20.69</v>
      </c>
      <c r="M94" s="100">
        <v>72.81</v>
      </c>
      <c r="N94" s="100">
        <v>1.5</v>
      </c>
      <c r="O94" s="100">
        <v>0</v>
      </c>
      <c r="P94" s="100">
        <v>0.7</v>
      </c>
      <c r="Q94" s="100">
        <v>9.32</v>
      </c>
      <c r="R94" s="6"/>
      <c r="S94" s="6"/>
      <c r="T94" s="156"/>
      <c r="U94" s="6"/>
    </row>
    <row r="95" spans="1:21" customFormat="1">
      <c r="A95" s="201" t="s">
        <v>2922</v>
      </c>
      <c r="B95" s="100">
        <v>6.52</v>
      </c>
      <c r="C95" s="100">
        <v>16.32</v>
      </c>
      <c r="D95" s="100">
        <v>13.76</v>
      </c>
      <c r="E95" s="100">
        <v>6.38</v>
      </c>
      <c r="F95" s="100">
        <v>0.31</v>
      </c>
      <c r="G95" s="100">
        <v>91.5</v>
      </c>
      <c r="H95" s="100">
        <v>43.03</v>
      </c>
      <c r="I95" s="100">
        <v>13.5</v>
      </c>
      <c r="J95" s="100">
        <v>0.21</v>
      </c>
      <c r="K95" s="100">
        <v>199.58</v>
      </c>
      <c r="L95" s="100">
        <v>20.71</v>
      </c>
      <c r="M95" s="100">
        <v>73.91</v>
      </c>
      <c r="N95" s="100">
        <v>1.6</v>
      </c>
      <c r="O95" s="100">
        <v>0</v>
      </c>
      <c r="P95" s="100">
        <v>0.7</v>
      </c>
      <c r="Q95" s="100">
        <v>9.32</v>
      </c>
      <c r="R95" s="6"/>
      <c r="S95" s="6"/>
      <c r="T95" s="156"/>
      <c r="U95" s="6"/>
    </row>
    <row r="96" spans="1:21" customFormat="1">
      <c r="A96" s="201" t="s">
        <v>2923</v>
      </c>
      <c r="B96" s="100">
        <v>6.51</v>
      </c>
      <c r="C96" s="100">
        <v>16.059999999999999</v>
      </c>
      <c r="D96" s="100">
        <v>13.61</v>
      </c>
      <c r="E96" s="100">
        <v>6.66</v>
      </c>
      <c r="F96" s="100">
        <v>0.3</v>
      </c>
      <c r="G96" s="100">
        <v>91.5</v>
      </c>
      <c r="H96" s="100">
        <v>43.03</v>
      </c>
      <c r="I96" s="100">
        <v>13.45</v>
      </c>
      <c r="J96" s="100">
        <v>0.24</v>
      </c>
      <c r="K96" s="100">
        <v>228.3</v>
      </c>
      <c r="L96" s="100">
        <v>20.329999999999998</v>
      </c>
      <c r="M96" s="100">
        <v>74.02</v>
      </c>
      <c r="N96" s="100">
        <v>1.6</v>
      </c>
      <c r="O96" s="100">
        <v>0</v>
      </c>
      <c r="P96" s="100">
        <v>0.71</v>
      </c>
      <c r="Q96" s="100">
        <v>9.32</v>
      </c>
      <c r="R96" s="6"/>
      <c r="S96" s="6"/>
      <c r="T96" s="156"/>
      <c r="U96" s="6"/>
    </row>
    <row r="97" spans="1:28" customFormat="1">
      <c r="A97" s="201" t="s">
        <v>2924</v>
      </c>
      <c r="B97" s="100">
        <v>6.83</v>
      </c>
      <c r="C97" s="100">
        <v>16.11</v>
      </c>
      <c r="D97" s="100">
        <v>13.89</v>
      </c>
      <c r="E97" s="100">
        <v>6.32</v>
      </c>
      <c r="F97" s="100">
        <v>0.15</v>
      </c>
      <c r="G97" s="100">
        <v>91.5</v>
      </c>
      <c r="H97" s="100">
        <v>43.03</v>
      </c>
      <c r="I97" s="100">
        <v>13.38</v>
      </c>
      <c r="J97" s="100">
        <v>0.03</v>
      </c>
      <c r="K97" s="100">
        <v>337.29</v>
      </c>
      <c r="L97" s="100">
        <v>20.02</v>
      </c>
      <c r="M97" s="100">
        <v>68.099999999999994</v>
      </c>
      <c r="N97" s="100">
        <v>1.6</v>
      </c>
      <c r="O97" s="100">
        <v>0</v>
      </c>
      <c r="P97" s="100">
        <v>0.7</v>
      </c>
      <c r="Q97" s="100">
        <v>9.32</v>
      </c>
      <c r="R97" s="6"/>
      <c r="S97" s="6"/>
      <c r="T97" s="156"/>
      <c r="U97" s="6"/>
    </row>
    <row r="98" spans="1:28" customFormat="1">
      <c r="A98" s="201" t="s">
        <v>2925</v>
      </c>
      <c r="B98" s="100">
        <v>7.78</v>
      </c>
      <c r="C98" s="100">
        <v>16.48</v>
      </c>
      <c r="D98" s="100">
        <v>14.85</v>
      </c>
      <c r="E98" s="100">
        <v>6.6</v>
      </c>
      <c r="F98" s="100">
        <v>0.12</v>
      </c>
      <c r="G98" s="100">
        <v>88.34</v>
      </c>
      <c r="H98" s="100">
        <v>41.3</v>
      </c>
      <c r="I98" s="100">
        <v>13.15</v>
      </c>
      <c r="J98" s="100">
        <v>0.11</v>
      </c>
      <c r="K98" s="100">
        <v>136.44</v>
      </c>
      <c r="L98" s="100">
        <v>20.53</v>
      </c>
      <c r="M98" s="100">
        <v>64.23</v>
      </c>
      <c r="N98" s="100">
        <v>1.4</v>
      </c>
      <c r="O98" s="100">
        <v>0</v>
      </c>
      <c r="P98" s="100">
        <v>0.71</v>
      </c>
      <c r="Q98" s="100">
        <v>9.32</v>
      </c>
      <c r="R98" s="6"/>
      <c r="S98" s="6"/>
      <c r="T98" s="156"/>
      <c r="U98" s="6"/>
    </row>
    <row r="99" spans="1:28" customFormat="1">
      <c r="A99" s="201" t="s">
        <v>2926</v>
      </c>
      <c r="B99" s="100">
        <v>8.5299999999999994</v>
      </c>
      <c r="C99" s="100">
        <v>16.75</v>
      </c>
      <c r="D99" s="100">
        <v>15.59</v>
      </c>
      <c r="E99" s="100">
        <v>6.55</v>
      </c>
      <c r="F99" s="100">
        <v>0.08</v>
      </c>
      <c r="G99" s="100">
        <v>86.84</v>
      </c>
      <c r="H99" s="100">
        <v>40.93</v>
      </c>
      <c r="I99" s="100">
        <v>12.95</v>
      </c>
      <c r="J99" s="100">
        <v>0.19</v>
      </c>
      <c r="K99" s="100">
        <v>176.52</v>
      </c>
      <c r="L99" s="100">
        <v>20.23</v>
      </c>
      <c r="M99" s="100">
        <v>67.22</v>
      </c>
      <c r="N99" s="100">
        <v>1.6</v>
      </c>
      <c r="O99" s="100">
        <v>0</v>
      </c>
      <c r="P99" s="100">
        <v>0.72</v>
      </c>
      <c r="Q99" s="100">
        <v>9.32</v>
      </c>
      <c r="R99" s="6"/>
      <c r="S99" s="6"/>
      <c r="T99" s="156"/>
      <c r="U99" s="6"/>
    </row>
    <row r="100" spans="1:28" customFormat="1">
      <c r="A100" s="201" t="s">
        <v>2927</v>
      </c>
      <c r="B100" s="100">
        <v>8.92</v>
      </c>
      <c r="C100" s="100">
        <v>17.059999999999999</v>
      </c>
      <c r="D100" s="100">
        <v>16.07</v>
      </c>
      <c r="E100" s="100">
        <v>6.39</v>
      </c>
      <c r="F100" s="100">
        <v>0.08</v>
      </c>
      <c r="G100" s="100">
        <v>86.84</v>
      </c>
      <c r="H100" s="100">
        <v>40.93</v>
      </c>
      <c r="I100" s="100">
        <v>13.09</v>
      </c>
      <c r="J100" s="100">
        <v>0.12</v>
      </c>
      <c r="K100" s="100">
        <v>187.45</v>
      </c>
      <c r="L100" s="100">
        <v>19.71</v>
      </c>
      <c r="M100" s="100">
        <v>72.75</v>
      </c>
      <c r="N100" s="100">
        <v>1.7</v>
      </c>
      <c r="O100" s="100">
        <v>0</v>
      </c>
      <c r="P100" s="100">
        <v>0.73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2928</v>
      </c>
      <c r="B101" s="100">
        <v>9.85</v>
      </c>
      <c r="C101" s="100">
        <v>17.420000000000002</v>
      </c>
      <c r="D101" s="100">
        <v>17</v>
      </c>
      <c r="E101" s="100">
        <v>6.34</v>
      </c>
      <c r="F101" s="100">
        <v>0.08</v>
      </c>
      <c r="G101" s="100">
        <v>86.84</v>
      </c>
      <c r="H101" s="100">
        <v>40.93</v>
      </c>
      <c r="I101" s="100">
        <v>13.13</v>
      </c>
      <c r="J101" s="100">
        <v>0.24</v>
      </c>
      <c r="K101" s="100">
        <v>165.4</v>
      </c>
      <c r="L101" s="100">
        <v>19.809999999999999</v>
      </c>
      <c r="M101" s="100">
        <v>71.89</v>
      </c>
      <c r="N101" s="100">
        <v>1.5</v>
      </c>
      <c r="O101" s="100">
        <v>0</v>
      </c>
      <c r="P101" s="100">
        <v>0.74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2929</v>
      </c>
      <c r="B102" s="100">
        <v>10.8</v>
      </c>
      <c r="C102" s="100">
        <v>17.600000000000001</v>
      </c>
      <c r="D102" s="100">
        <v>17.86</v>
      </c>
      <c r="E102" s="100">
        <v>6.38</v>
      </c>
      <c r="F102" s="100">
        <v>0.02</v>
      </c>
      <c r="G102" s="100">
        <v>90.47</v>
      </c>
      <c r="H102" s="100">
        <v>43.11</v>
      </c>
      <c r="I102" s="100">
        <v>13.06</v>
      </c>
      <c r="J102" s="100">
        <v>0.13</v>
      </c>
      <c r="K102" s="100">
        <v>161.16999999999999</v>
      </c>
      <c r="L102" s="100">
        <v>19.68</v>
      </c>
      <c r="M102" s="100">
        <v>76.17</v>
      </c>
      <c r="N102" s="100">
        <v>1.6</v>
      </c>
      <c r="O102" s="100">
        <v>0</v>
      </c>
      <c r="P102" s="100">
        <v>0.74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2930</v>
      </c>
      <c r="B103" s="100">
        <v>11.59</v>
      </c>
      <c r="C103" s="100">
        <v>17.78</v>
      </c>
      <c r="D103" s="100">
        <v>18.579999999999998</v>
      </c>
      <c r="E103" s="100">
        <v>6.44</v>
      </c>
      <c r="F103" s="100">
        <v>0.02</v>
      </c>
      <c r="G103" s="100">
        <v>92.19</v>
      </c>
      <c r="H103" s="100">
        <v>43.33</v>
      </c>
      <c r="I103" s="100">
        <v>13.2</v>
      </c>
      <c r="J103" s="100">
        <v>0.18</v>
      </c>
      <c r="K103" s="100">
        <v>180.58</v>
      </c>
      <c r="L103" s="100">
        <v>19.63</v>
      </c>
      <c r="M103" s="100">
        <v>75.16</v>
      </c>
      <c r="N103" s="100">
        <v>1.4</v>
      </c>
      <c r="O103" s="100">
        <v>0</v>
      </c>
      <c r="P103" s="100">
        <v>0.75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2931</v>
      </c>
      <c r="B104" s="100">
        <v>12.13</v>
      </c>
      <c r="C104" s="100">
        <v>17.73</v>
      </c>
      <c r="D104" s="100">
        <v>18.989999999999998</v>
      </c>
      <c r="E104" s="100">
        <v>6.67</v>
      </c>
      <c r="F104" s="100">
        <v>0.02</v>
      </c>
      <c r="G104" s="100">
        <v>92.19</v>
      </c>
      <c r="H104" s="100">
        <v>43.33</v>
      </c>
      <c r="I104" s="100">
        <v>13.3</v>
      </c>
      <c r="J104" s="100">
        <v>0.17</v>
      </c>
      <c r="K104" s="100">
        <v>179.39</v>
      </c>
      <c r="L104" s="100">
        <v>19.190000000000001</v>
      </c>
      <c r="M104" s="100">
        <v>82.39</v>
      </c>
      <c r="N104" s="100">
        <v>1.7</v>
      </c>
      <c r="O104" s="100">
        <v>0</v>
      </c>
      <c r="P104" s="100">
        <v>0.75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3.08</v>
      </c>
      <c r="C106" s="158">
        <f>MIN(C9:C104)</f>
        <v>13.31</v>
      </c>
      <c r="D106" s="158">
        <f t="shared" ref="D106:Q106" si="0">MIN(D9:D104)</f>
        <v>9.6300000000000008</v>
      </c>
      <c r="E106" s="158">
        <f t="shared" si="0"/>
        <v>3.32</v>
      </c>
      <c r="F106" s="158">
        <f t="shared" si="0"/>
        <v>0.02</v>
      </c>
      <c r="G106" s="158">
        <f t="shared" si="0"/>
        <v>52.62</v>
      </c>
      <c r="H106" s="158">
        <f t="shared" si="0"/>
        <v>29.63</v>
      </c>
      <c r="I106" s="158">
        <f t="shared" si="0"/>
        <v>9.8800000000000008</v>
      </c>
      <c r="J106" s="158">
        <f t="shared" si="0"/>
        <v>0.03</v>
      </c>
      <c r="K106" s="158">
        <f t="shared" si="0"/>
        <v>16.649999999999999</v>
      </c>
      <c r="L106" s="158">
        <f t="shared" si="0"/>
        <v>16.760000000000002</v>
      </c>
      <c r="M106" s="158">
        <f t="shared" si="0"/>
        <v>29.11</v>
      </c>
      <c r="N106" s="158">
        <f t="shared" si="0"/>
        <v>0.9</v>
      </c>
      <c r="O106" s="158">
        <f t="shared" si="0"/>
        <v>0</v>
      </c>
      <c r="P106" s="158">
        <f t="shared" si="0"/>
        <v>0.51</v>
      </c>
      <c r="Q106" s="158">
        <f t="shared" si="0"/>
        <v>9.32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16.52</v>
      </c>
      <c r="C107" s="157">
        <f t="shared" ref="C107:Q107" si="1">MAX(C9:C104)</f>
        <v>18.86</v>
      </c>
      <c r="D107" s="157">
        <f t="shared" si="1"/>
        <v>22.59</v>
      </c>
      <c r="E107" s="157">
        <f t="shared" si="1"/>
        <v>6.93</v>
      </c>
      <c r="F107" s="157">
        <f t="shared" si="1"/>
        <v>7.72</v>
      </c>
      <c r="G107" s="157">
        <f t="shared" si="1"/>
        <v>95.2</v>
      </c>
      <c r="H107" s="157">
        <f t="shared" si="1"/>
        <v>43.33</v>
      </c>
      <c r="I107" s="157">
        <f t="shared" si="1"/>
        <v>22.87</v>
      </c>
      <c r="J107" s="157">
        <f t="shared" si="1"/>
        <v>1.04</v>
      </c>
      <c r="K107" s="157">
        <f t="shared" si="1"/>
        <v>337.29</v>
      </c>
      <c r="L107" s="157">
        <f t="shared" si="1"/>
        <v>29.34</v>
      </c>
      <c r="M107" s="157">
        <f t="shared" si="1"/>
        <v>82.39</v>
      </c>
      <c r="N107" s="157">
        <f t="shared" si="1"/>
        <v>611.70000000000005</v>
      </c>
      <c r="O107" s="157">
        <f t="shared" si="1"/>
        <v>0</v>
      </c>
      <c r="P107" s="157">
        <f t="shared" si="1"/>
        <v>0.76</v>
      </c>
      <c r="Q107" s="157">
        <f t="shared" si="1"/>
        <v>9.7799999999999994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8.3958333333333339</v>
      </c>
      <c r="C108" s="158">
        <f t="shared" ref="C108:Q108" si="2">AVERAGE(C9:C104)</f>
        <v>16.385104166666665</v>
      </c>
      <c r="D108" s="158">
        <f t="shared" si="2"/>
        <v>15.293229166666661</v>
      </c>
      <c r="E108" s="158">
        <f t="shared" si="2"/>
        <v>5.6907291666666673</v>
      </c>
      <c r="F108" s="158">
        <f t="shared" si="2"/>
        <v>1.1772916666666668</v>
      </c>
      <c r="G108" s="158">
        <f t="shared" si="2"/>
        <v>79.678958333333313</v>
      </c>
      <c r="H108" s="158">
        <f t="shared" si="2"/>
        <v>37.126458333333332</v>
      </c>
      <c r="I108" s="158">
        <f t="shared" si="2"/>
        <v>12.970416666666674</v>
      </c>
      <c r="J108" s="158">
        <f t="shared" si="2"/>
        <v>0.42812500000000009</v>
      </c>
      <c r="K108" s="158">
        <f t="shared" si="2"/>
        <v>91.319062499999973</v>
      </c>
      <c r="L108" s="158">
        <f t="shared" si="2"/>
        <v>22.456770833333334</v>
      </c>
      <c r="M108" s="158">
        <f t="shared" si="2"/>
        <v>54.528750000000002</v>
      </c>
      <c r="N108" s="158">
        <f t="shared" si="2"/>
        <v>114.6510416666667</v>
      </c>
      <c r="O108" s="158">
        <f t="shared" si="2"/>
        <v>0</v>
      </c>
      <c r="P108" s="158">
        <f t="shared" si="2"/>
        <v>0.64229166666666682</v>
      </c>
      <c r="Q108" s="158">
        <f t="shared" si="2"/>
        <v>9.325937500000018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3.9951121891016741</v>
      </c>
      <c r="C109" s="158">
        <f t="shared" ref="C109:Q109" si="3">STDEV(C9:C104)</f>
        <v>1.3657001248957807</v>
      </c>
      <c r="D109" s="158">
        <f t="shared" si="3"/>
        <v>3.6688625785949118</v>
      </c>
      <c r="E109" s="158">
        <f t="shared" si="3"/>
        <v>0.74759860436307768</v>
      </c>
      <c r="F109" s="158">
        <f t="shared" si="3"/>
        <v>1.7090689858064869</v>
      </c>
      <c r="G109" s="158">
        <f t="shared" si="3"/>
        <v>12.536413948692942</v>
      </c>
      <c r="H109" s="158">
        <f t="shared" si="3"/>
        <v>3.6148806427603533</v>
      </c>
      <c r="I109" s="158">
        <f t="shared" si="3"/>
        <v>2.7070473006061615</v>
      </c>
      <c r="J109" s="158">
        <f t="shared" si="3"/>
        <v>0.27612473344677496</v>
      </c>
      <c r="K109" s="158">
        <f t="shared" si="3"/>
        <v>64.816197408365994</v>
      </c>
      <c r="L109" s="158">
        <f t="shared" si="3"/>
        <v>4.3722898961989944</v>
      </c>
      <c r="M109" s="158">
        <f t="shared" si="3"/>
        <v>17.022236184968229</v>
      </c>
      <c r="N109" s="158">
        <f t="shared" si="3"/>
        <v>192.44581356007257</v>
      </c>
      <c r="O109" s="158">
        <f t="shared" si="3"/>
        <v>0</v>
      </c>
      <c r="P109" s="158">
        <f t="shared" si="3"/>
        <v>7.4811752055501141E-2</v>
      </c>
      <c r="Q109" s="158">
        <f t="shared" si="3"/>
        <v>4.7496883554275525E-2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7" workbookViewId="0">
      <selection activeCell="F90" sqref="F90:F91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>
      <c r="A9" s="201" t="s">
        <v>2932</v>
      </c>
      <c r="B9" s="100">
        <v>12.85</v>
      </c>
      <c r="C9" s="100">
        <v>17.07</v>
      </c>
      <c r="D9" s="100">
        <v>19.22</v>
      </c>
      <c r="E9" s="100">
        <v>6.74</v>
      </c>
      <c r="F9" s="100">
        <v>0.04</v>
      </c>
      <c r="G9" s="100">
        <v>92.19</v>
      </c>
      <c r="H9" s="100">
        <v>43.33</v>
      </c>
      <c r="I9" s="100">
        <v>13.31</v>
      </c>
      <c r="J9" s="100">
        <v>0.18</v>
      </c>
      <c r="K9" s="100">
        <v>196.33</v>
      </c>
      <c r="L9" s="100">
        <v>19.059999999999999</v>
      </c>
      <c r="M9" s="100">
        <v>82.12</v>
      </c>
      <c r="N9" s="100">
        <v>1.6</v>
      </c>
      <c r="O9" s="100">
        <v>0</v>
      </c>
      <c r="P9" s="100">
        <v>0.74</v>
      </c>
      <c r="Q9" s="100">
        <v>9.32</v>
      </c>
      <c r="R9" s="6"/>
      <c r="S9" s="6"/>
      <c r="T9" s="156"/>
      <c r="U9" s="6"/>
    </row>
    <row r="10" spans="1:21">
      <c r="A10" s="201" t="s">
        <v>2933</v>
      </c>
      <c r="B10" s="100">
        <v>12.89</v>
      </c>
      <c r="C10" s="100">
        <v>17.36</v>
      </c>
      <c r="D10" s="100">
        <v>19.399999999999999</v>
      </c>
      <c r="E10" s="100">
        <v>6.44</v>
      </c>
      <c r="F10" s="100">
        <v>0.03</v>
      </c>
      <c r="G10" s="100">
        <v>87.61</v>
      </c>
      <c r="H10" s="100">
        <v>42.08</v>
      </c>
      <c r="I10" s="100">
        <v>13.31</v>
      </c>
      <c r="J10" s="100">
        <v>0.16</v>
      </c>
      <c r="K10" s="100">
        <v>195.18</v>
      </c>
      <c r="L10" s="100">
        <v>18.75</v>
      </c>
      <c r="M10" s="100">
        <v>84.22</v>
      </c>
      <c r="N10" s="100">
        <v>1.6</v>
      </c>
      <c r="O10" s="100">
        <v>0</v>
      </c>
      <c r="P10" s="100">
        <v>0.74</v>
      </c>
      <c r="Q10" s="100">
        <v>9.32</v>
      </c>
      <c r="R10" s="6"/>
      <c r="S10" s="6"/>
      <c r="T10" s="156"/>
      <c r="U10" s="6"/>
    </row>
    <row r="11" spans="1:21">
      <c r="A11" s="201" t="s">
        <v>2934</v>
      </c>
      <c r="B11" s="100">
        <v>13.34</v>
      </c>
      <c r="C11" s="100">
        <v>17.309999999999999</v>
      </c>
      <c r="D11" s="100">
        <v>19.739999999999998</v>
      </c>
      <c r="E11" s="100">
        <v>4.26</v>
      </c>
      <c r="F11" s="100">
        <v>0.06</v>
      </c>
      <c r="G11" s="100">
        <v>85.43</v>
      </c>
      <c r="H11" s="100">
        <v>41.96</v>
      </c>
      <c r="I11" s="100">
        <v>13.26</v>
      </c>
      <c r="J11" s="100">
        <v>0.31</v>
      </c>
      <c r="K11" s="100">
        <v>182.1</v>
      </c>
      <c r="L11" s="100">
        <v>18.579999999999998</v>
      </c>
      <c r="M11" s="100">
        <v>85.51</v>
      </c>
      <c r="N11" s="100">
        <v>1.6</v>
      </c>
      <c r="O11" s="100">
        <v>0</v>
      </c>
      <c r="P11" s="100">
        <v>0.76</v>
      </c>
      <c r="Q11" s="100">
        <v>9.32</v>
      </c>
      <c r="R11" s="6"/>
      <c r="S11" s="6"/>
      <c r="T11" s="156"/>
      <c r="U11" s="6"/>
    </row>
    <row r="12" spans="1:21">
      <c r="A12" s="201" t="s">
        <v>2935</v>
      </c>
      <c r="B12" s="100">
        <v>13.7</v>
      </c>
      <c r="C12" s="100">
        <v>16.98</v>
      </c>
      <c r="D12" s="100">
        <v>19.86</v>
      </c>
      <c r="E12" s="100">
        <v>6.37</v>
      </c>
      <c r="F12" s="100">
        <v>0.12</v>
      </c>
      <c r="G12" s="100">
        <v>85.43</v>
      </c>
      <c r="H12" s="100">
        <v>41.96</v>
      </c>
      <c r="I12" s="100">
        <v>13.2</v>
      </c>
      <c r="J12" s="100">
        <v>0.2</v>
      </c>
      <c r="K12" s="100">
        <v>201.01</v>
      </c>
      <c r="L12" s="100">
        <v>17.97</v>
      </c>
      <c r="M12" s="100">
        <v>84.18</v>
      </c>
      <c r="N12" s="100">
        <v>1.9</v>
      </c>
      <c r="O12" s="100">
        <v>0</v>
      </c>
      <c r="P12" s="100">
        <v>0.77</v>
      </c>
      <c r="Q12" s="100">
        <v>9.32</v>
      </c>
      <c r="R12" s="6"/>
      <c r="S12" s="6"/>
      <c r="T12" s="156"/>
      <c r="U12" s="6"/>
    </row>
    <row r="13" spans="1:21">
      <c r="A13" s="201" t="s">
        <v>2936</v>
      </c>
      <c r="B13" s="100">
        <v>13.58</v>
      </c>
      <c r="C13" s="100">
        <v>16.57</v>
      </c>
      <c r="D13" s="100">
        <v>19.54</v>
      </c>
      <c r="E13" s="100">
        <v>6.37</v>
      </c>
      <c r="F13" s="100">
        <v>0.06</v>
      </c>
      <c r="G13" s="100">
        <v>85.43</v>
      </c>
      <c r="H13" s="100">
        <v>41.96</v>
      </c>
      <c r="I13" s="100">
        <v>13.14</v>
      </c>
      <c r="J13" s="100">
        <v>0.11</v>
      </c>
      <c r="K13" s="100">
        <v>230.58</v>
      </c>
      <c r="L13" s="100">
        <v>17.73</v>
      </c>
      <c r="M13" s="100">
        <v>85.05</v>
      </c>
      <c r="N13" s="100">
        <v>1.7</v>
      </c>
      <c r="O13" s="100">
        <v>0</v>
      </c>
      <c r="P13" s="100">
        <v>0.76</v>
      </c>
      <c r="Q13" s="100">
        <v>9.32</v>
      </c>
      <c r="R13" s="6"/>
      <c r="S13" s="6"/>
      <c r="T13" s="156"/>
      <c r="U13" s="6"/>
    </row>
    <row r="14" spans="1:21">
      <c r="A14" s="201" t="s">
        <v>2937</v>
      </c>
      <c r="B14" s="100">
        <v>13.32</v>
      </c>
      <c r="C14" s="100">
        <v>16.149999999999999</v>
      </c>
      <c r="D14" s="100">
        <v>19.12</v>
      </c>
      <c r="E14" s="100">
        <v>6.47</v>
      </c>
      <c r="F14" s="100">
        <v>0.04</v>
      </c>
      <c r="G14" s="100">
        <v>82.48</v>
      </c>
      <c r="H14" s="100">
        <v>42.45</v>
      </c>
      <c r="I14" s="100">
        <v>13.07</v>
      </c>
      <c r="J14" s="100">
        <v>0.13</v>
      </c>
      <c r="K14" s="100">
        <v>220.1</v>
      </c>
      <c r="L14" s="100">
        <v>17.66</v>
      </c>
      <c r="M14" s="100">
        <v>86.47</v>
      </c>
      <c r="N14" s="100">
        <v>1.6</v>
      </c>
      <c r="O14" s="100">
        <v>0</v>
      </c>
      <c r="P14" s="100">
        <v>0.76</v>
      </c>
      <c r="Q14" s="100">
        <v>9.32</v>
      </c>
      <c r="R14" s="6"/>
      <c r="S14" s="6"/>
      <c r="T14" s="156"/>
      <c r="U14" s="6"/>
    </row>
    <row r="15" spans="1:21">
      <c r="A15" s="201" t="s">
        <v>2938</v>
      </c>
      <c r="B15" s="100">
        <v>13.11</v>
      </c>
      <c r="C15" s="100">
        <v>15.53</v>
      </c>
      <c r="D15" s="100">
        <v>18.63</v>
      </c>
      <c r="E15" s="100">
        <v>6.57</v>
      </c>
      <c r="F15" s="100">
        <v>0.04</v>
      </c>
      <c r="G15" s="100">
        <v>81.08</v>
      </c>
      <c r="H15" s="100">
        <v>42.5</v>
      </c>
      <c r="I15" s="100">
        <v>12.98</v>
      </c>
      <c r="J15" s="100">
        <v>0.13</v>
      </c>
      <c r="K15" s="100">
        <v>211.43</v>
      </c>
      <c r="L15" s="100">
        <v>17.48</v>
      </c>
      <c r="M15" s="100">
        <v>85.36</v>
      </c>
      <c r="N15" s="100">
        <v>1.7</v>
      </c>
      <c r="O15" s="100">
        <v>0</v>
      </c>
      <c r="P15" s="100">
        <v>0.75</v>
      </c>
      <c r="Q15" s="100">
        <v>9.32</v>
      </c>
      <c r="R15" s="6"/>
      <c r="S15" s="6"/>
      <c r="T15" s="156"/>
      <c r="U15" s="6"/>
    </row>
    <row r="16" spans="1:21">
      <c r="A16" s="201" t="s">
        <v>2939</v>
      </c>
      <c r="B16" s="100">
        <v>12.7</v>
      </c>
      <c r="C16" s="100">
        <v>15.03</v>
      </c>
      <c r="D16" s="100">
        <v>18.03</v>
      </c>
      <c r="E16" s="100">
        <v>6.15</v>
      </c>
      <c r="F16" s="100">
        <v>7.0000000000000007E-2</v>
      </c>
      <c r="G16" s="100">
        <v>81.08</v>
      </c>
      <c r="H16" s="100">
        <v>42.5</v>
      </c>
      <c r="I16" s="100">
        <v>12.89</v>
      </c>
      <c r="J16" s="100">
        <v>0.12</v>
      </c>
      <c r="K16" s="100">
        <v>203.72</v>
      </c>
      <c r="L16" s="100">
        <v>17.489999999999998</v>
      </c>
      <c r="M16" s="100">
        <v>83.51</v>
      </c>
      <c r="N16" s="100">
        <v>1.5</v>
      </c>
      <c r="O16" s="100">
        <v>0</v>
      </c>
      <c r="P16" s="100">
        <v>0.74</v>
      </c>
      <c r="Q16" s="100">
        <v>9.32</v>
      </c>
      <c r="R16" s="6"/>
      <c r="S16" s="6"/>
      <c r="T16" s="156"/>
      <c r="U16" s="6"/>
    </row>
    <row r="17" spans="1:21">
      <c r="A17" s="201" t="s">
        <v>2940</v>
      </c>
      <c r="B17" s="100">
        <v>12.2</v>
      </c>
      <c r="C17" s="100">
        <v>14.72</v>
      </c>
      <c r="D17" s="100">
        <v>17.47</v>
      </c>
      <c r="E17" s="100">
        <v>5.18</v>
      </c>
      <c r="F17" s="100">
        <v>0.18</v>
      </c>
      <c r="G17" s="100">
        <v>81.08</v>
      </c>
      <c r="H17" s="100">
        <v>42.5</v>
      </c>
      <c r="I17" s="100">
        <v>12.77</v>
      </c>
      <c r="J17" s="100">
        <v>0.1</v>
      </c>
      <c r="K17" s="100">
        <v>205.92</v>
      </c>
      <c r="L17" s="100">
        <v>17.399999999999999</v>
      </c>
      <c r="M17" s="100">
        <v>82.91</v>
      </c>
      <c r="N17" s="100">
        <v>1.5</v>
      </c>
      <c r="O17" s="100">
        <v>0</v>
      </c>
      <c r="P17" s="100">
        <v>0.72</v>
      </c>
      <c r="Q17" s="100">
        <v>9.32</v>
      </c>
      <c r="R17" s="6"/>
      <c r="S17" s="6"/>
      <c r="T17" s="156"/>
      <c r="U17" s="6"/>
    </row>
    <row r="18" spans="1:21">
      <c r="A18" s="201" t="s">
        <v>2941</v>
      </c>
      <c r="B18" s="100">
        <v>11.65</v>
      </c>
      <c r="C18" s="100">
        <v>14.56</v>
      </c>
      <c r="D18" s="100">
        <v>16.95</v>
      </c>
      <c r="E18" s="100">
        <v>6.18</v>
      </c>
      <c r="F18" s="100">
        <v>0.12</v>
      </c>
      <c r="G18" s="100">
        <v>73.48</v>
      </c>
      <c r="H18" s="100">
        <v>36.869999999999997</v>
      </c>
      <c r="I18" s="100">
        <v>12.58</v>
      </c>
      <c r="J18" s="100">
        <v>0.13</v>
      </c>
      <c r="K18" s="100">
        <v>215.35</v>
      </c>
      <c r="L18" s="100">
        <v>17.48</v>
      </c>
      <c r="M18" s="100">
        <v>83.02</v>
      </c>
      <c r="N18" s="100">
        <v>1.4</v>
      </c>
      <c r="O18" s="100">
        <v>0</v>
      </c>
      <c r="P18" s="100">
        <v>0.71</v>
      </c>
      <c r="Q18" s="100">
        <v>9.32</v>
      </c>
      <c r="R18" s="6"/>
      <c r="S18" s="6"/>
      <c r="T18" s="156"/>
      <c r="U18" s="6"/>
    </row>
    <row r="19" spans="1:21">
      <c r="A19" s="201" t="s">
        <v>2942</v>
      </c>
      <c r="B19" s="100">
        <v>11.71</v>
      </c>
      <c r="C19" s="100">
        <v>14.7</v>
      </c>
      <c r="D19" s="100">
        <v>17.07</v>
      </c>
      <c r="E19" s="100">
        <v>6.27</v>
      </c>
      <c r="F19" s="100">
        <v>0.01</v>
      </c>
      <c r="G19" s="100">
        <v>69.680000000000007</v>
      </c>
      <c r="H19" s="100">
        <v>36.299999999999997</v>
      </c>
      <c r="I19" s="100">
        <v>12.38</v>
      </c>
      <c r="J19" s="100">
        <v>0.1</v>
      </c>
      <c r="K19" s="100">
        <v>231</v>
      </c>
      <c r="L19" s="100">
        <v>17.350000000000001</v>
      </c>
      <c r="M19" s="100">
        <v>83.56</v>
      </c>
      <c r="N19" s="100">
        <v>1.7</v>
      </c>
      <c r="O19" s="100">
        <v>0</v>
      </c>
      <c r="P19" s="100">
        <v>0.7</v>
      </c>
      <c r="Q19" s="100">
        <v>9.32</v>
      </c>
      <c r="R19" s="6"/>
      <c r="S19" s="6"/>
      <c r="T19" s="156"/>
      <c r="U19" s="6"/>
    </row>
    <row r="20" spans="1:21">
      <c r="A20" s="201" t="s">
        <v>2943</v>
      </c>
      <c r="B20" s="100">
        <v>12.74</v>
      </c>
      <c r="C20" s="100">
        <v>15.11</v>
      </c>
      <c r="D20" s="100">
        <v>18.11</v>
      </c>
      <c r="E20" s="100">
        <v>6.06</v>
      </c>
      <c r="F20" s="100">
        <v>0.02</v>
      </c>
      <c r="G20" s="100">
        <v>69.680000000000007</v>
      </c>
      <c r="H20" s="100">
        <v>36.299999999999997</v>
      </c>
      <c r="I20" s="100">
        <v>12.34</v>
      </c>
      <c r="J20" s="100">
        <v>0.11</v>
      </c>
      <c r="K20" s="100">
        <v>300.77</v>
      </c>
      <c r="L20" s="100">
        <v>17.46</v>
      </c>
      <c r="M20" s="100">
        <v>83.24</v>
      </c>
      <c r="N20" s="100">
        <v>1.4</v>
      </c>
      <c r="O20" s="100">
        <v>0</v>
      </c>
      <c r="P20" s="100">
        <v>0.69</v>
      </c>
      <c r="Q20" s="100">
        <v>9.32</v>
      </c>
      <c r="R20" s="6"/>
      <c r="S20" s="6"/>
      <c r="T20" s="156"/>
      <c r="U20" s="6"/>
    </row>
    <row r="21" spans="1:21">
      <c r="A21" s="201" t="s">
        <v>2944</v>
      </c>
      <c r="B21" s="100">
        <v>13.53</v>
      </c>
      <c r="C21" s="100">
        <v>15.42</v>
      </c>
      <c r="D21" s="100">
        <v>18.91</v>
      </c>
      <c r="E21" s="100">
        <v>6.03</v>
      </c>
      <c r="F21" s="100">
        <v>0.03</v>
      </c>
      <c r="G21" s="100">
        <v>69.680000000000007</v>
      </c>
      <c r="H21" s="100">
        <v>36.299999999999997</v>
      </c>
      <c r="I21" s="100">
        <v>12.65</v>
      </c>
      <c r="J21" s="100">
        <v>0.12</v>
      </c>
      <c r="K21" s="100">
        <v>177.07</v>
      </c>
      <c r="L21" s="100">
        <v>17.5</v>
      </c>
      <c r="M21" s="100">
        <v>83.24</v>
      </c>
      <c r="N21" s="100">
        <v>1.5</v>
      </c>
      <c r="O21" s="100">
        <v>0</v>
      </c>
      <c r="P21" s="100">
        <v>0.69</v>
      </c>
      <c r="Q21" s="100">
        <v>9.32</v>
      </c>
      <c r="R21" s="6"/>
      <c r="S21" s="6"/>
      <c r="T21" s="156"/>
      <c r="U21" s="6"/>
    </row>
    <row r="22" spans="1:21">
      <c r="A22" s="201" t="s">
        <v>2945</v>
      </c>
      <c r="B22" s="100">
        <v>13.85</v>
      </c>
      <c r="C22" s="100">
        <v>15.65</v>
      </c>
      <c r="D22" s="100">
        <v>19.28</v>
      </c>
      <c r="E22" s="100">
        <v>6.05</v>
      </c>
      <c r="F22" s="100">
        <v>0.01</v>
      </c>
      <c r="G22" s="100">
        <v>69.709999999999994</v>
      </c>
      <c r="H22" s="100">
        <v>37.119999999999997</v>
      </c>
      <c r="I22" s="100">
        <v>12.94</v>
      </c>
      <c r="J22" s="100">
        <v>0.05</v>
      </c>
      <c r="K22" s="100">
        <v>205.14</v>
      </c>
      <c r="L22" s="100">
        <v>17.559999999999999</v>
      </c>
      <c r="M22" s="100">
        <v>82.46</v>
      </c>
      <c r="N22" s="100">
        <v>1.4</v>
      </c>
      <c r="O22" s="100">
        <v>0</v>
      </c>
      <c r="P22" s="100">
        <v>0.68</v>
      </c>
      <c r="Q22" s="100">
        <v>9.32</v>
      </c>
      <c r="R22" s="6"/>
      <c r="S22" s="6"/>
      <c r="T22" s="156"/>
      <c r="U22" s="6"/>
    </row>
    <row r="23" spans="1:21">
      <c r="A23" s="201" t="s">
        <v>2946</v>
      </c>
      <c r="B23" s="100">
        <v>14.22</v>
      </c>
      <c r="C23" s="100">
        <v>15.7</v>
      </c>
      <c r="D23" s="100">
        <v>19.600000000000001</v>
      </c>
      <c r="E23" s="100">
        <v>5.82</v>
      </c>
      <c r="F23" s="100">
        <v>0</v>
      </c>
      <c r="G23" s="100">
        <v>69.72</v>
      </c>
      <c r="H23" s="100">
        <v>37.21</v>
      </c>
      <c r="I23" s="100">
        <v>12.92</v>
      </c>
      <c r="J23" s="100">
        <v>0.19</v>
      </c>
      <c r="K23" s="100">
        <v>46.27</v>
      </c>
      <c r="L23" s="100">
        <v>17.63</v>
      </c>
      <c r="M23" s="100">
        <v>81.53</v>
      </c>
      <c r="N23" s="100">
        <v>1.3</v>
      </c>
      <c r="O23" s="100">
        <v>0</v>
      </c>
      <c r="P23" s="100">
        <v>0.68</v>
      </c>
      <c r="Q23" s="100">
        <v>9.32</v>
      </c>
      <c r="R23" s="6"/>
      <c r="S23" s="6"/>
      <c r="T23" s="156"/>
      <c r="U23" s="6"/>
    </row>
    <row r="24" spans="1:21">
      <c r="A24" s="201" t="s">
        <v>2947</v>
      </c>
      <c r="B24" s="100">
        <v>14.83</v>
      </c>
      <c r="C24" s="100">
        <v>15.83</v>
      </c>
      <c r="D24" s="100">
        <v>20.16</v>
      </c>
      <c r="E24" s="100">
        <v>6.08</v>
      </c>
      <c r="F24" s="100">
        <v>0.06</v>
      </c>
      <c r="G24" s="100">
        <v>69.72</v>
      </c>
      <c r="H24" s="100">
        <v>37.21</v>
      </c>
      <c r="I24" s="100">
        <v>12.82</v>
      </c>
      <c r="J24" s="100">
        <v>0.51</v>
      </c>
      <c r="K24" s="100">
        <v>45.08</v>
      </c>
      <c r="L24" s="100">
        <v>17.8</v>
      </c>
      <c r="M24" s="100">
        <v>80.12</v>
      </c>
      <c r="N24" s="100">
        <v>1.2</v>
      </c>
      <c r="O24" s="100">
        <v>0</v>
      </c>
      <c r="P24" s="100">
        <v>0.69</v>
      </c>
      <c r="Q24" s="100">
        <v>9.32</v>
      </c>
      <c r="R24" s="6"/>
      <c r="S24" s="6"/>
      <c r="T24" s="156"/>
      <c r="U24" s="6"/>
    </row>
    <row r="25" spans="1:21">
      <c r="A25" s="201" t="s">
        <v>2948</v>
      </c>
      <c r="B25" s="100">
        <v>15.08</v>
      </c>
      <c r="C25" s="100">
        <v>15.68</v>
      </c>
      <c r="D25" s="100">
        <v>20.28</v>
      </c>
      <c r="E25" s="100">
        <v>5.98</v>
      </c>
      <c r="F25" s="100">
        <v>7.0000000000000007E-2</v>
      </c>
      <c r="G25" s="100">
        <v>69.72</v>
      </c>
      <c r="H25" s="100">
        <v>37.21</v>
      </c>
      <c r="I25" s="100">
        <v>12.76</v>
      </c>
      <c r="J25" s="100">
        <v>0.64</v>
      </c>
      <c r="K25" s="100">
        <v>51.09</v>
      </c>
      <c r="L25" s="100">
        <v>17.850000000000001</v>
      </c>
      <c r="M25" s="100">
        <v>79.45</v>
      </c>
      <c r="N25" s="100">
        <v>1.3</v>
      </c>
      <c r="O25" s="100">
        <v>0</v>
      </c>
      <c r="P25" s="100">
        <v>0.69</v>
      </c>
      <c r="Q25" s="100">
        <v>9.32</v>
      </c>
      <c r="R25" s="6"/>
      <c r="S25" s="6"/>
      <c r="T25" s="156"/>
      <c r="U25" s="6"/>
    </row>
    <row r="26" spans="1:21">
      <c r="A26" s="201" t="s">
        <v>2949</v>
      </c>
      <c r="B26" s="100">
        <v>15.11</v>
      </c>
      <c r="C26" s="100">
        <v>15.69</v>
      </c>
      <c r="D26" s="100">
        <v>20.309999999999999</v>
      </c>
      <c r="E26" s="100">
        <v>6.11</v>
      </c>
      <c r="F26" s="100">
        <v>0.01</v>
      </c>
      <c r="G26" s="100">
        <v>74.2</v>
      </c>
      <c r="H26" s="100">
        <v>37.950000000000003</v>
      </c>
      <c r="I26" s="100">
        <v>12.72</v>
      </c>
      <c r="J26" s="100">
        <v>0.44</v>
      </c>
      <c r="K26" s="100">
        <v>51.73</v>
      </c>
      <c r="L26" s="100">
        <v>17.77</v>
      </c>
      <c r="M26" s="100">
        <v>79.03</v>
      </c>
      <c r="N26" s="100">
        <v>1.6</v>
      </c>
      <c r="O26" s="100">
        <v>0</v>
      </c>
      <c r="P26" s="100">
        <v>0.69</v>
      </c>
      <c r="Q26" s="100">
        <v>9.32</v>
      </c>
      <c r="R26" s="6"/>
      <c r="S26" s="6"/>
      <c r="T26" s="156"/>
      <c r="U26" s="6"/>
    </row>
    <row r="27" spans="1:21">
      <c r="A27" s="201" t="s">
        <v>2950</v>
      </c>
      <c r="B27" s="100">
        <v>15.27</v>
      </c>
      <c r="C27" s="100">
        <v>15.75</v>
      </c>
      <c r="D27" s="100">
        <v>20.47</v>
      </c>
      <c r="E27" s="100">
        <v>6.24</v>
      </c>
      <c r="F27" s="100">
        <v>0.03</v>
      </c>
      <c r="G27" s="100">
        <v>76.33</v>
      </c>
      <c r="H27" s="100">
        <v>38.21</v>
      </c>
      <c r="I27" s="100">
        <v>12.72</v>
      </c>
      <c r="J27" s="100">
        <v>0.05</v>
      </c>
      <c r="K27" s="100">
        <v>115.88</v>
      </c>
      <c r="L27" s="100">
        <v>17.54</v>
      </c>
      <c r="M27" s="100">
        <v>80.84</v>
      </c>
      <c r="N27" s="100">
        <v>1.9</v>
      </c>
      <c r="O27" s="100">
        <v>0</v>
      </c>
      <c r="P27" s="100">
        <v>0.69</v>
      </c>
      <c r="Q27" s="100">
        <v>9.32</v>
      </c>
      <c r="R27" s="6"/>
      <c r="S27" s="6"/>
      <c r="T27" s="156"/>
      <c r="U27" s="6"/>
    </row>
    <row r="28" spans="1:21">
      <c r="A28" s="201" t="s">
        <v>2951</v>
      </c>
      <c r="B28" s="100">
        <v>15.58</v>
      </c>
      <c r="C28" s="100">
        <v>15.85</v>
      </c>
      <c r="D28" s="100">
        <v>20.77</v>
      </c>
      <c r="E28" s="100">
        <v>5.94</v>
      </c>
      <c r="F28" s="100">
        <v>7.0000000000000007E-2</v>
      </c>
      <c r="G28" s="100">
        <v>76.33</v>
      </c>
      <c r="H28" s="100">
        <v>38.21</v>
      </c>
      <c r="I28" s="100">
        <v>12.78</v>
      </c>
      <c r="J28" s="100">
        <v>0.13</v>
      </c>
      <c r="K28" s="100">
        <v>15.83</v>
      </c>
      <c r="L28" s="100">
        <v>17.39</v>
      </c>
      <c r="M28" s="100">
        <v>81.93</v>
      </c>
      <c r="N28" s="100">
        <v>1.6</v>
      </c>
      <c r="O28" s="100">
        <v>0</v>
      </c>
      <c r="P28" s="100">
        <v>0.71</v>
      </c>
      <c r="Q28" s="100">
        <v>9.32</v>
      </c>
      <c r="R28" s="6"/>
      <c r="S28" s="6"/>
      <c r="T28" s="156"/>
      <c r="U28" s="6"/>
    </row>
    <row r="29" spans="1:21">
      <c r="A29" s="201" t="s">
        <v>2952</v>
      </c>
      <c r="B29" s="100">
        <v>16.239999999999998</v>
      </c>
      <c r="C29" s="100">
        <v>15.75</v>
      </c>
      <c r="D29" s="100">
        <v>21.25</v>
      </c>
      <c r="E29" s="100">
        <v>5.76</v>
      </c>
      <c r="F29" s="100">
        <v>0.01</v>
      </c>
      <c r="G29" s="100">
        <v>76.33</v>
      </c>
      <c r="H29" s="100">
        <v>38.21</v>
      </c>
      <c r="I29" s="100">
        <v>12.82</v>
      </c>
      <c r="J29" s="100">
        <v>0.16</v>
      </c>
      <c r="K29" s="100">
        <v>53.01</v>
      </c>
      <c r="L29" s="100">
        <v>17.37</v>
      </c>
      <c r="M29" s="100">
        <v>81.81</v>
      </c>
      <c r="N29" s="100">
        <v>1.5</v>
      </c>
      <c r="O29" s="100">
        <v>0</v>
      </c>
      <c r="P29" s="100">
        <v>0.71</v>
      </c>
      <c r="Q29" s="100">
        <v>9.32</v>
      </c>
      <c r="R29" s="6"/>
      <c r="S29" s="6"/>
      <c r="T29" s="156"/>
      <c r="U29" s="6"/>
    </row>
    <row r="30" spans="1:21">
      <c r="A30" s="201" t="s">
        <v>2953</v>
      </c>
      <c r="B30" s="100">
        <v>16.98</v>
      </c>
      <c r="C30" s="100">
        <v>15.83</v>
      </c>
      <c r="D30" s="100">
        <v>21.89</v>
      </c>
      <c r="E30" s="100">
        <v>5.91</v>
      </c>
      <c r="F30" s="100">
        <v>0.04</v>
      </c>
      <c r="G30" s="100">
        <v>81.38</v>
      </c>
      <c r="H30" s="100">
        <v>40.28</v>
      </c>
      <c r="I30" s="100">
        <v>12.84</v>
      </c>
      <c r="J30" s="100">
        <v>0.21</v>
      </c>
      <c r="K30" s="100">
        <v>54.03</v>
      </c>
      <c r="L30" s="100">
        <v>17.420000000000002</v>
      </c>
      <c r="M30" s="100">
        <v>81.040000000000006</v>
      </c>
      <c r="N30" s="100">
        <v>1.5</v>
      </c>
      <c r="O30" s="100">
        <v>0</v>
      </c>
      <c r="P30" s="100">
        <v>0.71</v>
      </c>
      <c r="Q30" s="100">
        <v>9.32</v>
      </c>
      <c r="R30" s="6"/>
      <c r="S30" s="6"/>
      <c r="T30" s="156"/>
      <c r="U30" s="6"/>
    </row>
    <row r="31" spans="1:21">
      <c r="A31" s="201" t="s">
        <v>2954</v>
      </c>
      <c r="B31" s="100">
        <v>17.57</v>
      </c>
      <c r="C31" s="100">
        <v>15.98</v>
      </c>
      <c r="D31" s="100">
        <v>22.44</v>
      </c>
      <c r="E31" s="100">
        <v>5.9</v>
      </c>
      <c r="F31" s="100">
        <v>0.1</v>
      </c>
      <c r="G31" s="100">
        <v>83.78</v>
      </c>
      <c r="H31" s="100">
        <v>40.520000000000003</v>
      </c>
      <c r="I31" s="100">
        <v>12.84</v>
      </c>
      <c r="J31" s="100">
        <v>0.15</v>
      </c>
      <c r="K31" s="100">
        <v>48.57</v>
      </c>
      <c r="L31" s="100">
        <v>17.350000000000001</v>
      </c>
      <c r="M31" s="100">
        <v>81.55</v>
      </c>
      <c r="N31" s="100">
        <v>1.5</v>
      </c>
      <c r="O31" s="100">
        <v>0</v>
      </c>
      <c r="P31" s="100">
        <v>0.71</v>
      </c>
      <c r="Q31" s="100">
        <v>9.32</v>
      </c>
      <c r="R31" s="6"/>
      <c r="S31" s="6"/>
      <c r="T31" s="156"/>
      <c r="U31" s="6"/>
    </row>
    <row r="32" spans="1:21">
      <c r="A32" s="201" t="s">
        <v>2955</v>
      </c>
      <c r="B32" s="100">
        <v>18.239999999999998</v>
      </c>
      <c r="C32" s="100">
        <v>16.12</v>
      </c>
      <c r="D32" s="100">
        <v>23.05</v>
      </c>
      <c r="E32" s="100">
        <v>5.93</v>
      </c>
      <c r="F32" s="100">
        <v>0.1</v>
      </c>
      <c r="G32" s="100">
        <v>83.78</v>
      </c>
      <c r="H32" s="100">
        <v>40.520000000000003</v>
      </c>
      <c r="I32" s="100">
        <v>12.87</v>
      </c>
      <c r="J32" s="100">
        <v>0.11</v>
      </c>
      <c r="K32" s="100">
        <v>95.5</v>
      </c>
      <c r="L32" s="100">
        <v>17.309999999999999</v>
      </c>
      <c r="M32" s="100">
        <v>82.25</v>
      </c>
      <c r="N32" s="100">
        <v>1.6</v>
      </c>
      <c r="O32" s="100">
        <v>0</v>
      </c>
      <c r="P32" s="100">
        <v>0.72</v>
      </c>
      <c r="Q32" s="100">
        <v>9.32</v>
      </c>
      <c r="R32" s="6"/>
      <c r="S32" s="6"/>
      <c r="T32" s="156"/>
      <c r="U32" s="6"/>
    </row>
    <row r="33" spans="1:21">
      <c r="A33" s="201" t="s">
        <v>2956</v>
      </c>
      <c r="B33" s="100">
        <v>19.190000000000001</v>
      </c>
      <c r="C33" s="100">
        <v>16.12</v>
      </c>
      <c r="D33" s="100">
        <v>23.81</v>
      </c>
      <c r="E33" s="100">
        <v>5.86</v>
      </c>
      <c r="F33" s="100">
        <v>0.14000000000000001</v>
      </c>
      <c r="G33" s="100">
        <v>83.78</v>
      </c>
      <c r="H33" s="100">
        <v>40.520000000000003</v>
      </c>
      <c r="I33" s="100">
        <v>12.93</v>
      </c>
      <c r="J33" s="100">
        <v>0.15</v>
      </c>
      <c r="K33" s="100">
        <v>47.38</v>
      </c>
      <c r="L33" s="100">
        <v>17.22</v>
      </c>
      <c r="M33" s="100">
        <v>82.61</v>
      </c>
      <c r="N33" s="100">
        <v>2.1</v>
      </c>
      <c r="O33" s="100">
        <v>0</v>
      </c>
      <c r="P33" s="100">
        <v>0.74</v>
      </c>
      <c r="Q33" s="100">
        <v>9.32</v>
      </c>
      <c r="R33" s="6"/>
      <c r="S33" s="6"/>
      <c r="T33" s="156"/>
      <c r="U33" s="6"/>
    </row>
    <row r="34" spans="1:21">
      <c r="A34" s="201" t="s">
        <v>2957</v>
      </c>
      <c r="B34" s="100">
        <v>20.149999999999999</v>
      </c>
      <c r="C34" s="100">
        <v>16.399999999999999</v>
      </c>
      <c r="D34" s="100">
        <v>24.73</v>
      </c>
      <c r="E34" s="100">
        <v>5.64</v>
      </c>
      <c r="F34" s="100">
        <v>0.01</v>
      </c>
      <c r="G34" s="100">
        <v>93.85</v>
      </c>
      <c r="H34" s="100">
        <v>44.59</v>
      </c>
      <c r="I34" s="100">
        <v>13</v>
      </c>
      <c r="J34" s="100">
        <v>0.13</v>
      </c>
      <c r="K34" s="100">
        <v>53.46</v>
      </c>
      <c r="L34" s="100">
        <v>17.25</v>
      </c>
      <c r="M34" s="100">
        <v>82.52</v>
      </c>
      <c r="N34" s="100">
        <v>4.5999999999999996</v>
      </c>
      <c r="O34" s="100">
        <v>0</v>
      </c>
      <c r="P34" s="100">
        <v>0.76</v>
      </c>
      <c r="Q34" s="100">
        <v>9.32</v>
      </c>
      <c r="R34" s="6"/>
      <c r="S34" s="6"/>
      <c r="T34" s="156"/>
      <c r="U34" s="6"/>
    </row>
    <row r="35" spans="1:21">
      <c r="A35" s="201" t="s">
        <v>2958</v>
      </c>
      <c r="B35" s="100">
        <v>20.72</v>
      </c>
      <c r="C35" s="100">
        <v>16.399999999999999</v>
      </c>
      <c r="D35" s="100">
        <v>25.18</v>
      </c>
      <c r="E35" s="100">
        <v>5.68</v>
      </c>
      <c r="F35" s="100">
        <v>0.02</v>
      </c>
      <c r="G35" s="100">
        <v>98.64</v>
      </c>
      <c r="H35" s="100">
        <v>45</v>
      </c>
      <c r="I35" s="100">
        <v>13.13</v>
      </c>
      <c r="J35" s="100">
        <v>0.14000000000000001</v>
      </c>
      <c r="K35" s="100">
        <v>160.47999999999999</v>
      </c>
      <c r="L35" s="100">
        <v>17.13</v>
      </c>
      <c r="M35" s="100">
        <v>83.62</v>
      </c>
      <c r="N35" s="100">
        <v>11.1</v>
      </c>
      <c r="O35" s="100">
        <v>0</v>
      </c>
      <c r="P35" s="100">
        <v>0.76</v>
      </c>
      <c r="Q35" s="100">
        <v>9.32</v>
      </c>
      <c r="R35" s="6"/>
      <c r="S35" s="6"/>
      <c r="T35" s="156"/>
      <c r="U35" s="6"/>
    </row>
    <row r="36" spans="1:21">
      <c r="A36" s="201" t="s">
        <v>2959</v>
      </c>
      <c r="B36" s="100">
        <v>20.8</v>
      </c>
      <c r="C36" s="100">
        <v>16.309999999999999</v>
      </c>
      <c r="D36" s="100">
        <v>25.2</v>
      </c>
      <c r="E36" s="100">
        <v>5.91</v>
      </c>
      <c r="F36" s="100">
        <v>0.01</v>
      </c>
      <c r="G36" s="100">
        <v>98.64</v>
      </c>
      <c r="H36" s="100">
        <v>45</v>
      </c>
      <c r="I36" s="100">
        <v>13.53</v>
      </c>
      <c r="J36" s="100">
        <v>0.16</v>
      </c>
      <c r="K36" s="100">
        <v>200.36</v>
      </c>
      <c r="L36" s="100">
        <v>17.100000000000001</v>
      </c>
      <c r="M36" s="100">
        <v>85.28</v>
      </c>
      <c r="N36" s="100">
        <v>23.2</v>
      </c>
      <c r="O36" s="100">
        <v>0</v>
      </c>
      <c r="P36" s="100">
        <v>0.79</v>
      </c>
      <c r="Q36" s="100">
        <v>9.32</v>
      </c>
      <c r="R36" s="6"/>
      <c r="S36" s="6"/>
      <c r="T36" s="156"/>
      <c r="U36" s="6"/>
    </row>
    <row r="37" spans="1:21">
      <c r="A37" s="201" t="s">
        <v>2960</v>
      </c>
      <c r="B37" s="100">
        <v>20.81</v>
      </c>
      <c r="C37" s="100">
        <v>16.18</v>
      </c>
      <c r="D37" s="100">
        <v>25.15</v>
      </c>
      <c r="E37" s="100">
        <v>6</v>
      </c>
      <c r="F37" s="100">
        <v>7.0000000000000007E-2</v>
      </c>
      <c r="G37" s="100">
        <v>98.64</v>
      </c>
      <c r="H37" s="100">
        <v>45</v>
      </c>
      <c r="I37" s="100">
        <v>13.95</v>
      </c>
      <c r="J37" s="100">
        <v>0.02</v>
      </c>
      <c r="K37" s="100">
        <v>157.63</v>
      </c>
      <c r="L37" s="100">
        <v>17.510000000000002</v>
      </c>
      <c r="M37" s="100">
        <v>84.54</v>
      </c>
      <c r="N37" s="100">
        <v>35.4</v>
      </c>
      <c r="O37" s="100">
        <v>0</v>
      </c>
      <c r="P37" s="100">
        <v>0.79</v>
      </c>
      <c r="Q37" s="100">
        <v>9.32</v>
      </c>
      <c r="R37" s="6"/>
      <c r="S37" s="6"/>
      <c r="T37" s="156"/>
      <c r="U37" s="6"/>
    </row>
    <row r="38" spans="1:21">
      <c r="A38" s="201" t="s">
        <v>2961</v>
      </c>
      <c r="B38" s="100">
        <v>21.06</v>
      </c>
      <c r="C38" s="100">
        <v>16.260000000000002</v>
      </c>
      <c r="D38" s="100">
        <v>25.38</v>
      </c>
      <c r="E38" s="100">
        <v>5.74</v>
      </c>
      <c r="F38" s="100">
        <v>0.03</v>
      </c>
      <c r="G38" s="100">
        <v>109.89</v>
      </c>
      <c r="H38" s="100">
        <v>48.33</v>
      </c>
      <c r="I38" s="100">
        <v>14.11</v>
      </c>
      <c r="J38" s="100">
        <v>0.44</v>
      </c>
      <c r="K38" s="100">
        <v>32.950000000000003</v>
      </c>
      <c r="L38" s="100">
        <v>18.03</v>
      </c>
      <c r="M38" s="100">
        <v>79.959999999999994</v>
      </c>
      <c r="N38" s="100">
        <v>49</v>
      </c>
      <c r="O38" s="100">
        <v>0</v>
      </c>
      <c r="P38" s="100">
        <v>0.81</v>
      </c>
      <c r="Q38" s="100">
        <v>9.32</v>
      </c>
      <c r="R38" s="6"/>
      <c r="S38" s="6"/>
      <c r="T38" s="156"/>
      <c r="U38" s="6"/>
    </row>
    <row r="39" spans="1:21">
      <c r="A39" s="201" t="s">
        <v>2962</v>
      </c>
      <c r="B39" s="100">
        <v>21.11</v>
      </c>
      <c r="C39" s="100">
        <v>16.489999999999998</v>
      </c>
      <c r="D39" s="100">
        <v>25.54</v>
      </c>
      <c r="E39" s="100">
        <v>6.16</v>
      </c>
      <c r="F39" s="100">
        <v>7.0000000000000007E-2</v>
      </c>
      <c r="G39" s="100">
        <v>115.23</v>
      </c>
      <c r="H39" s="100">
        <v>48.66</v>
      </c>
      <c r="I39" s="100">
        <v>14.23</v>
      </c>
      <c r="J39" s="100">
        <v>0.46</v>
      </c>
      <c r="K39" s="100">
        <v>37</v>
      </c>
      <c r="L39" s="100">
        <v>18.510000000000002</v>
      </c>
      <c r="M39" s="100">
        <v>77.180000000000007</v>
      </c>
      <c r="N39" s="100">
        <v>64.8</v>
      </c>
      <c r="O39" s="100">
        <v>0</v>
      </c>
      <c r="P39" s="100">
        <v>0.83</v>
      </c>
      <c r="Q39" s="100">
        <v>9.32</v>
      </c>
      <c r="R39" s="6"/>
      <c r="S39" s="6"/>
      <c r="T39" s="156"/>
      <c r="U39" s="6"/>
    </row>
    <row r="40" spans="1:21">
      <c r="A40" s="201" t="s">
        <v>2963</v>
      </c>
      <c r="B40" s="100">
        <v>20.9</v>
      </c>
      <c r="C40" s="100">
        <v>16.989999999999998</v>
      </c>
      <c r="D40" s="100">
        <v>25.64</v>
      </c>
      <c r="E40" s="100">
        <v>6.03</v>
      </c>
      <c r="F40" s="100">
        <v>0.08</v>
      </c>
      <c r="G40" s="100">
        <v>115.23</v>
      </c>
      <c r="H40" s="100">
        <v>48.66</v>
      </c>
      <c r="I40" s="100">
        <v>14.35</v>
      </c>
      <c r="J40" s="100">
        <v>0.5</v>
      </c>
      <c r="K40" s="100">
        <v>42.81</v>
      </c>
      <c r="L40" s="100">
        <v>19.11</v>
      </c>
      <c r="M40" s="100">
        <v>74.59</v>
      </c>
      <c r="N40" s="100">
        <v>101.7</v>
      </c>
      <c r="O40" s="100">
        <v>0</v>
      </c>
      <c r="P40" s="100">
        <v>0.84</v>
      </c>
      <c r="Q40" s="100">
        <v>9.32</v>
      </c>
      <c r="R40" s="6"/>
      <c r="S40" s="6"/>
      <c r="T40" s="156"/>
      <c r="U40" s="6"/>
    </row>
    <row r="41" spans="1:21">
      <c r="A41" s="201" t="s">
        <v>2964</v>
      </c>
      <c r="B41" s="100">
        <v>20.63</v>
      </c>
      <c r="C41" s="100">
        <v>17.75</v>
      </c>
      <c r="D41" s="100">
        <v>25.82</v>
      </c>
      <c r="E41" s="100">
        <v>6.02</v>
      </c>
      <c r="F41" s="100">
        <v>0.08</v>
      </c>
      <c r="G41" s="100">
        <v>115.23</v>
      </c>
      <c r="H41" s="100">
        <v>48.66</v>
      </c>
      <c r="I41" s="100">
        <v>14.5</v>
      </c>
      <c r="J41" s="100">
        <v>0.46</v>
      </c>
      <c r="K41" s="100">
        <v>45.54</v>
      </c>
      <c r="L41" s="100">
        <v>19.82</v>
      </c>
      <c r="M41" s="100">
        <v>70.73</v>
      </c>
      <c r="N41" s="100">
        <v>164.1</v>
      </c>
      <c r="O41" s="100">
        <v>0</v>
      </c>
      <c r="P41" s="100">
        <v>0.86</v>
      </c>
      <c r="Q41" s="100">
        <v>9.32</v>
      </c>
      <c r="R41" s="6"/>
      <c r="S41" s="6"/>
      <c r="T41" s="156"/>
      <c r="U41" s="6"/>
    </row>
    <row r="42" spans="1:21">
      <c r="A42" s="201" t="s">
        <v>2965</v>
      </c>
      <c r="B42" s="100">
        <v>20.11</v>
      </c>
      <c r="C42" s="100">
        <v>18.09</v>
      </c>
      <c r="D42" s="100">
        <v>25.58</v>
      </c>
      <c r="E42" s="100">
        <v>5.72</v>
      </c>
      <c r="F42" s="100">
        <v>0.16</v>
      </c>
      <c r="G42" s="100">
        <v>122.26</v>
      </c>
      <c r="H42" s="100">
        <v>55.75</v>
      </c>
      <c r="I42" s="100">
        <v>14.69</v>
      </c>
      <c r="J42" s="100">
        <v>0.8</v>
      </c>
      <c r="K42" s="100">
        <v>50.46</v>
      </c>
      <c r="L42" s="100">
        <v>20.37</v>
      </c>
      <c r="M42" s="100">
        <v>68.48</v>
      </c>
      <c r="N42" s="100">
        <v>213</v>
      </c>
      <c r="O42" s="100">
        <v>0</v>
      </c>
      <c r="P42" s="100">
        <v>0.86</v>
      </c>
      <c r="Q42" s="100">
        <v>9.32</v>
      </c>
      <c r="R42" s="6"/>
      <c r="S42" s="6"/>
      <c r="T42" s="156"/>
      <c r="U42" s="6"/>
    </row>
    <row r="43" spans="1:21">
      <c r="A43" s="201" t="s">
        <v>2966</v>
      </c>
      <c r="B43" s="100">
        <v>19.61</v>
      </c>
      <c r="C43" s="100">
        <v>18.16</v>
      </c>
      <c r="D43" s="100">
        <v>25.22</v>
      </c>
      <c r="E43" s="100">
        <v>5.88</v>
      </c>
      <c r="F43" s="100">
        <v>0.13</v>
      </c>
      <c r="G43" s="100">
        <v>125.6</v>
      </c>
      <c r="H43" s="100">
        <v>56.46</v>
      </c>
      <c r="I43" s="100">
        <v>14.85</v>
      </c>
      <c r="J43" s="100">
        <v>0.93</v>
      </c>
      <c r="K43" s="100">
        <v>50.31</v>
      </c>
      <c r="L43" s="100">
        <v>21.18</v>
      </c>
      <c r="M43" s="100">
        <v>65.180000000000007</v>
      </c>
      <c r="N43" s="100">
        <v>255.6</v>
      </c>
      <c r="O43" s="100">
        <v>0</v>
      </c>
      <c r="P43" s="100">
        <v>0.87</v>
      </c>
      <c r="Q43" s="100">
        <v>9.32</v>
      </c>
      <c r="R43" s="6"/>
      <c r="S43" s="6"/>
      <c r="T43" s="156"/>
      <c r="U43" s="6"/>
    </row>
    <row r="44" spans="1:21">
      <c r="A44" s="201" t="s">
        <v>2967</v>
      </c>
      <c r="B44" s="100">
        <v>19.010000000000002</v>
      </c>
      <c r="C44" s="100">
        <v>18.170000000000002</v>
      </c>
      <c r="D44" s="100">
        <v>24.74</v>
      </c>
      <c r="E44" s="100">
        <v>5.87</v>
      </c>
      <c r="F44" s="100">
        <v>0.27</v>
      </c>
      <c r="G44" s="100">
        <v>125.6</v>
      </c>
      <c r="H44" s="100">
        <v>56.46</v>
      </c>
      <c r="I44" s="100">
        <v>14.93</v>
      </c>
      <c r="J44" s="100">
        <v>1.08</v>
      </c>
      <c r="K44" s="100">
        <v>41.64</v>
      </c>
      <c r="L44" s="100">
        <v>22.05</v>
      </c>
      <c r="M44" s="100">
        <v>61.03</v>
      </c>
      <c r="N44" s="100">
        <v>292.2</v>
      </c>
      <c r="O44" s="100">
        <v>0</v>
      </c>
      <c r="P44" s="100">
        <v>0.87</v>
      </c>
      <c r="Q44" s="100">
        <v>9.32</v>
      </c>
      <c r="R44" s="6"/>
      <c r="S44" s="6"/>
      <c r="T44" s="156"/>
      <c r="U44" s="6"/>
    </row>
    <row r="45" spans="1:21">
      <c r="A45" s="201" t="s">
        <v>2968</v>
      </c>
      <c r="B45" s="100">
        <v>18.149999999999999</v>
      </c>
      <c r="C45" s="100">
        <v>18.329999999999998</v>
      </c>
      <c r="D45" s="100">
        <v>24.13</v>
      </c>
      <c r="E45" s="100">
        <v>6.15</v>
      </c>
      <c r="F45" s="100">
        <v>0.2</v>
      </c>
      <c r="G45" s="100">
        <v>125.6</v>
      </c>
      <c r="H45" s="100">
        <v>56.46</v>
      </c>
      <c r="I45" s="100">
        <v>14.98</v>
      </c>
      <c r="J45" s="100">
        <v>0.98</v>
      </c>
      <c r="K45" s="100">
        <v>50.36</v>
      </c>
      <c r="L45" s="100">
        <v>22.88</v>
      </c>
      <c r="M45" s="100">
        <v>57.65</v>
      </c>
      <c r="N45" s="100">
        <v>179.6</v>
      </c>
      <c r="O45" s="100">
        <v>0</v>
      </c>
      <c r="P45" s="100">
        <v>0.86</v>
      </c>
      <c r="Q45" s="100">
        <v>9.32</v>
      </c>
      <c r="R45" s="6"/>
      <c r="S45" s="6"/>
      <c r="T45" s="156"/>
      <c r="U45" s="6"/>
    </row>
    <row r="46" spans="1:21">
      <c r="A46" s="201" t="s">
        <v>2969</v>
      </c>
      <c r="B46" s="100">
        <v>17.170000000000002</v>
      </c>
      <c r="C46" s="100">
        <v>18.600000000000001</v>
      </c>
      <c r="D46" s="100">
        <v>23.48</v>
      </c>
      <c r="E46" s="100">
        <v>6.36</v>
      </c>
      <c r="F46" s="100">
        <v>0.09</v>
      </c>
      <c r="G46" s="100">
        <v>117.33</v>
      </c>
      <c r="H46" s="100">
        <v>49.56</v>
      </c>
      <c r="I46" s="100">
        <v>14.96</v>
      </c>
      <c r="J46" s="100">
        <v>0.56999999999999995</v>
      </c>
      <c r="K46" s="100">
        <v>47.77</v>
      </c>
      <c r="L46" s="100">
        <v>23.94</v>
      </c>
      <c r="M46" s="100">
        <v>55.29</v>
      </c>
      <c r="N46" s="100">
        <v>190.9</v>
      </c>
      <c r="O46" s="100">
        <v>0</v>
      </c>
      <c r="P46" s="100">
        <v>0.85</v>
      </c>
      <c r="Q46" s="100">
        <v>9.32</v>
      </c>
      <c r="R46" s="6"/>
      <c r="S46" s="6"/>
      <c r="T46" s="156"/>
      <c r="U46" s="6"/>
    </row>
    <row r="47" spans="1:21">
      <c r="A47" s="201" t="s">
        <v>2970</v>
      </c>
      <c r="B47" s="100">
        <v>16.2</v>
      </c>
      <c r="C47" s="100">
        <v>18.72</v>
      </c>
      <c r="D47" s="100">
        <v>22.77</v>
      </c>
      <c r="E47" s="100">
        <v>6.37</v>
      </c>
      <c r="F47" s="100">
        <v>0.32</v>
      </c>
      <c r="G47" s="100">
        <v>113.4</v>
      </c>
      <c r="H47" s="100">
        <v>48.86</v>
      </c>
      <c r="I47" s="100">
        <v>14.9</v>
      </c>
      <c r="J47" s="100">
        <v>0.36</v>
      </c>
      <c r="K47" s="100">
        <v>115.38</v>
      </c>
      <c r="L47" s="100">
        <v>25.25</v>
      </c>
      <c r="M47" s="100">
        <v>51.18</v>
      </c>
      <c r="N47" s="100">
        <v>229.1</v>
      </c>
      <c r="O47" s="100">
        <v>0</v>
      </c>
      <c r="P47" s="100">
        <v>0.84</v>
      </c>
      <c r="Q47" s="100">
        <v>9.32</v>
      </c>
      <c r="R47" s="6"/>
      <c r="S47" s="6"/>
      <c r="T47" s="156"/>
      <c r="U47" s="6"/>
    </row>
    <row r="48" spans="1:21">
      <c r="A48" s="201" t="s">
        <v>2971</v>
      </c>
      <c r="B48" s="100">
        <v>15.01</v>
      </c>
      <c r="C48" s="100">
        <v>18.87</v>
      </c>
      <c r="D48" s="100">
        <v>21.9</v>
      </c>
      <c r="E48" s="100">
        <v>6.37</v>
      </c>
      <c r="F48" s="100">
        <v>0.24</v>
      </c>
      <c r="G48" s="100">
        <v>113.4</v>
      </c>
      <c r="H48" s="100">
        <v>48.86</v>
      </c>
      <c r="I48" s="100">
        <v>14.8</v>
      </c>
      <c r="J48" s="100">
        <v>0.64</v>
      </c>
      <c r="K48" s="100">
        <v>44.92</v>
      </c>
      <c r="L48" s="100">
        <v>25.53</v>
      </c>
      <c r="M48" s="100">
        <v>49.75</v>
      </c>
      <c r="N48" s="100">
        <v>362</v>
      </c>
      <c r="O48" s="100">
        <v>0</v>
      </c>
      <c r="P48" s="100">
        <v>0.83</v>
      </c>
      <c r="Q48" s="100">
        <v>9.32</v>
      </c>
      <c r="R48" s="6"/>
      <c r="S48" s="6"/>
      <c r="T48" s="156"/>
      <c r="U48" s="6"/>
    </row>
    <row r="49" spans="1:21">
      <c r="A49" s="201" t="s">
        <v>2972</v>
      </c>
      <c r="B49" s="100">
        <v>13.86</v>
      </c>
      <c r="C49" s="100">
        <v>18.98</v>
      </c>
      <c r="D49" s="100">
        <v>21.03</v>
      </c>
      <c r="E49" s="100">
        <v>4.49</v>
      </c>
      <c r="F49" s="100">
        <v>0.37</v>
      </c>
      <c r="G49" s="100">
        <v>113.4</v>
      </c>
      <c r="H49" s="100">
        <v>48.86</v>
      </c>
      <c r="I49" s="100">
        <v>14.65</v>
      </c>
      <c r="J49" s="100">
        <v>0.63</v>
      </c>
      <c r="K49" s="100">
        <v>54.02</v>
      </c>
      <c r="L49" s="100">
        <v>26.1</v>
      </c>
      <c r="M49" s="100">
        <v>47.97</v>
      </c>
      <c r="N49" s="100">
        <v>470.4</v>
      </c>
      <c r="O49" s="100">
        <v>0</v>
      </c>
      <c r="P49" s="100">
        <v>0.82</v>
      </c>
      <c r="Q49" s="100">
        <v>9.32</v>
      </c>
      <c r="R49" s="6"/>
      <c r="S49" s="6"/>
      <c r="T49" s="156"/>
      <c r="U49" s="6"/>
    </row>
    <row r="50" spans="1:21">
      <c r="A50" s="201" t="s">
        <v>2973</v>
      </c>
      <c r="B50" s="100">
        <v>12.82</v>
      </c>
      <c r="C50" s="100">
        <v>19.170000000000002</v>
      </c>
      <c r="D50" s="100">
        <v>20.29</v>
      </c>
      <c r="E50" s="100">
        <v>5.34</v>
      </c>
      <c r="F50" s="100">
        <v>0.83</v>
      </c>
      <c r="G50" s="100">
        <v>106.84</v>
      </c>
      <c r="H50" s="100">
        <v>45.49</v>
      </c>
      <c r="I50" s="100">
        <v>14.53</v>
      </c>
      <c r="J50" s="100">
        <v>0.72</v>
      </c>
      <c r="K50" s="100">
        <v>41.63</v>
      </c>
      <c r="L50" s="100">
        <v>26.28</v>
      </c>
      <c r="M50" s="100">
        <v>47.25</v>
      </c>
      <c r="N50" s="100">
        <v>490.3</v>
      </c>
      <c r="O50" s="100">
        <v>0</v>
      </c>
      <c r="P50" s="100">
        <v>0.82</v>
      </c>
      <c r="Q50" s="100">
        <v>9.32</v>
      </c>
      <c r="R50" s="6"/>
      <c r="S50" s="6"/>
      <c r="T50" s="156"/>
      <c r="U50" s="6"/>
    </row>
    <row r="51" spans="1:21">
      <c r="A51" s="201" t="s">
        <v>2974</v>
      </c>
      <c r="B51" s="100">
        <v>12.07</v>
      </c>
      <c r="C51" s="100">
        <v>19.010000000000002</v>
      </c>
      <c r="D51" s="100">
        <v>19.61</v>
      </c>
      <c r="E51" s="100">
        <v>5.87</v>
      </c>
      <c r="F51" s="100">
        <v>0.95</v>
      </c>
      <c r="G51" s="100">
        <v>103.72</v>
      </c>
      <c r="H51" s="100">
        <v>44.89</v>
      </c>
      <c r="I51" s="100">
        <v>14.41</v>
      </c>
      <c r="J51" s="100">
        <v>0.49</v>
      </c>
      <c r="K51" s="100">
        <v>69.56</v>
      </c>
      <c r="L51" s="100">
        <v>27.3</v>
      </c>
      <c r="M51" s="100">
        <v>43.56</v>
      </c>
      <c r="N51" s="100">
        <v>516.9</v>
      </c>
      <c r="O51" s="100">
        <v>0</v>
      </c>
      <c r="P51" s="100">
        <v>0.83</v>
      </c>
      <c r="Q51" s="100">
        <v>9.32</v>
      </c>
      <c r="R51" s="6"/>
      <c r="S51" s="6"/>
      <c r="T51" s="156"/>
      <c r="U51" s="6"/>
    </row>
    <row r="52" spans="1:21">
      <c r="A52" s="201" t="s">
        <v>2975</v>
      </c>
      <c r="B52" s="100">
        <v>11.29</v>
      </c>
      <c r="C52" s="100">
        <v>18.75</v>
      </c>
      <c r="D52" s="100">
        <v>18.850000000000001</v>
      </c>
      <c r="E52" s="100">
        <v>5.97</v>
      </c>
      <c r="F52" s="100">
        <v>1.85</v>
      </c>
      <c r="G52" s="100">
        <v>103.72</v>
      </c>
      <c r="H52" s="100">
        <v>44.89</v>
      </c>
      <c r="I52" s="100">
        <v>14.09</v>
      </c>
      <c r="J52" s="100">
        <v>0.83</v>
      </c>
      <c r="K52" s="100">
        <v>38.549999999999997</v>
      </c>
      <c r="L52" s="100">
        <v>27.61</v>
      </c>
      <c r="M52" s="100">
        <v>41.32</v>
      </c>
      <c r="N52" s="100">
        <v>506</v>
      </c>
      <c r="O52" s="100">
        <v>0</v>
      </c>
      <c r="P52" s="100">
        <v>0.81</v>
      </c>
      <c r="Q52" s="100">
        <v>9.32</v>
      </c>
      <c r="R52" s="6"/>
      <c r="S52" s="6"/>
      <c r="T52" s="156"/>
      <c r="U52" s="6"/>
    </row>
    <row r="53" spans="1:21">
      <c r="A53" s="201" t="s">
        <v>2976</v>
      </c>
      <c r="B53" s="100">
        <v>10.43</v>
      </c>
      <c r="C53" s="100">
        <v>18.489999999999998</v>
      </c>
      <c r="D53" s="100">
        <v>18.02</v>
      </c>
      <c r="E53" s="100">
        <v>6.12</v>
      </c>
      <c r="F53" s="100">
        <v>1.88</v>
      </c>
      <c r="G53" s="100">
        <v>103.72</v>
      </c>
      <c r="H53" s="100">
        <v>44.89</v>
      </c>
      <c r="I53" s="100">
        <v>13.76</v>
      </c>
      <c r="J53" s="100">
        <v>0.53</v>
      </c>
      <c r="K53" s="100">
        <v>45.55</v>
      </c>
      <c r="L53" s="100">
        <v>28.14</v>
      </c>
      <c r="M53" s="100">
        <v>39.770000000000003</v>
      </c>
      <c r="N53" s="100">
        <v>528.20000000000005</v>
      </c>
      <c r="O53" s="100">
        <v>0</v>
      </c>
      <c r="P53" s="100">
        <v>0.8</v>
      </c>
      <c r="Q53" s="100">
        <v>9.32</v>
      </c>
      <c r="R53" s="6"/>
      <c r="S53" s="6"/>
      <c r="T53" s="156"/>
      <c r="U53" s="6"/>
    </row>
    <row r="54" spans="1:21">
      <c r="A54" s="201" t="s">
        <v>2977</v>
      </c>
      <c r="B54" s="100">
        <v>9.61</v>
      </c>
      <c r="C54" s="100">
        <v>18.059999999999999</v>
      </c>
      <c r="D54" s="100">
        <v>17.14</v>
      </c>
      <c r="E54" s="100">
        <v>5.92</v>
      </c>
      <c r="F54" s="100">
        <v>1.53</v>
      </c>
      <c r="G54" s="100">
        <v>95.44</v>
      </c>
      <c r="H54" s="100">
        <v>41.18</v>
      </c>
      <c r="I54" s="100">
        <v>13.62</v>
      </c>
      <c r="J54" s="100">
        <v>0.3</v>
      </c>
      <c r="K54" s="100">
        <v>135.03</v>
      </c>
      <c r="L54" s="100">
        <v>28.84</v>
      </c>
      <c r="M54" s="100">
        <v>36.97</v>
      </c>
      <c r="N54" s="100">
        <v>575.29999999999995</v>
      </c>
      <c r="O54" s="100">
        <v>0</v>
      </c>
      <c r="P54" s="100">
        <v>0.79</v>
      </c>
      <c r="Q54" s="100">
        <v>9.32</v>
      </c>
      <c r="R54" s="6"/>
      <c r="S54" s="6"/>
      <c r="T54" s="156"/>
      <c r="U54" s="6"/>
    </row>
    <row r="55" spans="1:21">
      <c r="A55" s="201" t="s">
        <v>2978</v>
      </c>
      <c r="B55" s="100">
        <v>8.74</v>
      </c>
      <c r="C55" s="100">
        <v>17.670000000000002</v>
      </c>
      <c r="D55" s="100">
        <v>16.239999999999998</v>
      </c>
      <c r="E55" s="100">
        <v>5.87</v>
      </c>
      <c r="F55" s="100">
        <v>0.79</v>
      </c>
      <c r="G55" s="100">
        <v>91.51</v>
      </c>
      <c r="H55" s="100">
        <v>40.81</v>
      </c>
      <c r="I55" s="100">
        <v>13.44</v>
      </c>
      <c r="J55" s="100">
        <v>0.4</v>
      </c>
      <c r="K55" s="100">
        <v>63.14</v>
      </c>
      <c r="L55" s="100">
        <v>29.59</v>
      </c>
      <c r="M55" s="100">
        <v>34.81</v>
      </c>
      <c r="N55" s="100">
        <v>579.4</v>
      </c>
      <c r="O55" s="100">
        <v>0</v>
      </c>
      <c r="P55" s="100">
        <v>0.78</v>
      </c>
      <c r="Q55" s="100">
        <v>9.32</v>
      </c>
      <c r="R55" s="6"/>
      <c r="S55" s="6"/>
      <c r="T55" s="156"/>
      <c r="U55" s="6"/>
    </row>
    <row r="56" spans="1:21">
      <c r="A56" s="201" t="s">
        <v>2979</v>
      </c>
      <c r="B56" s="100">
        <v>7.83</v>
      </c>
      <c r="C56" s="100">
        <v>17.34</v>
      </c>
      <c r="D56" s="100">
        <v>15.34</v>
      </c>
      <c r="E56" s="100">
        <v>5.42</v>
      </c>
      <c r="F56" s="100">
        <v>1.07</v>
      </c>
      <c r="G56" s="100">
        <v>91.51</v>
      </c>
      <c r="H56" s="100">
        <v>40.81</v>
      </c>
      <c r="I56" s="100">
        <v>13.3</v>
      </c>
      <c r="J56" s="100">
        <v>0.66</v>
      </c>
      <c r="K56" s="100">
        <v>12.23</v>
      </c>
      <c r="L56" s="100">
        <v>29.23</v>
      </c>
      <c r="M56" s="100">
        <v>34.26</v>
      </c>
      <c r="N56" s="100">
        <v>607.9</v>
      </c>
      <c r="O56" s="100">
        <v>0</v>
      </c>
      <c r="P56" s="100">
        <v>0.77</v>
      </c>
      <c r="Q56" s="100">
        <v>9.32</v>
      </c>
      <c r="R56" s="6"/>
      <c r="S56" s="6"/>
      <c r="T56" s="156"/>
      <c r="U56" s="6"/>
    </row>
    <row r="57" spans="1:21">
      <c r="A57" s="201" t="s">
        <v>2980</v>
      </c>
      <c r="B57" s="100">
        <v>7.08</v>
      </c>
      <c r="C57" s="100">
        <v>17.010000000000002</v>
      </c>
      <c r="D57" s="100">
        <v>14.57</v>
      </c>
      <c r="E57" s="100">
        <v>5.73</v>
      </c>
      <c r="F57" s="100">
        <v>1.99</v>
      </c>
      <c r="G57" s="100">
        <v>91.51</v>
      </c>
      <c r="H57" s="100">
        <v>40.81</v>
      </c>
      <c r="I57" s="100">
        <v>13.1</v>
      </c>
      <c r="J57" s="100">
        <v>0.51</v>
      </c>
      <c r="K57" s="100">
        <v>45.24</v>
      </c>
      <c r="L57" s="100">
        <v>29.14</v>
      </c>
      <c r="M57" s="100">
        <v>34.01</v>
      </c>
      <c r="N57" s="100">
        <v>586.9</v>
      </c>
      <c r="O57" s="100">
        <v>0</v>
      </c>
      <c r="P57" s="100">
        <v>0.74</v>
      </c>
      <c r="Q57" s="100">
        <v>9.32</v>
      </c>
      <c r="R57" s="6"/>
      <c r="S57" s="6"/>
      <c r="T57" s="156"/>
      <c r="U57" s="6"/>
    </row>
    <row r="58" spans="1:21">
      <c r="A58" s="201" t="s">
        <v>2981</v>
      </c>
      <c r="B58" s="100">
        <v>6.38</v>
      </c>
      <c r="C58" s="100">
        <v>16.8</v>
      </c>
      <c r="D58" s="100">
        <v>13.89</v>
      </c>
      <c r="E58" s="100">
        <v>6.19</v>
      </c>
      <c r="F58" s="100">
        <v>2.4900000000000002</v>
      </c>
      <c r="G58" s="100">
        <v>70.66</v>
      </c>
      <c r="H58" s="100">
        <v>33.6</v>
      </c>
      <c r="I58" s="100">
        <v>12.86</v>
      </c>
      <c r="J58" s="100">
        <v>0.41</v>
      </c>
      <c r="K58" s="100">
        <v>335.72</v>
      </c>
      <c r="L58" s="100">
        <v>29.13</v>
      </c>
      <c r="M58" s="100">
        <v>33.14</v>
      </c>
      <c r="N58" s="100">
        <v>560.70000000000005</v>
      </c>
      <c r="O58" s="100">
        <v>0</v>
      </c>
      <c r="P58" s="100">
        <v>0.73</v>
      </c>
      <c r="Q58" s="100">
        <v>9.32</v>
      </c>
      <c r="R58" s="6"/>
      <c r="S58" s="6"/>
      <c r="T58" s="156"/>
      <c r="U58" s="6"/>
    </row>
    <row r="59" spans="1:21">
      <c r="A59" s="201" t="s">
        <v>2982</v>
      </c>
      <c r="B59" s="100">
        <v>5.82</v>
      </c>
      <c r="C59" s="100">
        <v>16.45</v>
      </c>
      <c r="D59" s="100">
        <v>13.26</v>
      </c>
      <c r="E59" s="100">
        <v>5.89</v>
      </c>
      <c r="F59" s="100">
        <v>1.51</v>
      </c>
      <c r="G59" s="100">
        <v>60.75</v>
      </c>
      <c r="H59" s="100">
        <v>32.869999999999997</v>
      </c>
      <c r="I59" s="100">
        <v>12.61</v>
      </c>
      <c r="J59" s="100">
        <v>0.4</v>
      </c>
      <c r="K59" s="100">
        <v>65.2</v>
      </c>
      <c r="L59" s="100">
        <v>29.77</v>
      </c>
      <c r="M59" s="100">
        <v>32.049999999999997</v>
      </c>
      <c r="N59" s="100">
        <v>552.70000000000005</v>
      </c>
      <c r="O59" s="100">
        <v>0</v>
      </c>
      <c r="P59" s="100">
        <v>0.72</v>
      </c>
      <c r="Q59" s="100">
        <v>9.32</v>
      </c>
      <c r="R59" s="6"/>
      <c r="S59" s="6"/>
      <c r="T59" s="156"/>
      <c r="U59" s="6"/>
    </row>
    <row r="60" spans="1:21">
      <c r="A60" s="201" t="s">
        <v>2983</v>
      </c>
      <c r="B60" s="100">
        <v>5.26</v>
      </c>
      <c r="C60" s="100">
        <v>15.94</v>
      </c>
      <c r="D60" s="100">
        <v>12.54</v>
      </c>
      <c r="E60" s="100">
        <v>5.64</v>
      </c>
      <c r="F60" s="100">
        <v>1.3</v>
      </c>
      <c r="G60" s="100">
        <v>60.75</v>
      </c>
      <c r="H60" s="100">
        <v>32.869999999999997</v>
      </c>
      <c r="I60" s="100">
        <v>12.39</v>
      </c>
      <c r="J60" s="100">
        <v>0.2</v>
      </c>
      <c r="K60" s="100">
        <v>273.58999999999997</v>
      </c>
      <c r="L60" s="100">
        <v>29.78</v>
      </c>
      <c r="M60" s="100">
        <v>31.7</v>
      </c>
      <c r="N60" s="100">
        <v>552.9</v>
      </c>
      <c r="O60" s="100">
        <v>0</v>
      </c>
      <c r="P60" s="100">
        <v>0.71</v>
      </c>
      <c r="Q60" s="100">
        <v>9.32</v>
      </c>
      <c r="R60" s="6"/>
      <c r="S60" s="6"/>
      <c r="T60" s="156"/>
      <c r="U60" s="6"/>
    </row>
    <row r="61" spans="1:21">
      <c r="A61" s="201" t="s">
        <v>2984</v>
      </c>
      <c r="B61" s="100">
        <v>4.75</v>
      </c>
      <c r="C61" s="100">
        <v>15.49</v>
      </c>
      <c r="D61" s="100">
        <v>11.9</v>
      </c>
      <c r="E61" s="100">
        <v>5.38</v>
      </c>
      <c r="F61" s="100">
        <v>1.27</v>
      </c>
      <c r="G61" s="100">
        <v>60.75</v>
      </c>
      <c r="H61" s="100">
        <v>32.869999999999997</v>
      </c>
      <c r="I61" s="100">
        <v>12.35</v>
      </c>
      <c r="J61" s="100">
        <v>0.11</v>
      </c>
      <c r="K61" s="100">
        <v>238</v>
      </c>
      <c r="L61" s="100">
        <v>29.83</v>
      </c>
      <c r="M61" s="100">
        <v>31.96</v>
      </c>
      <c r="N61" s="100">
        <v>554.4</v>
      </c>
      <c r="O61" s="100">
        <v>0</v>
      </c>
      <c r="P61" s="100">
        <v>0.69</v>
      </c>
      <c r="Q61" s="100">
        <v>9.32</v>
      </c>
      <c r="R61" s="6"/>
      <c r="S61" s="6"/>
      <c r="T61" s="156"/>
      <c r="U61" s="6"/>
    </row>
    <row r="62" spans="1:21">
      <c r="A62" s="201" t="s">
        <v>2985</v>
      </c>
      <c r="B62" s="100">
        <v>4.42</v>
      </c>
      <c r="C62" s="100">
        <v>15</v>
      </c>
      <c r="D62" s="100">
        <v>11.38</v>
      </c>
      <c r="E62" s="100">
        <v>5.44</v>
      </c>
      <c r="F62" s="100">
        <v>1.51</v>
      </c>
      <c r="G62" s="100">
        <v>51.16</v>
      </c>
      <c r="H62" s="100">
        <v>31.67</v>
      </c>
      <c r="I62" s="100">
        <v>12.26</v>
      </c>
      <c r="J62" s="100">
        <v>0.28999999999999998</v>
      </c>
      <c r="K62" s="100">
        <v>6.59</v>
      </c>
      <c r="L62" s="100">
        <v>29.92</v>
      </c>
      <c r="M62" s="100">
        <v>31.3</v>
      </c>
      <c r="N62" s="100">
        <v>198.5</v>
      </c>
      <c r="O62" s="100">
        <v>0</v>
      </c>
      <c r="P62" s="100">
        <v>0.68</v>
      </c>
      <c r="Q62" s="100">
        <v>9.32</v>
      </c>
      <c r="R62" s="6"/>
      <c r="S62" s="6"/>
      <c r="T62" s="156"/>
      <c r="U62" s="6"/>
    </row>
    <row r="63" spans="1:21">
      <c r="A63" s="201" t="s">
        <v>2986</v>
      </c>
      <c r="B63" s="100">
        <v>4.18</v>
      </c>
      <c r="C63" s="100">
        <v>14.61</v>
      </c>
      <c r="D63" s="100">
        <v>10.98</v>
      </c>
      <c r="E63" s="100">
        <v>5.67</v>
      </c>
      <c r="F63" s="100">
        <v>2.15</v>
      </c>
      <c r="G63" s="100">
        <v>46.59</v>
      </c>
      <c r="H63" s="100">
        <v>31.55</v>
      </c>
      <c r="I63" s="100">
        <v>11.94</v>
      </c>
      <c r="J63" s="100">
        <v>0.4</v>
      </c>
      <c r="K63" s="100">
        <v>48.54</v>
      </c>
      <c r="L63" s="100">
        <v>29.44</v>
      </c>
      <c r="M63" s="100">
        <v>31.28</v>
      </c>
      <c r="N63" s="100">
        <v>154.5</v>
      </c>
      <c r="O63" s="100">
        <v>0</v>
      </c>
      <c r="P63" s="100">
        <v>0.67</v>
      </c>
      <c r="Q63" s="100">
        <v>9.32</v>
      </c>
      <c r="R63" s="6"/>
      <c r="S63" s="6"/>
      <c r="T63" s="156"/>
      <c r="U63" s="6"/>
    </row>
    <row r="64" spans="1:21">
      <c r="A64" s="201" t="s">
        <v>2987</v>
      </c>
      <c r="B64" s="100">
        <v>4.01</v>
      </c>
      <c r="C64" s="100">
        <v>14.33</v>
      </c>
      <c r="D64" s="100">
        <v>10.71</v>
      </c>
      <c r="E64" s="100">
        <v>6</v>
      </c>
      <c r="F64" s="100">
        <v>2.2400000000000002</v>
      </c>
      <c r="G64" s="100">
        <v>46.59</v>
      </c>
      <c r="H64" s="100">
        <v>31.55</v>
      </c>
      <c r="I64" s="100">
        <v>11.72</v>
      </c>
      <c r="J64" s="100">
        <v>0.69</v>
      </c>
      <c r="K64" s="100">
        <v>40.51</v>
      </c>
      <c r="L64" s="100">
        <v>29.64</v>
      </c>
      <c r="M64" s="100">
        <v>30.93</v>
      </c>
      <c r="N64" s="100">
        <v>123.6</v>
      </c>
      <c r="O64" s="100">
        <v>0</v>
      </c>
      <c r="P64" s="100">
        <v>0.66</v>
      </c>
      <c r="Q64" s="100">
        <v>9.32</v>
      </c>
      <c r="R64" s="6"/>
      <c r="S64" s="6"/>
      <c r="T64" s="156"/>
      <c r="U64" s="6"/>
    </row>
    <row r="65" spans="1:21">
      <c r="A65" s="201" t="s">
        <v>2988</v>
      </c>
      <c r="B65" s="100">
        <v>3.97</v>
      </c>
      <c r="C65" s="100">
        <v>14.19</v>
      </c>
      <c r="D65" s="100">
        <v>10.59</v>
      </c>
      <c r="E65" s="100">
        <v>6.4</v>
      </c>
      <c r="F65" s="100">
        <v>4.38</v>
      </c>
      <c r="G65" s="100">
        <v>46.59</v>
      </c>
      <c r="H65" s="100">
        <v>31.55</v>
      </c>
      <c r="I65" s="100">
        <v>11.65</v>
      </c>
      <c r="J65" s="100">
        <v>0.21</v>
      </c>
      <c r="K65" s="100">
        <v>58.01</v>
      </c>
      <c r="L65" s="100">
        <v>29.29</v>
      </c>
      <c r="M65" s="100">
        <v>31.98</v>
      </c>
      <c r="N65" s="100">
        <v>125.5</v>
      </c>
      <c r="O65" s="100">
        <v>0</v>
      </c>
      <c r="P65" s="100">
        <v>0.56000000000000005</v>
      </c>
      <c r="Q65" s="100">
        <v>9.32</v>
      </c>
      <c r="R65" s="6"/>
      <c r="S65" s="6"/>
      <c r="T65" s="156"/>
      <c r="U65" s="6"/>
    </row>
    <row r="66" spans="1:21">
      <c r="A66" s="201" t="s">
        <v>2989</v>
      </c>
      <c r="B66" s="100">
        <v>3.8</v>
      </c>
      <c r="C66" s="100">
        <v>13.76</v>
      </c>
      <c r="D66" s="100">
        <v>10.24</v>
      </c>
      <c r="E66" s="100">
        <v>5.7</v>
      </c>
      <c r="F66" s="100">
        <v>3.51</v>
      </c>
      <c r="G66" s="100">
        <v>46.55</v>
      </c>
      <c r="H66" s="100">
        <v>27.13</v>
      </c>
      <c r="I66" s="100">
        <v>11.45</v>
      </c>
      <c r="J66" s="100">
        <v>0.21</v>
      </c>
      <c r="K66" s="100">
        <v>95.43</v>
      </c>
      <c r="L66" s="100">
        <v>29.1</v>
      </c>
      <c r="M66" s="100">
        <v>33.21</v>
      </c>
      <c r="N66" s="100">
        <v>116.5</v>
      </c>
      <c r="O66" s="100">
        <v>0</v>
      </c>
      <c r="P66" s="100">
        <v>0.6</v>
      </c>
      <c r="Q66" s="100">
        <v>9.32</v>
      </c>
      <c r="R66" s="6"/>
      <c r="S66" s="6"/>
      <c r="T66" s="156"/>
      <c r="U66" s="6"/>
    </row>
    <row r="67" spans="1:21">
      <c r="A67" s="201" t="s">
        <v>2990</v>
      </c>
      <c r="B67" s="100">
        <v>3.73</v>
      </c>
      <c r="C67" s="100">
        <v>13.48</v>
      </c>
      <c r="D67" s="100">
        <v>10.029999999999999</v>
      </c>
      <c r="E67" s="100">
        <v>5.96</v>
      </c>
      <c r="F67" s="100">
        <v>3.27</v>
      </c>
      <c r="G67" s="100">
        <v>46.54</v>
      </c>
      <c r="H67" s="100">
        <v>26.69</v>
      </c>
      <c r="I67" s="100">
        <v>11.29</v>
      </c>
      <c r="J67" s="100">
        <v>0.38</v>
      </c>
      <c r="K67" s="100">
        <v>15.84</v>
      </c>
      <c r="L67" s="100">
        <v>29.36</v>
      </c>
      <c r="M67" s="100">
        <v>31.93</v>
      </c>
      <c r="N67" s="100">
        <v>137.30000000000001</v>
      </c>
      <c r="O67" s="100">
        <v>0</v>
      </c>
      <c r="P67" s="100">
        <v>0.57999999999999996</v>
      </c>
      <c r="Q67" s="100">
        <v>9.32</v>
      </c>
      <c r="R67" s="6"/>
      <c r="S67" s="6"/>
      <c r="T67" s="156"/>
      <c r="U67" s="6"/>
    </row>
    <row r="68" spans="1:21">
      <c r="A68" s="201" t="s">
        <v>2991</v>
      </c>
      <c r="B68" s="100">
        <v>3.68</v>
      </c>
      <c r="C68" s="100">
        <v>13.23</v>
      </c>
      <c r="D68" s="100">
        <v>9.86</v>
      </c>
      <c r="E68" s="100">
        <v>6</v>
      </c>
      <c r="F68" s="100">
        <v>3.33</v>
      </c>
      <c r="G68" s="100">
        <v>46.54</v>
      </c>
      <c r="H68" s="100">
        <v>26.69</v>
      </c>
      <c r="I68" s="100">
        <v>11.18</v>
      </c>
      <c r="J68" s="100">
        <v>0.23</v>
      </c>
      <c r="K68" s="100">
        <v>53.02</v>
      </c>
      <c r="L68" s="100">
        <v>29.36</v>
      </c>
      <c r="M68" s="100">
        <v>31.67</v>
      </c>
      <c r="N68" s="100">
        <v>92.9</v>
      </c>
      <c r="O68" s="100">
        <v>0</v>
      </c>
      <c r="P68" s="100">
        <v>0.56999999999999995</v>
      </c>
      <c r="Q68" s="100">
        <v>9.32</v>
      </c>
      <c r="R68" s="6"/>
      <c r="S68" s="6"/>
      <c r="T68" s="156"/>
      <c r="U68" s="6"/>
    </row>
    <row r="69" spans="1:21">
      <c r="A69" s="201" t="s">
        <v>2992</v>
      </c>
      <c r="B69" s="100">
        <v>3.67</v>
      </c>
      <c r="C69" s="100">
        <v>13.16</v>
      </c>
      <c r="D69" s="100">
        <v>9.82</v>
      </c>
      <c r="E69" s="100">
        <v>5.75</v>
      </c>
      <c r="F69" s="100">
        <v>2.58</v>
      </c>
      <c r="G69" s="100">
        <v>46.54</v>
      </c>
      <c r="H69" s="100">
        <v>26.69</v>
      </c>
      <c r="I69" s="100">
        <v>11.01</v>
      </c>
      <c r="J69" s="100">
        <v>0.54</v>
      </c>
      <c r="K69" s="100">
        <v>58.23</v>
      </c>
      <c r="L69" s="100">
        <v>29.25</v>
      </c>
      <c r="M69" s="100">
        <v>30.66</v>
      </c>
      <c r="N69" s="100">
        <v>86.1</v>
      </c>
      <c r="O69" s="100">
        <v>0</v>
      </c>
      <c r="P69" s="100">
        <v>0.56999999999999995</v>
      </c>
      <c r="Q69" s="100">
        <v>9.32</v>
      </c>
      <c r="R69" s="6"/>
      <c r="S69" s="6"/>
      <c r="T69" s="156"/>
      <c r="U69" s="6"/>
    </row>
    <row r="70" spans="1:21">
      <c r="A70" s="201" t="s">
        <v>2993</v>
      </c>
      <c r="B70" s="100">
        <v>3.59</v>
      </c>
      <c r="C70" s="100">
        <v>13.19</v>
      </c>
      <c r="D70" s="100">
        <v>9.77</v>
      </c>
      <c r="E70" s="100">
        <v>5.85</v>
      </c>
      <c r="F70" s="100">
        <v>4.07</v>
      </c>
      <c r="G70" s="100">
        <v>49.89</v>
      </c>
      <c r="H70" s="100">
        <v>26.48</v>
      </c>
      <c r="I70" s="100">
        <v>10.86</v>
      </c>
      <c r="J70" s="100">
        <v>0.26</v>
      </c>
      <c r="K70" s="100">
        <v>56.39</v>
      </c>
      <c r="L70" s="100">
        <v>29.32</v>
      </c>
      <c r="M70" s="100">
        <v>30.01</v>
      </c>
      <c r="N70" s="100">
        <v>105.6</v>
      </c>
      <c r="O70" s="100">
        <v>0</v>
      </c>
      <c r="P70" s="100">
        <v>0.55000000000000004</v>
      </c>
      <c r="Q70" s="100">
        <v>9.32</v>
      </c>
      <c r="R70" s="6"/>
      <c r="S70" s="6"/>
      <c r="T70" s="156"/>
      <c r="U70" s="6"/>
    </row>
    <row r="71" spans="1:21">
      <c r="A71" s="201" t="s">
        <v>2994</v>
      </c>
      <c r="B71" s="100">
        <v>3.43</v>
      </c>
      <c r="C71" s="100">
        <v>13.25</v>
      </c>
      <c r="D71" s="100">
        <v>9.67</v>
      </c>
      <c r="E71" s="100">
        <v>5.54</v>
      </c>
      <c r="F71" s="100">
        <v>3.68</v>
      </c>
      <c r="G71" s="100">
        <v>51.49</v>
      </c>
      <c r="H71" s="100">
        <v>26.46</v>
      </c>
      <c r="I71" s="100">
        <v>10.75</v>
      </c>
      <c r="J71" s="100">
        <v>0.12</v>
      </c>
      <c r="K71" s="100">
        <v>96.74</v>
      </c>
      <c r="L71" s="100">
        <v>29.5</v>
      </c>
      <c r="M71" s="100">
        <v>30.09</v>
      </c>
      <c r="N71" s="100">
        <v>102</v>
      </c>
      <c r="O71" s="100">
        <v>0</v>
      </c>
      <c r="P71" s="100">
        <v>0.53</v>
      </c>
      <c r="Q71" s="100">
        <v>9.32</v>
      </c>
      <c r="R71" s="6"/>
      <c r="S71" s="6"/>
      <c r="T71" s="156"/>
      <c r="U71" s="6"/>
    </row>
    <row r="72" spans="1:21">
      <c r="A72" s="201" t="s">
        <v>2995</v>
      </c>
      <c r="B72" s="100">
        <v>3.36</v>
      </c>
      <c r="C72" s="100">
        <v>13.35</v>
      </c>
      <c r="D72" s="100">
        <v>9.67</v>
      </c>
      <c r="E72" s="100">
        <v>5.85</v>
      </c>
      <c r="F72" s="100">
        <v>3.24</v>
      </c>
      <c r="G72" s="100">
        <v>51.49</v>
      </c>
      <c r="H72" s="100">
        <v>26.46</v>
      </c>
      <c r="I72" s="100">
        <v>10.6</v>
      </c>
      <c r="J72" s="100">
        <v>0.21</v>
      </c>
      <c r="K72" s="100">
        <v>38.72</v>
      </c>
      <c r="L72" s="100">
        <v>29.47</v>
      </c>
      <c r="M72" s="100">
        <v>31.64</v>
      </c>
      <c r="N72" s="100">
        <v>72.5</v>
      </c>
      <c r="O72" s="100">
        <v>0</v>
      </c>
      <c r="P72" s="100">
        <v>0.52</v>
      </c>
      <c r="Q72" s="100">
        <v>9.32</v>
      </c>
      <c r="R72" s="6"/>
      <c r="S72" s="6"/>
      <c r="T72" s="156"/>
      <c r="U72" s="6"/>
    </row>
    <row r="73" spans="1:21">
      <c r="A73" s="201" t="s">
        <v>2996</v>
      </c>
      <c r="B73" s="100">
        <v>3.33</v>
      </c>
      <c r="C73" s="100">
        <v>13.59</v>
      </c>
      <c r="D73" s="100">
        <v>9.77</v>
      </c>
      <c r="E73" s="100">
        <v>5.71</v>
      </c>
      <c r="F73" s="100">
        <v>2.77</v>
      </c>
      <c r="G73" s="100">
        <v>51.49</v>
      </c>
      <c r="H73" s="100">
        <v>26.46</v>
      </c>
      <c r="I73" s="100">
        <v>10.44</v>
      </c>
      <c r="J73" s="100">
        <v>0.35</v>
      </c>
      <c r="K73" s="100">
        <v>51.74</v>
      </c>
      <c r="L73" s="100">
        <v>29.13</v>
      </c>
      <c r="M73" s="100">
        <v>31.81</v>
      </c>
      <c r="N73" s="100">
        <v>44.4</v>
      </c>
      <c r="O73" s="100">
        <v>0</v>
      </c>
      <c r="P73" s="100">
        <v>0.52</v>
      </c>
      <c r="Q73" s="100">
        <v>9.32</v>
      </c>
      <c r="R73" s="6"/>
      <c r="S73" s="6"/>
      <c r="T73" s="156"/>
      <c r="U73" s="6"/>
    </row>
    <row r="74" spans="1:21">
      <c r="A74" s="201" t="s">
        <v>2997</v>
      </c>
      <c r="B74" s="100">
        <v>3.31</v>
      </c>
      <c r="C74" s="100">
        <v>13.69</v>
      </c>
      <c r="D74" s="100">
        <v>9.81</v>
      </c>
      <c r="E74" s="100">
        <v>5.64</v>
      </c>
      <c r="F74" s="100">
        <v>2.6</v>
      </c>
      <c r="G74" s="100">
        <v>50</v>
      </c>
      <c r="H74" s="100">
        <v>27.25</v>
      </c>
      <c r="I74" s="100">
        <v>10.28</v>
      </c>
      <c r="J74" s="100">
        <v>0.31</v>
      </c>
      <c r="K74" s="100">
        <v>54.89</v>
      </c>
      <c r="L74" s="100">
        <v>28.72</v>
      </c>
      <c r="M74" s="100">
        <v>33.6</v>
      </c>
      <c r="N74" s="100">
        <v>28.2</v>
      </c>
      <c r="O74" s="100">
        <v>0</v>
      </c>
      <c r="P74" s="100">
        <v>0.51</v>
      </c>
      <c r="Q74" s="100">
        <v>9.32</v>
      </c>
      <c r="R74" s="6"/>
      <c r="S74" s="6"/>
      <c r="T74" s="156"/>
      <c r="U74" s="6"/>
    </row>
    <row r="75" spans="1:21">
      <c r="A75" s="201" t="s">
        <v>2998</v>
      </c>
      <c r="B75" s="100">
        <v>3.37</v>
      </c>
      <c r="C75" s="100">
        <v>13.74</v>
      </c>
      <c r="D75" s="100">
        <v>9.8800000000000008</v>
      </c>
      <c r="E75" s="100">
        <v>5.44</v>
      </c>
      <c r="F75" s="100">
        <v>1.89</v>
      </c>
      <c r="G75" s="100">
        <v>49.29</v>
      </c>
      <c r="H75" s="100">
        <v>27.38</v>
      </c>
      <c r="I75" s="100">
        <v>10.119999999999999</v>
      </c>
      <c r="J75" s="100">
        <v>0.15</v>
      </c>
      <c r="K75" s="100">
        <v>67.959999999999994</v>
      </c>
      <c r="L75" s="100">
        <v>27.92</v>
      </c>
      <c r="M75" s="100">
        <v>37.840000000000003</v>
      </c>
      <c r="N75" s="100">
        <v>18.3</v>
      </c>
      <c r="O75" s="100">
        <v>0</v>
      </c>
      <c r="P75" s="100">
        <v>0.51</v>
      </c>
      <c r="Q75" s="100">
        <v>9.32</v>
      </c>
      <c r="R75" s="6"/>
      <c r="S75" s="6"/>
      <c r="T75" s="156"/>
      <c r="U75" s="6"/>
    </row>
    <row r="76" spans="1:21">
      <c r="A76" s="201" t="s">
        <v>2999</v>
      </c>
      <c r="B76" s="100">
        <v>3.46</v>
      </c>
      <c r="C76" s="100">
        <v>14.11</v>
      </c>
      <c r="D76" s="100">
        <v>10.14</v>
      </c>
      <c r="E76" s="100">
        <v>5.53</v>
      </c>
      <c r="F76" s="100">
        <v>1.48</v>
      </c>
      <c r="G76" s="100">
        <v>49.29</v>
      </c>
      <c r="H76" s="100">
        <v>27.38</v>
      </c>
      <c r="I76" s="100">
        <v>10.029999999999999</v>
      </c>
      <c r="J76" s="100">
        <v>0.26</v>
      </c>
      <c r="K76" s="100">
        <v>151.38999999999999</v>
      </c>
      <c r="L76" s="100">
        <v>26.97</v>
      </c>
      <c r="M76" s="100">
        <v>42.85</v>
      </c>
      <c r="N76" s="100">
        <v>13.5</v>
      </c>
      <c r="O76" s="100">
        <v>0</v>
      </c>
      <c r="P76" s="100">
        <v>0.51</v>
      </c>
      <c r="Q76" s="100">
        <v>9.32</v>
      </c>
      <c r="R76" s="6"/>
      <c r="S76" s="6"/>
      <c r="T76" s="156"/>
      <c r="U76" s="6"/>
    </row>
    <row r="77" spans="1:21">
      <c r="A77" s="201" t="s">
        <v>3000</v>
      </c>
      <c r="B77" s="100">
        <v>3.53</v>
      </c>
      <c r="C77" s="100">
        <v>14.43</v>
      </c>
      <c r="D77" s="100">
        <v>10.37</v>
      </c>
      <c r="E77" s="100">
        <v>5.67</v>
      </c>
      <c r="F77" s="100">
        <v>1.24</v>
      </c>
      <c r="G77" s="100">
        <v>49.29</v>
      </c>
      <c r="H77" s="100">
        <v>27.38</v>
      </c>
      <c r="I77" s="100">
        <v>10.01</v>
      </c>
      <c r="J77" s="100">
        <v>0.31</v>
      </c>
      <c r="K77" s="100">
        <v>162.19999999999999</v>
      </c>
      <c r="L77" s="100">
        <v>25.95</v>
      </c>
      <c r="M77" s="100">
        <v>46.83</v>
      </c>
      <c r="N77" s="100">
        <v>6.8</v>
      </c>
      <c r="O77" s="100">
        <v>0</v>
      </c>
      <c r="P77" s="100">
        <v>0.51</v>
      </c>
      <c r="Q77" s="100">
        <v>9.32</v>
      </c>
      <c r="R77" s="6"/>
      <c r="S77" s="6"/>
      <c r="T77" s="156"/>
      <c r="U77" s="6"/>
    </row>
    <row r="78" spans="1:21">
      <c r="A78" s="201" t="s">
        <v>3001</v>
      </c>
      <c r="B78" s="100">
        <v>3.6</v>
      </c>
      <c r="C78" s="100">
        <v>14.54</v>
      </c>
      <c r="D78" s="100">
        <v>10.49</v>
      </c>
      <c r="E78" s="100">
        <v>5.75</v>
      </c>
      <c r="F78" s="100">
        <v>1.05</v>
      </c>
      <c r="G78" s="100">
        <v>59.84</v>
      </c>
      <c r="H78" s="100">
        <v>28.27</v>
      </c>
      <c r="I78" s="100">
        <v>10.01</v>
      </c>
      <c r="J78" s="100">
        <v>0.24</v>
      </c>
      <c r="K78" s="100">
        <v>164.38</v>
      </c>
      <c r="L78" s="100">
        <v>25.34</v>
      </c>
      <c r="M78" s="100">
        <v>48.12</v>
      </c>
      <c r="N78" s="100">
        <v>3.1</v>
      </c>
      <c r="O78" s="100">
        <v>0</v>
      </c>
      <c r="P78" s="100">
        <v>0.52</v>
      </c>
      <c r="Q78" s="100">
        <v>9.32</v>
      </c>
      <c r="R78" s="6"/>
      <c r="S78" s="6"/>
      <c r="T78" s="156"/>
      <c r="U78" s="6"/>
    </row>
    <row r="79" spans="1:21">
      <c r="A79" s="201" t="s">
        <v>3002</v>
      </c>
      <c r="B79" s="100">
        <v>3.82</v>
      </c>
      <c r="C79" s="100">
        <v>15.11</v>
      </c>
      <c r="D79" s="100">
        <v>10.96</v>
      </c>
      <c r="E79" s="100">
        <v>5.65</v>
      </c>
      <c r="F79" s="100">
        <v>0.34</v>
      </c>
      <c r="G79" s="100">
        <v>64.849999999999994</v>
      </c>
      <c r="H79" s="100">
        <v>28.35</v>
      </c>
      <c r="I79" s="100">
        <v>10.039999999999999</v>
      </c>
      <c r="J79" s="100">
        <v>0.26</v>
      </c>
      <c r="K79" s="100">
        <v>160.55000000000001</v>
      </c>
      <c r="L79" s="100">
        <v>24.86</v>
      </c>
      <c r="M79" s="100">
        <v>50.6</v>
      </c>
      <c r="N79" s="100">
        <v>2.1</v>
      </c>
      <c r="O79" s="100">
        <v>0</v>
      </c>
      <c r="P79" s="100">
        <v>0.53</v>
      </c>
      <c r="Q79" s="100">
        <v>9.32</v>
      </c>
      <c r="R79" s="6"/>
      <c r="S79" s="6"/>
      <c r="T79" s="156"/>
      <c r="U79" s="6"/>
    </row>
    <row r="80" spans="1:21">
      <c r="A80" s="201" t="s">
        <v>3003</v>
      </c>
      <c r="B80" s="100">
        <v>4.18</v>
      </c>
      <c r="C80" s="100">
        <v>15.72</v>
      </c>
      <c r="D80" s="100">
        <v>11.57</v>
      </c>
      <c r="E80" s="100">
        <v>5.62</v>
      </c>
      <c r="F80" s="100">
        <v>0.28000000000000003</v>
      </c>
      <c r="G80" s="100">
        <v>64.849999999999994</v>
      </c>
      <c r="H80" s="100">
        <v>28.35</v>
      </c>
      <c r="I80" s="100">
        <v>10.119999999999999</v>
      </c>
      <c r="J80" s="100">
        <v>0.11</v>
      </c>
      <c r="K80" s="100">
        <v>134.27000000000001</v>
      </c>
      <c r="L80" s="100">
        <v>24.43</v>
      </c>
      <c r="M80" s="100">
        <v>52.62</v>
      </c>
      <c r="N80" s="100">
        <v>1.9</v>
      </c>
      <c r="O80" s="100">
        <v>0</v>
      </c>
      <c r="P80" s="100">
        <v>0.55000000000000004</v>
      </c>
      <c r="Q80" s="100">
        <v>9.32</v>
      </c>
      <c r="R80" s="6"/>
      <c r="S80" s="6"/>
      <c r="T80" s="156"/>
      <c r="U80" s="6"/>
    </row>
    <row r="81" spans="1:21">
      <c r="A81" s="201" t="s">
        <v>3004</v>
      </c>
      <c r="B81" s="100">
        <v>4.74</v>
      </c>
      <c r="C81" s="100">
        <v>16.41</v>
      </c>
      <c r="D81" s="100">
        <v>12.37</v>
      </c>
      <c r="E81" s="100">
        <v>4.3</v>
      </c>
      <c r="F81" s="100">
        <v>0.17</v>
      </c>
      <c r="G81" s="100">
        <v>64.849999999999994</v>
      </c>
      <c r="H81" s="100">
        <v>28.35</v>
      </c>
      <c r="I81" s="100">
        <v>10.23</v>
      </c>
      <c r="J81" s="100">
        <v>0.17</v>
      </c>
      <c r="K81" s="100">
        <v>143.82</v>
      </c>
      <c r="L81" s="100">
        <v>24.32</v>
      </c>
      <c r="M81" s="100">
        <v>52.53</v>
      </c>
      <c r="N81" s="100">
        <v>1.8</v>
      </c>
      <c r="O81" s="100">
        <v>0</v>
      </c>
      <c r="P81" s="100">
        <v>0.56999999999999995</v>
      </c>
      <c r="Q81" s="100">
        <v>9.32</v>
      </c>
      <c r="R81" s="6"/>
      <c r="S81" s="6"/>
      <c r="T81" s="156"/>
      <c r="U81" s="6"/>
    </row>
    <row r="82" spans="1:21">
      <c r="A82" s="201" t="s">
        <v>3005</v>
      </c>
      <c r="B82" s="100">
        <v>5.13</v>
      </c>
      <c r="C82" s="100">
        <v>16.829999999999998</v>
      </c>
      <c r="D82" s="100">
        <v>12.91</v>
      </c>
      <c r="E82" s="100">
        <v>5.62</v>
      </c>
      <c r="F82" s="100">
        <v>0.12</v>
      </c>
      <c r="G82" s="100">
        <v>79.819999999999993</v>
      </c>
      <c r="H82" s="100">
        <v>30.94</v>
      </c>
      <c r="I82" s="100">
        <v>10.4</v>
      </c>
      <c r="J82" s="100">
        <v>0.19</v>
      </c>
      <c r="K82" s="100">
        <v>165.11</v>
      </c>
      <c r="L82" s="100">
        <v>23.88</v>
      </c>
      <c r="M82" s="100">
        <v>56.1</v>
      </c>
      <c r="N82" s="100">
        <v>1.9</v>
      </c>
      <c r="O82" s="100">
        <v>0</v>
      </c>
      <c r="P82" s="100">
        <v>0.57999999999999996</v>
      </c>
      <c r="Q82" s="100">
        <v>9.32</v>
      </c>
      <c r="R82" s="6"/>
      <c r="S82" s="6"/>
      <c r="T82" s="156"/>
      <c r="U82" s="6"/>
    </row>
    <row r="83" spans="1:21">
      <c r="A83" s="201" t="s">
        <v>3006</v>
      </c>
      <c r="B83" s="100">
        <v>5.3</v>
      </c>
      <c r="C83" s="100">
        <v>16.920000000000002</v>
      </c>
      <c r="D83" s="100">
        <v>13.09</v>
      </c>
      <c r="E83" s="100">
        <v>5.38</v>
      </c>
      <c r="F83" s="100">
        <v>0.17</v>
      </c>
      <c r="G83" s="100">
        <v>86.94</v>
      </c>
      <c r="H83" s="100">
        <v>31.2</v>
      </c>
      <c r="I83" s="100">
        <v>10.53</v>
      </c>
      <c r="J83" s="100">
        <v>0.3</v>
      </c>
      <c r="K83" s="100">
        <v>170.6</v>
      </c>
      <c r="L83" s="100">
        <v>23.24</v>
      </c>
      <c r="M83" s="100">
        <v>65.239999999999995</v>
      </c>
      <c r="N83" s="100">
        <v>2</v>
      </c>
      <c r="O83" s="100">
        <v>0</v>
      </c>
      <c r="P83" s="100">
        <v>0.6</v>
      </c>
      <c r="Q83" s="100">
        <v>9.32</v>
      </c>
      <c r="R83" s="6"/>
      <c r="S83" s="6"/>
      <c r="T83" s="156"/>
      <c r="U83" s="6"/>
    </row>
    <row r="84" spans="1:21">
      <c r="A84" s="201" t="s">
        <v>3007</v>
      </c>
      <c r="B84" s="100">
        <v>5.38</v>
      </c>
      <c r="C84" s="100">
        <v>17.03</v>
      </c>
      <c r="D84" s="100">
        <v>13.21</v>
      </c>
      <c r="E84" s="100">
        <v>5.52</v>
      </c>
      <c r="F84" s="100">
        <v>0.22</v>
      </c>
      <c r="G84" s="100">
        <v>86.94</v>
      </c>
      <c r="H84" s="100">
        <v>31.2</v>
      </c>
      <c r="I84" s="100">
        <v>10.62</v>
      </c>
      <c r="J84" s="100">
        <v>0.23</v>
      </c>
      <c r="K84" s="100">
        <v>170.94</v>
      </c>
      <c r="L84" s="100">
        <v>22.78</v>
      </c>
      <c r="M84" s="100">
        <v>65.709999999999994</v>
      </c>
      <c r="N84" s="100">
        <v>2.1</v>
      </c>
      <c r="O84" s="100">
        <v>0</v>
      </c>
      <c r="P84" s="100">
        <v>0.62</v>
      </c>
      <c r="Q84" s="100">
        <v>9.32</v>
      </c>
      <c r="R84" s="6"/>
      <c r="S84" s="6"/>
      <c r="T84" s="156"/>
      <c r="U84" s="6"/>
    </row>
    <row r="85" spans="1:21">
      <c r="A85" s="201" t="s">
        <v>3008</v>
      </c>
      <c r="B85" s="100">
        <v>5.56</v>
      </c>
      <c r="C85" s="100">
        <v>17.100000000000001</v>
      </c>
      <c r="D85" s="100">
        <v>13.39</v>
      </c>
      <c r="E85" s="100">
        <v>5.54</v>
      </c>
      <c r="F85" s="100">
        <v>0.14000000000000001</v>
      </c>
      <c r="G85" s="100">
        <v>86.94</v>
      </c>
      <c r="H85" s="100">
        <v>31.2</v>
      </c>
      <c r="I85" s="100">
        <v>10.91</v>
      </c>
      <c r="J85" s="100">
        <v>0.26</v>
      </c>
      <c r="K85" s="100">
        <v>167.09</v>
      </c>
      <c r="L85" s="100">
        <v>22.76</v>
      </c>
      <c r="M85" s="100">
        <v>62.83</v>
      </c>
      <c r="N85" s="100">
        <v>1.8</v>
      </c>
      <c r="O85" s="100">
        <v>0</v>
      </c>
      <c r="P85" s="100">
        <v>0.65</v>
      </c>
      <c r="Q85" s="100">
        <v>9.32</v>
      </c>
      <c r="R85" s="6"/>
      <c r="S85" s="6"/>
      <c r="T85" s="156"/>
      <c r="U85" s="6"/>
    </row>
    <row r="86" spans="1:21">
      <c r="A86" s="201" t="s">
        <v>3009</v>
      </c>
      <c r="B86" s="100">
        <v>6.13</v>
      </c>
      <c r="C86" s="100">
        <v>17.239999999999998</v>
      </c>
      <c r="D86" s="100">
        <v>13.92</v>
      </c>
      <c r="E86" s="100">
        <v>5.28</v>
      </c>
      <c r="F86" s="100">
        <v>0.08</v>
      </c>
      <c r="G86" s="100">
        <v>104.9</v>
      </c>
      <c r="H86" s="100">
        <v>36.049999999999997</v>
      </c>
      <c r="I86" s="100">
        <v>11.32</v>
      </c>
      <c r="J86" s="100">
        <v>0.2</v>
      </c>
      <c r="K86" s="100">
        <v>144.88999999999999</v>
      </c>
      <c r="L86" s="100">
        <v>22.57</v>
      </c>
      <c r="M86" s="100">
        <v>62.07</v>
      </c>
      <c r="N86" s="100">
        <v>1.7</v>
      </c>
      <c r="O86" s="100">
        <v>0</v>
      </c>
      <c r="P86" s="100">
        <v>0.68</v>
      </c>
      <c r="Q86" s="100">
        <v>9.32</v>
      </c>
      <c r="R86" s="6"/>
      <c r="S86" s="6"/>
      <c r="T86" s="156"/>
      <c r="U86" s="6"/>
    </row>
    <row r="87" spans="1:21">
      <c r="A87" s="201" t="s">
        <v>3010</v>
      </c>
      <c r="B87" s="100">
        <v>7.31</v>
      </c>
      <c r="C87" s="100">
        <v>17.61</v>
      </c>
      <c r="D87" s="100">
        <v>15.06</v>
      </c>
      <c r="E87" s="100">
        <v>4.45</v>
      </c>
      <c r="F87" s="100">
        <v>0.06</v>
      </c>
      <c r="G87" s="100">
        <v>113.44</v>
      </c>
      <c r="H87" s="100">
        <v>36.54</v>
      </c>
      <c r="I87" s="100">
        <v>11.76</v>
      </c>
      <c r="J87" s="100">
        <v>0.16</v>
      </c>
      <c r="K87" s="100">
        <v>160.13999999999999</v>
      </c>
      <c r="L87" s="100">
        <v>22.57</v>
      </c>
      <c r="M87" s="100">
        <v>60.04</v>
      </c>
      <c r="N87" s="100">
        <v>1.7</v>
      </c>
      <c r="O87" s="100">
        <v>0</v>
      </c>
      <c r="P87" s="100">
        <v>0.72</v>
      </c>
      <c r="Q87" s="100">
        <v>9.32</v>
      </c>
      <c r="R87" s="6"/>
      <c r="S87" s="6"/>
      <c r="T87" s="156"/>
      <c r="U87" s="6"/>
    </row>
    <row r="88" spans="1:21">
      <c r="A88" s="201" t="s">
        <v>3011</v>
      </c>
      <c r="B88" s="100">
        <v>8.5399999999999991</v>
      </c>
      <c r="C88" s="100">
        <v>18.079999999999998</v>
      </c>
      <c r="D88" s="100">
        <v>16.29</v>
      </c>
      <c r="E88" s="100">
        <v>5.25</v>
      </c>
      <c r="F88" s="100">
        <v>0.06</v>
      </c>
      <c r="G88" s="100">
        <v>113.44</v>
      </c>
      <c r="H88" s="100">
        <v>36.54</v>
      </c>
      <c r="I88" s="100">
        <v>12.38</v>
      </c>
      <c r="J88" s="100">
        <v>0.21</v>
      </c>
      <c r="K88" s="100">
        <v>160.69</v>
      </c>
      <c r="L88" s="100">
        <v>22.64</v>
      </c>
      <c r="M88" s="100">
        <v>57.73</v>
      </c>
      <c r="N88" s="100">
        <v>1.6</v>
      </c>
      <c r="O88" s="100">
        <v>0</v>
      </c>
      <c r="P88" s="100">
        <v>0.74</v>
      </c>
      <c r="Q88" s="100">
        <v>9.32</v>
      </c>
      <c r="R88" s="6"/>
      <c r="S88" s="6"/>
      <c r="T88" s="156"/>
      <c r="U88" s="6"/>
    </row>
    <row r="89" spans="1:21">
      <c r="A89" s="201" t="s">
        <v>3012</v>
      </c>
      <c r="B89" s="100">
        <v>9.2100000000000009</v>
      </c>
      <c r="C89" s="100">
        <v>18.43</v>
      </c>
      <c r="D89" s="100">
        <v>17.02</v>
      </c>
      <c r="E89" s="100">
        <v>5.53</v>
      </c>
      <c r="F89" s="100">
        <v>0.08</v>
      </c>
      <c r="G89" s="100">
        <v>113.44</v>
      </c>
      <c r="H89" s="100">
        <v>36.54</v>
      </c>
      <c r="I89" s="100">
        <v>12.99</v>
      </c>
      <c r="J89" s="100">
        <v>0.18</v>
      </c>
      <c r="K89" s="100">
        <v>188.84</v>
      </c>
      <c r="L89" s="100">
        <v>22.37</v>
      </c>
      <c r="M89" s="100">
        <v>59.59</v>
      </c>
      <c r="N89" s="100">
        <v>1.9</v>
      </c>
      <c r="O89" s="100">
        <v>0</v>
      </c>
      <c r="P89" s="100">
        <v>0.76</v>
      </c>
      <c r="Q89" s="100">
        <v>9.32</v>
      </c>
      <c r="R89" s="6"/>
      <c r="S89" s="6"/>
      <c r="T89" s="156"/>
      <c r="U89" s="6"/>
    </row>
    <row r="90" spans="1:21">
      <c r="A90" s="201" t="s">
        <v>3013</v>
      </c>
      <c r="B90" s="100">
        <v>10.06</v>
      </c>
      <c r="C90" s="100">
        <v>19.27</v>
      </c>
      <c r="D90" s="100">
        <v>18.14</v>
      </c>
      <c r="E90" s="100">
        <v>5.59</v>
      </c>
      <c r="F90" s="100">
        <v>0.15</v>
      </c>
      <c r="G90" s="100">
        <v>120.34</v>
      </c>
      <c r="H90" s="100">
        <v>39.35</v>
      </c>
      <c r="I90" s="100">
        <v>13.39</v>
      </c>
      <c r="J90" s="100">
        <v>0.18</v>
      </c>
      <c r="K90" s="100">
        <v>168.33</v>
      </c>
      <c r="L90" s="100">
        <v>21.91</v>
      </c>
      <c r="M90" s="100">
        <v>61.78</v>
      </c>
      <c r="N90" s="100">
        <v>2</v>
      </c>
      <c r="O90" s="100">
        <v>0</v>
      </c>
      <c r="P90" s="100">
        <v>0.79</v>
      </c>
      <c r="Q90" s="100">
        <v>9.32</v>
      </c>
      <c r="R90" s="6"/>
      <c r="S90" s="6"/>
      <c r="T90" s="156"/>
      <c r="U90" s="6"/>
    </row>
    <row r="91" spans="1:21">
      <c r="A91" s="201" t="s">
        <v>3014</v>
      </c>
      <c r="B91" s="100">
        <v>10.87</v>
      </c>
      <c r="C91" s="100">
        <v>18.8</v>
      </c>
      <c r="D91" s="100">
        <v>18.54</v>
      </c>
      <c r="E91" s="100">
        <v>5.44</v>
      </c>
      <c r="F91" s="100">
        <v>0.15</v>
      </c>
      <c r="G91" s="100">
        <v>123.62</v>
      </c>
      <c r="H91" s="100">
        <v>39.630000000000003</v>
      </c>
      <c r="I91" s="100">
        <v>13.76</v>
      </c>
      <c r="J91" s="100">
        <v>0.21</v>
      </c>
      <c r="K91" s="100">
        <v>176.35</v>
      </c>
      <c r="L91" s="100">
        <v>21.64</v>
      </c>
      <c r="M91" s="100">
        <v>66.069999999999993</v>
      </c>
      <c r="N91" s="100">
        <v>1.8</v>
      </c>
      <c r="O91" s="100">
        <v>0</v>
      </c>
      <c r="P91" s="100">
        <v>0.81</v>
      </c>
      <c r="Q91" s="100">
        <v>9.32</v>
      </c>
      <c r="R91" s="6"/>
      <c r="S91" s="6"/>
      <c r="T91" s="156"/>
      <c r="U91" s="6"/>
    </row>
    <row r="92" spans="1:21">
      <c r="A92" s="201" t="s">
        <v>3015</v>
      </c>
      <c r="B92" s="100">
        <v>11.9</v>
      </c>
      <c r="C92" s="100">
        <v>18.670000000000002</v>
      </c>
      <c r="D92" s="100">
        <v>19.3</v>
      </c>
      <c r="E92" s="100">
        <v>5.15</v>
      </c>
      <c r="F92" s="100">
        <v>0.01</v>
      </c>
      <c r="G92" s="100">
        <v>123.62</v>
      </c>
      <c r="H92" s="100">
        <v>39.630000000000003</v>
      </c>
      <c r="I92" s="100">
        <v>14</v>
      </c>
      <c r="J92" s="100">
        <v>0.11</v>
      </c>
      <c r="K92" s="100">
        <v>171.8</v>
      </c>
      <c r="L92" s="100">
        <v>21.41</v>
      </c>
      <c r="M92" s="100">
        <v>69.38</v>
      </c>
      <c r="N92" s="100">
        <v>1.8</v>
      </c>
      <c r="O92" s="100">
        <v>0</v>
      </c>
      <c r="P92" s="100">
        <v>0.83</v>
      </c>
      <c r="Q92" s="100">
        <v>9.32</v>
      </c>
      <c r="R92" s="6"/>
      <c r="S92" s="6"/>
      <c r="T92" s="156"/>
      <c r="U92" s="6"/>
    </row>
    <row r="93" spans="1:21">
      <c r="A93" s="201" t="s">
        <v>3016</v>
      </c>
      <c r="B93" s="100">
        <v>13.59</v>
      </c>
      <c r="C93" s="100">
        <v>18.72</v>
      </c>
      <c r="D93" s="100">
        <v>20.68</v>
      </c>
      <c r="E93" s="100">
        <v>5.62</v>
      </c>
      <c r="F93" s="100">
        <v>0.01</v>
      </c>
      <c r="G93" s="100">
        <v>123.62</v>
      </c>
      <c r="H93" s="100">
        <v>39.630000000000003</v>
      </c>
      <c r="I93" s="100">
        <v>14.23</v>
      </c>
      <c r="J93" s="100">
        <v>0.13</v>
      </c>
      <c r="K93" s="100">
        <v>175.4</v>
      </c>
      <c r="L93" s="100">
        <v>21.57</v>
      </c>
      <c r="M93" s="100">
        <v>63.85</v>
      </c>
      <c r="N93" s="100">
        <v>1.7</v>
      </c>
      <c r="O93" s="100">
        <v>0</v>
      </c>
      <c r="P93" s="100">
        <v>0.84</v>
      </c>
      <c r="Q93" s="100">
        <v>9.32</v>
      </c>
      <c r="R93" s="6"/>
      <c r="S93" s="6"/>
      <c r="T93" s="156"/>
      <c r="U93" s="6"/>
    </row>
    <row r="94" spans="1:21">
      <c r="A94" s="201" t="s">
        <v>3017</v>
      </c>
      <c r="B94" s="100">
        <v>15.22</v>
      </c>
      <c r="C94" s="100">
        <v>18.82</v>
      </c>
      <c r="D94" s="100">
        <v>22.04</v>
      </c>
      <c r="E94" s="100">
        <v>5.57</v>
      </c>
      <c r="F94" s="100">
        <v>0.12</v>
      </c>
      <c r="G94" s="100">
        <v>123.47</v>
      </c>
      <c r="H94" s="100">
        <v>44.64</v>
      </c>
      <c r="I94" s="100">
        <v>14.46</v>
      </c>
      <c r="J94" s="100">
        <v>0.15</v>
      </c>
      <c r="K94" s="100">
        <v>165.05</v>
      </c>
      <c r="L94" s="100">
        <v>21.45</v>
      </c>
      <c r="M94" s="100">
        <v>63.87</v>
      </c>
      <c r="N94" s="100">
        <v>1.8</v>
      </c>
      <c r="O94" s="100">
        <v>0</v>
      </c>
      <c r="P94" s="100">
        <v>0.86</v>
      </c>
      <c r="Q94" s="100">
        <v>9.32</v>
      </c>
      <c r="R94" s="6"/>
      <c r="S94" s="6"/>
      <c r="T94" s="156"/>
      <c r="U94" s="6"/>
    </row>
    <row r="95" spans="1:21">
      <c r="A95" s="201" t="s">
        <v>3018</v>
      </c>
      <c r="B95" s="100">
        <v>16.02</v>
      </c>
      <c r="C95" s="100">
        <v>19.02</v>
      </c>
      <c r="D95" s="100">
        <v>22.78</v>
      </c>
      <c r="E95" s="100">
        <v>5.73</v>
      </c>
      <c r="F95" s="100">
        <v>0.1</v>
      </c>
      <c r="G95" s="100">
        <v>123.4</v>
      </c>
      <c r="H95" s="100">
        <v>45.14</v>
      </c>
      <c r="I95" s="100">
        <v>14.66</v>
      </c>
      <c r="J95" s="100">
        <v>0.12</v>
      </c>
      <c r="K95" s="100">
        <v>196.09</v>
      </c>
      <c r="L95" s="100">
        <v>21.28</v>
      </c>
      <c r="M95" s="100">
        <v>63.8</v>
      </c>
      <c r="N95" s="100">
        <v>1.8</v>
      </c>
      <c r="O95" s="100">
        <v>0</v>
      </c>
      <c r="P95" s="100">
        <v>0.87</v>
      </c>
      <c r="Q95" s="100">
        <v>9.32</v>
      </c>
      <c r="R95" s="6"/>
      <c r="S95" s="6"/>
      <c r="T95" s="156"/>
      <c r="U95" s="6"/>
    </row>
    <row r="96" spans="1:21">
      <c r="A96" s="201" t="s">
        <v>3019</v>
      </c>
      <c r="B96" s="100">
        <v>16.36</v>
      </c>
      <c r="C96" s="100">
        <v>19.059999999999999</v>
      </c>
      <c r="D96" s="100">
        <v>23.08</v>
      </c>
      <c r="E96" s="100">
        <v>5.17</v>
      </c>
      <c r="F96" s="100">
        <v>0.16</v>
      </c>
      <c r="G96" s="100">
        <v>123.4</v>
      </c>
      <c r="H96" s="100">
        <v>45.14</v>
      </c>
      <c r="I96" s="100">
        <v>14.83</v>
      </c>
      <c r="J96" s="100">
        <v>0.25</v>
      </c>
      <c r="K96" s="100">
        <v>182.65</v>
      </c>
      <c r="L96" s="100">
        <v>21.24</v>
      </c>
      <c r="M96" s="100">
        <v>69.94</v>
      </c>
      <c r="N96" s="100">
        <v>1.8</v>
      </c>
      <c r="O96" s="100">
        <v>0</v>
      </c>
      <c r="P96" s="100">
        <v>0.87</v>
      </c>
      <c r="Q96" s="100">
        <v>9.32</v>
      </c>
      <c r="R96" s="6"/>
      <c r="S96" s="6"/>
      <c r="T96" s="156"/>
      <c r="U96" s="6"/>
    </row>
    <row r="97" spans="1:21">
      <c r="A97" s="201" t="s">
        <v>3020</v>
      </c>
      <c r="B97" s="100">
        <v>16.39</v>
      </c>
      <c r="C97" s="100">
        <v>19.010000000000002</v>
      </c>
      <c r="D97" s="100">
        <v>23.08</v>
      </c>
      <c r="E97" s="100">
        <v>5.61</v>
      </c>
      <c r="F97" s="100">
        <v>0.21</v>
      </c>
      <c r="G97" s="100">
        <v>123.4</v>
      </c>
      <c r="H97" s="100">
        <v>45.14</v>
      </c>
      <c r="I97" s="100">
        <v>14.94</v>
      </c>
      <c r="J97" s="100">
        <v>0.22</v>
      </c>
      <c r="K97" s="100">
        <v>182.25</v>
      </c>
      <c r="L97" s="100">
        <v>20.55</v>
      </c>
      <c r="M97" s="100">
        <v>76.02</v>
      </c>
      <c r="N97" s="100">
        <v>2.1</v>
      </c>
      <c r="O97" s="100">
        <v>0</v>
      </c>
      <c r="P97" s="100">
        <v>0.88</v>
      </c>
      <c r="Q97" s="100">
        <v>9.32</v>
      </c>
      <c r="R97" s="6"/>
      <c r="S97" s="6"/>
      <c r="T97" s="156"/>
      <c r="U97" s="6"/>
    </row>
    <row r="98" spans="1:21">
      <c r="A98" s="201" t="s">
        <v>3021</v>
      </c>
      <c r="B98" s="100">
        <v>16.32</v>
      </c>
      <c r="C98" s="100">
        <v>18.690000000000001</v>
      </c>
      <c r="D98" s="100">
        <v>22.85</v>
      </c>
      <c r="E98" s="100">
        <v>5.4</v>
      </c>
      <c r="F98" s="100">
        <v>0.17</v>
      </c>
      <c r="G98" s="100">
        <v>120.67</v>
      </c>
      <c r="H98" s="100">
        <v>46.21</v>
      </c>
      <c r="I98" s="100">
        <v>15.05</v>
      </c>
      <c r="J98" s="100">
        <v>0.16</v>
      </c>
      <c r="K98" s="100">
        <v>206.92</v>
      </c>
      <c r="L98" s="100">
        <v>20.37</v>
      </c>
      <c r="M98" s="100">
        <v>77.97</v>
      </c>
      <c r="N98" s="100">
        <v>2</v>
      </c>
      <c r="O98" s="100">
        <v>0</v>
      </c>
      <c r="P98" s="100">
        <v>0.89</v>
      </c>
      <c r="Q98" s="100">
        <v>9.32</v>
      </c>
      <c r="R98" s="6"/>
      <c r="S98" s="6"/>
      <c r="T98" s="156"/>
      <c r="U98" s="6"/>
    </row>
    <row r="99" spans="1:21">
      <c r="A99" s="201" t="s">
        <v>3022</v>
      </c>
      <c r="B99" s="100">
        <v>16.170000000000002</v>
      </c>
      <c r="C99" s="100">
        <v>18.21</v>
      </c>
      <c r="D99" s="100">
        <v>22.48</v>
      </c>
      <c r="E99" s="100">
        <v>5.44</v>
      </c>
      <c r="F99" s="100">
        <v>0.08</v>
      </c>
      <c r="G99" s="100">
        <v>119.37</v>
      </c>
      <c r="H99" s="100">
        <v>46.32</v>
      </c>
      <c r="I99" s="100">
        <v>15.15</v>
      </c>
      <c r="J99" s="100">
        <v>0.19</v>
      </c>
      <c r="K99" s="100">
        <v>201.53</v>
      </c>
      <c r="L99" s="100">
        <v>20.309999999999999</v>
      </c>
      <c r="M99" s="100">
        <v>81.17</v>
      </c>
      <c r="N99" s="100">
        <v>1.8</v>
      </c>
      <c r="O99" s="100">
        <v>0</v>
      </c>
      <c r="P99" s="100">
        <v>0.89</v>
      </c>
      <c r="Q99" s="100">
        <v>9.32</v>
      </c>
      <c r="R99" s="6"/>
      <c r="S99" s="6"/>
      <c r="T99" s="156"/>
      <c r="U99" s="6"/>
    </row>
    <row r="100" spans="1:21">
      <c r="A100" s="201" t="s">
        <v>3023</v>
      </c>
      <c r="B100" s="100">
        <v>15.89</v>
      </c>
      <c r="C100" s="100">
        <v>17.920000000000002</v>
      </c>
      <c r="D100" s="100">
        <v>22.1</v>
      </c>
      <c r="E100" s="100">
        <v>5.59</v>
      </c>
      <c r="F100" s="100">
        <v>0.03</v>
      </c>
      <c r="G100" s="100">
        <v>119.37</v>
      </c>
      <c r="H100" s="100">
        <v>46.32</v>
      </c>
      <c r="I100" s="100">
        <v>15.21</v>
      </c>
      <c r="J100" s="100">
        <v>0.14000000000000001</v>
      </c>
      <c r="K100" s="100">
        <v>150.29</v>
      </c>
      <c r="L100" s="100">
        <v>20.2</v>
      </c>
      <c r="M100" s="100">
        <v>80.14</v>
      </c>
      <c r="N100" s="100">
        <v>1.8</v>
      </c>
      <c r="O100" s="100">
        <v>0</v>
      </c>
      <c r="P100" s="100">
        <v>0.9</v>
      </c>
      <c r="Q100" s="100">
        <v>9.32</v>
      </c>
      <c r="R100" s="6"/>
      <c r="S100" s="6"/>
      <c r="T100" s="156"/>
      <c r="U100" s="6"/>
    </row>
    <row r="101" spans="1:21">
      <c r="A101" s="201" t="s">
        <v>3024</v>
      </c>
      <c r="B101" s="100">
        <v>15.78</v>
      </c>
      <c r="C101" s="100">
        <v>17.690000000000001</v>
      </c>
      <c r="D101" s="100">
        <v>21.9</v>
      </c>
      <c r="E101" s="100">
        <v>5.14</v>
      </c>
      <c r="F101" s="100">
        <v>0.12</v>
      </c>
      <c r="G101" s="100">
        <v>119.37</v>
      </c>
      <c r="H101" s="100">
        <v>46.32</v>
      </c>
      <c r="I101" s="100">
        <v>15.29</v>
      </c>
      <c r="J101" s="100">
        <v>0.17</v>
      </c>
      <c r="K101" s="100">
        <v>208.66</v>
      </c>
      <c r="L101" s="100">
        <v>20.34</v>
      </c>
      <c r="M101" s="100">
        <v>77.510000000000005</v>
      </c>
      <c r="N101" s="100">
        <v>1.7</v>
      </c>
      <c r="O101" s="100">
        <v>0</v>
      </c>
      <c r="P101" s="100">
        <v>0.9</v>
      </c>
      <c r="Q101" s="100">
        <v>9.32</v>
      </c>
      <c r="R101" s="6"/>
      <c r="S101" s="6"/>
      <c r="T101" s="156"/>
      <c r="U101" s="6"/>
    </row>
    <row r="102" spans="1:21">
      <c r="A102" s="201" t="s">
        <v>3025</v>
      </c>
      <c r="B102" s="100">
        <v>16.16</v>
      </c>
      <c r="C102" s="100">
        <v>17.600000000000001</v>
      </c>
      <c r="D102" s="100">
        <v>22.15</v>
      </c>
      <c r="E102" s="100">
        <v>5.5</v>
      </c>
      <c r="F102" s="100">
        <v>0.12</v>
      </c>
      <c r="G102" s="100">
        <v>113.21</v>
      </c>
      <c r="H102" s="100">
        <v>45.73</v>
      </c>
      <c r="I102" s="100">
        <v>15.35</v>
      </c>
      <c r="J102" s="100">
        <v>0.17</v>
      </c>
      <c r="K102" s="100">
        <v>194.97</v>
      </c>
      <c r="L102" s="100">
        <v>20.32</v>
      </c>
      <c r="M102" s="100">
        <v>73.23</v>
      </c>
      <c r="N102" s="100">
        <v>1.7</v>
      </c>
      <c r="O102" s="100">
        <v>0</v>
      </c>
      <c r="P102" s="100">
        <v>0.9</v>
      </c>
      <c r="Q102" s="100">
        <v>9.32</v>
      </c>
      <c r="R102" s="6"/>
      <c r="S102" s="6"/>
      <c r="T102" s="156"/>
      <c r="U102" s="6"/>
    </row>
    <row r="103" spans="1:21">
      <c r="A103" s="201" t="s">
        <v>3026</v>
      </c>
      <c r="B103" s="100">
        <v>17.61</v>
      </c>
      <c r="C103" s="100">
        <v>17.84</v>
      </c>
      <c r="D103" s="100">
        <v>23.44</v>
      </c>
      <c r="E103" s="100">
        <v>5.39</v>
      </c>
      <c r="F103" s="100">
        <v>0.06</v>
      </c>
      <c r="G103" s="100">
        <v>110.28</v>
      </c>
      <c r="H103" s="100">
        <v>45.68</v>
      </c>
      <c r="I103" s="100">
        <v>15.36</v>
      </c>
      <c r="J103" s="100">
        <v>0.16</v>
      </c>
      <c r="K103" s="100">
        <v>189.64</v>
      </c>
      <c r="L103" s="100">
        <v>20.02</v>
      </c>
      <c r="M103" s="100">
        <v>79.13</v>
      </c>
      <c r="N103" s="100">
        <v>2</v>
      </c>
      <c r="O103" s="100">
        <v>0</v>
      </c>
      <c r="P103" s="100">
        <v>0.91</v>
      </c>
      <c r="Q103" s="100">
        <v>9.32</v>
      </c>
      <c r="R103" s="6"/>
      <c r="S103" s="6"/>
      <c r="T103" s="156"/>
      <c r="U103" s="6"/>
    </row>
    <row r="104" spans="1:21">
      <c r="A104" s="201" t="s">
        <v>3027</v>
      </c>
      <c r="B104" s="100">
        <v>18.57</v>
      </c>
      <c r="C104" s="100">
        <v>17.8</v>
      </c>
      <c r="D104" s="100">
        <v>24.19</v>
      </c>
      <c r="E104" s="100">
        <v>5.53</v>
      </c>
      <c r="F104" s="100">
        <v>0.15</v>
      </c>
      <c r="G104" s="100">
        <v>110.28</v>
      </c>
      <c r="H104" s="100">
        <v>45.68</v>
      </c>
      <c r="I104" s="100">
        <v>15.38</v>
      </c>
      <c r="J104" s="100">
        <v>0.18</v>
      </c>
      <c r="K104" s="100">
        <v>175.12</v>
      </c>
      <c r="L104" s="100">
        <v>19.760000000000002</v>
      </c>
      <c r="M104" s="100">
        <v>81.05</v>
      </c>
      <c r="N104" s="100">
        <v>1.8</v>
      </c>
      <c r="O104" s="100">
        <v>0</v>
      </c>
      <c r="P104" s="100">
        <v>0.91</v>
      </c>
      <c r="Q104" s="100">
        <v>9.32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3.31</v>
      </c>
      <c r="C106" s="158">
        <f>MIN(C9:C104)</f>
        <v>13.16</v>
      </c>
      <c r="D106" s="158">
        <f t="shared" ref="D106:Q106" si="0">MIN(D9:D104)</f>
        <v>9.67</v>
      </c>
      <c r="E106" s="158">
        <f t="shared" si="0"/>
        <v>4.26</v>
      </c>
      <c r="F106" s="158">
        <f t="shared" si="0"/>
        <v>0</v>
      </c>
      <c r="G106" s="158">
        <f t="shared" si="0"/>
        <v>46.54</v>
      </c>
      <c r="H106" s="158">
        <f t="shared" si="0"/>
        <v>26.46</v>
      </c>
      <c r="I106" s="158">
        <f t="shared" si="0"/>
        <v>10.01</v>
      </c>
      <c r="J106" s="158">
        <f t="shared" si="0"/>
        <v>0.02</v>
      </c>
      <c r="K106" s="158">
        <f t="shared" si="0"/>
        <v>6.59</v>
      </c>
      <c r="L106" s="158">
        <f t="shared" si="0"/>
        <v>17.100000000000001</v>
      </c>
      <c r="M106" s="158">
        <f t="shared" si="0"/>
        <v>30.01</v>
      </c>
      <c r="N106" s="158">
        <f t="shared" si="0"/>
        <v>1.2</v>
      </c>
      <c r="O106" s="158">
        <f t="shared" si="0"/>
        <v>0</v>
      </c>
      <c r="P106" s="158">
        <f t="shared" si="0"/>
        <v>0.51</v>
      </c>
      <c r="Q106" s="158">
        <f t="shared" si="0"/>
        <v>9.32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21.11</v>
      </c>
      <c r="C107" s="157">
        <f t="shared" ref="C107:Q107" si="1">MAX(C9:C104)</f>
        <v>19.27</v>
      </c>
      <c r="D107" s="157">
        <f t="shared" si="1"/>
        <v>25.82</v>
      </c>
      <c r="E107" s="157">
        <f t="shared" si="1"/>
        <v>6.74</v>
      </c>
      <c r="F107" s="157">
        <f t="shared" si="1"/>
        <v>4.38</v>
      </c>
      <c r="G107" s="157">
        <f t="shared" si="1"/>
        <v>125.6</v>
      </c>
      <c r="H107" s="157">
        <f t="shared" si="1"/>
        <v>56.46</v>
      </c>
      <c r="I107" s="157">
        <f t="shared" si="1"/>
        <v>15.38</v>
      </c>
      <c r="J107" s="157">
        <f t="shared" si="1"/>
        <v>1.08</v>
      </c>
      <c r="K107" s="157">
        <f t="shared" si="1"/>
        <v>335.72</v>
      </c>
      <c r="L107" s="157">
        <f t="shared" si="1"/>
        <v>29.92</v>
      </c>
      <c r="M107" s="157">
        <f t="shared" si="1"/>
        <v>86.47</v>
      </c>
      <c r="N107" s="157">
        <f t="shared" si="1"/>
        <v>607.9</v>
      </c>
      <c r="O107" s="157">
        <f t="shared" si="1"/>
        <v>0</v>
      </c>
      <c r="P107" s="157">
        <f t="shared" si="1"/>
        <v>0.91</v>
      </c>
      <c r="Q107" s="157">
        <f t="shared" si="1"/>
        <v>9.32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11.682395833333333</v>
      </c>
      <c r="C108" s="158">
        <f t="shared" ref="C108:Q108" si="2">AVERAGE(C9:C104)</f>
        <v>16.526979166666663</v>
      </c>
      <c r="D108" s="158">
        <f t="shared" si="2"/>
        <v>18.002291666666668</v>
      </c>
      <c r="E108" s="158">
        <f t="shared" si="2"/>
        <v>5.7532291666666673</v>
      </c>
      <c r="F108" s="158">
        <f t="shared" si="2"/>
        <v>0.72312500000000046</v>
      </c>
      <c r="G108" s="158">
        <f t="shared" si="2"/>
        <v>87.697187499999984</v>
      </c>
      <c r="H108" s="158">
        <f t="shared" si="2"/>
        <v>39.106145833333336</v>
      </c>
      <c r="I108" s="158">
        <f t="shared" si="2"/>
        <v>12.914791666666666</v>
      </c>
      <c r="J108" s="158">
        <f t="shared" si="2"/>
        <v>0.29708333333333342</v>
      </c>
      <c r="K108" s="158">
        <f t="shared" si="2"/>
        <v>123.76218750000004</v>
      </c>
      <c r="L108" s="158">
        <f t="shared" si="2"/>
        <v>22.656145833333337</v>
      </c>
      <c r="M108" s="158">
        <f t="shared" si="2"/>
        <v>61.650833333333338</v>
      </c>
      <c r="N108" s="158">
        <f t="shared" si="2"/>
        <v>112.23854166666661</v>
      </c>
      <c r="O108" s="158">
        <f t="shared" si="2"/>
        <v>0</v>
      </c>
      <c r="P108" s="158">
        <f t="shared" si="2"/>
        <v>0.72916666666666652</v>
      </c>
      <c r="Q108" s="158">
        <f t="shared" si="2"/>
        <v>9.320000000000018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5.7918275899011711</v>
      </c>
      <c r="C109" s="158">
        <f t="shared" ref="C109:Q109" si="3">STDEV(C9:C104)</f>
        <v>1.7332179501491678</v>
      </c>
      <c r="D109" s="158">
        <f t="shared" si="3"/>
        <v>5.1721255895458471</v>
      </c>
      <c r="E109" s="158">
        <f t="shared" si="3"/>
        <v>0.44711589170374505</v>
      </c>
      <c r="F109" s="158">
        <f t="shared" si="3"/>
        <v>1.0988542477939174</v>
      </c>
      <c r="G109" s="158">
        <f t="shared" si="3"/>
        <v>25.84204826097131</v>
      </c>
      <c r="H109" s="158">
        <f t="shared" si="3"/>
        <v>7.794062972584574</v>
      </c>
      <c r="I109" s="158">
        <f t="shared" si="3"/>
        <v>1.555014286051611</v>
      </c>
      <c r="J109" s="158">
        <f t="shared" si="3"/>
        <v>0.22011440406568811</v>
      </c>
      <c r="K109" s="158">
        <f t="shared" si="3"/>
        <v>75.736039411173152</v>
      </c>
      <c r="L109" s="158">
        <f t="shared" si="3"/>
        <v>4.5976985935852621</v>
      </c>
      <c r="M109" s="158">
        <f t="shared" si="3"/>
        <v>20.045244017454554</v>
      </c>
      <c r="N109" s="158">
        <f t="shared" si="3"/>
        <v>187.37253934049022</v>
      </c>
      <c r="O109" s="158">
        <f t="shared" si="3"/>
        <v>0</v>
      </c>
      <c r="P109" s="158">
        <f t="shared" si="3"/>
        <v>0.11405138884838685</v>
      </c>
      <c r="Q109" s="158">
        <f t="shared" si="3"/>
        <v>1.7856816112883485E-14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3" t="s">
        <v>56</v>
      </c>
      <c r="C115" s="163"/>
      <c r="D115" s="16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2" activePane="bottomLeft" state="frozen"/>
      <selection pane="bottomLeft" activeCell="F99" sqref="F99:F10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30/11/2025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3028</v>
      </c>
      <c r="B9" s="100">
        <v>18.940000000000001</v>
      </c>
      <c r="C9" s="100">
        <v>17.7</v>
      </c>
      <c r="D9" s="100">
        <v>24.43</v>
      </c>
      <c r="E9" s="100">
        <v>5.31</v>
      </c>
      <c r="F9" s="100">
        <v>0.04</v>
      </c>
      <c r="G9" s="100">
        <v>110.28</v>
      </c>
      <c r="H9" s="100">
        <v>45.68</v>
      </c>
      <c r="I9" s="100">
        <v>15.4</v>
      </c>
      <c r="J9" s="100">
        <v>0.21</v>
      </c>
      <c r="K9" s="100">
        <v>185.91</v>
      </c>
      <c r="L9" s="100">
        <v>19.5</v>
      </c>
      <c r="M9" s="100">
        <v>84.69</v>
      </c>
      <c r="N9" s="100">
        <v>1.7</v>
      </c>
      <c r="O9" s="100">
        <v>0</v>
      </c>
      <c r="P9" s="100">
        <v>0.91</v>
      </c>
      <c r="Q9" s="100">
        <v>9.32</v>
      </c>
      <c r="R9" s="6"/>
      <c r="S9" s="6"/>
      <c r="T9" s="156"/>
      <c r="U9" s="6"/>
    </row>
    <row r="10" spans="1:21" customFormat="1">
      <c r="A10" s="201" t="s">
        <v>3029</v>
      </c>
      <c r="B10" s="100">
        <v>18.87</v>
      </c>
      <c r="C10" s="100">
        <v>17.38</v>
      </c>
      <c r="D10" s="100">
        <v>24.21</v>
      </c>
      <c r="E10" s="100">
        <v>5.18</v>
      </c>
      <c r="F10" s="100">
        <v>0.04</v>
      </c>
      <c r="G10" s="100">
        <v>105.21</v>
      </c>
      <c r="H10" s="100">
        <v>44.65</v>
      </c>
      <c r="I10" s="100">
        <v>15.41</v>
      </c>
      <c r="J10" s="100">
        <v>0.12</v>
      </c>
      <c r="K10" s="100">
        <v>214.56</v>
      </c>
      <c r="L10" s="100">
        <v>19.149999999999999</v>
      </c>
      <c r="M10" s="100">
        <v>83.46</v>
      </c>
      <c r="N10" s="100">
        <v>2</v>
      </c>
      <c r="O10" s="100">
        <v>0</v>
      </c>
      <c r="P10" s="100">
        <v>0.91</v>
      </c>
      <c r="Q10" s="100">
        <v>9.32</v>
      </c>
      <c r="R10" s="6"/>
      <c r="S10" s="6"/>
      <c r="T10" s="156"/>
      <c r="U10" s="6"/>
    </row>
    <row r="11" spans="1:21" customFormat="1">
      <c r="A11" s="201" t="s">
        <v>3030</v>
      </c>
      <c r="B11" s="100">
        <v>18.57</v>
      </c>
      <c r="C11" s="100">
        <v>17.03</v>
      </c>
      <c r="D11" s="100">
        <v>23.79</v>
      </c>
      <c r="E11" s="100">
        <v>5.1100000000000003</v>
      </c>
      <c r="F11" s="100">
        <v>0.04</v>
      </c>
      <c r="G11" s="100">
        <v>102.8</v>
      </c>
      <c r="H11" s="100">
        <v>44.55</v>
      </c>
      <c r="I11" s="100">
        <v>15.41</v>
      </c>
      <c r="J11" s="100">
        <v>0.12</v>
      </c>
      <c r="K11" s="100">
        <v>188.79</v>
      </c>
      <c r="L11" s="100">
        <v>18.86</v>
      </c>
      <c r="M11" s="100">
        <v>82.65</v>
      </c>
      <c r="N11" s="100">
        <v>1.8</v>
      </c>
      <c r="O11" s="100">
        <v>0</v>
      </c>
      <c r="P11" s="100">
        <v>0.9</v>
      </c>
      <c r="Q11" s="100">
        <v>9.32</v>
      </c>
      <c r="R11" s="6"/>
      <c r="S11" s="6"/>
      <c r="T11" s="156"/>
      <c r="U11" s="6"/>
    </row>
    <row r="12" spans="1:21" customFormat="1">
      <c r="A12" s="201" t="s">
        <v>3031</v>
      </c>
      <c r="B12" s="100">
        <v>18.350000000000001</v>
      </c>
      <c r="C12" s="100">
        <v>16.940000000000001</v>
      </c>
      <c r="D12" s="100">
        <v>23.56</v>
      </c>
      <c r="E12" s="100">
        <v>5.37</v>
      </c>
      <c r="F12" s="100">
        <v>0.06</v>
      </c>
      <c r="G12" s="100">
        <v>102.8</v>
      </c>
      <c r="H12" s="100">
        <v>44.55</v>
      </c>
      <c r="I12" s="100">
        <v>15.37</v>
      </c>
      <c r="J12" s="100">
        <v>0.18</v>
      </c>
      <c r="K12" s="100">
        <v>163.61000000000001</v>
      </c>
      <c r="L12" s="100">
        <v>19.07</v>
      </c>
      <c r="M12" s="100">
        <v>79.86</v>
      </c>
      <c r="N12" s="100">
        <v>1.7</v>
      </c>
      <c r="O12" s="100">
        <v>0</v>
      </c>
      <c r="P12" s="100">
        <v>0.9</v>
      </c>
      <c r="Q12" s="100">
        <v>9.32</v>
      </c>
      <c r="R12" s="6"/>
      <c r="S12" s="6"/>
      <c r="T12" s="156"/>
      <c r="U12" s="6"/>
    </row>
    <row r="13" spans="1:21" customFormat="1">
      <c r="A13" s="201" t="s">
        <v>3032</v>
      </c>
      <c r="B13" s="100">
        <v>18.73</v>
      </c>
      <c r="C13" s="100">
        <v>17.16</v>
      </c>
      <c r="D13" s="100">
        <v>23.98</v>
      </c>
      <c r="E13" s="100">
        <v>5.44</v>
      </c>
      <c r="F13" s="100">
        <v>0.22</v>
      </c>
      <c r="G13" s="100">
        <v>102.8</v>
      </c>
      <c r="H13" s="100">
        <v>44.55</v>
      </c>
      <c r="I13" s="100">
        <v>15.3</v>
      </c>
      <c r="J13" s="100">
        <v>0.2</v>
      </c>
      <c r="K13" s="100">
        <v>235.02</v>
      </c>
      <c r="L13" s="100">
        <v>19.18</v>
      </c>
      <c r="M13" s="100">
        <v>79.67</v>
      </c>
      <c r="N13" s="100">
        <v>1.5</v>
      </c>
      <c r="O13" s="100">
        <v>0</v>
      </c>
      <c r="P13" s="100">
        <v>0.89</v>
      </c>
      <c r="Q13" s="100">
        <v>9.32</v>
      </c>
      <c r="R13" s="6"/>
      <c r="S13" s="6"/>
      <c r="T13" s="156"/>
      <c r="U13" s="6"/>
    </row>
    <row r="14" spans="1:21" customFormat="1">
      <c r="A14" s="201" t="s">
        <v>3033</v>
      </c>
      <c r="B14" s="100">
        <v>20</v>
      </c>
      <c r="C14" s="100">
        <v>17.579999999999998</v>
      </c>
      <c r="D14" s="100">
        <v>25.22</v>
      </c>
      <c r="E14" s="100">
        <v>5.08</v>
      </c>
      <c r="F14" s="100">
        <v>0.01</v>
      </c>
      <c r="G14" s="100">
        <v>97.64</v>
      </c>
      <c r="H14" s="100">
        <v>43.84</v>
      </c>
      <c r="I14" s="100">
        <v>15.23</v>
      </c>
      <c r="J14" s="100">
        <v>0.23</v>
      </c>
      <c r="K14" s="100">
        <v>197.53</v>
      </c>
      <c r="L14" s="100">
        <v>19.14</v>
      </c>
      <c r="M14" s="100">
        <v>80.3</v>
      </c>
      <c r="N14" s="100">
        <v>1.7</v>
      </c>
      <c r="O14" s="100">
        <v>0</v>
      </c>
      <c r="P14" s="100">
        <v>0.88</v>
      </c>
      <c r="Q14" s="100">
        <v>9.32</v>
      </c>
      <c r="R14" s="6"/>
      <c r="S14" s="6"/>
      <c r="T14" s="156"/>
      <c r="U14" s="6"/>
    </row>
    <row r="15" spans="1:21" customFormat="1">
      <c r="A15" s="201" t="s">
        <v>3034</v>
      </c>
      <c r="B15" s="100">
        <v>21.67</v>
      </c>
      <c r="C15" s="100">
        <v>18.100000000000001</v>
      </c>
      <c r="D15" s="100">
        <v>26.84</v>
      </c>
      <c r="E15" s="100">
        <v>5.32</v>
      </c>
      <c r="F15" s="100">
        <v>0.01</v>
      </c>
      <c r="G15" s="100">
        <v>95.19</v>
      </c>
      <c r="H15" s="100">
        <v>43.77</v>
      </c>
      <c r="I15" s="100">
        <v>15.27</v>
      </c>
      <c r="J15" s="100">
        <v>0.16</v>
      </c>
      <c r="K15" s="100">
        <v>199.83</v>
      </c>
      <c r="L15" s="100">
        <v>19.25</v>
      </c>
      <c r="M15" s="100">
        <v>80.41</v>
      </c>
      <c r="N15" s="100">
        <v>1.7</v>
      </c>
      <c r="O15" s="100">
        <v>0</v>
      </c>
      <c r="P15" s="100">
        <v>0.88</v>
      </c>
      <c r="Q15" s="100">
        <v>9.32</v>
      </c>
      <c r="R15" s="6"/>
      <c r="S15" s="6"/>
      <c r="T15" s="156"/>
      <c r="U15" s="6"/>
    </row>
    <row r="16" spans="1:21" customFormat="1">
      <c r="A16" s="201" t="s">
        <v>3035</v>
      </c>
      <c r="B16" s="100">
        <v>23.39</v>
      </c>
      <c r="C16" s="100">
        <v>18.39</v>
      </c>
      <c r="D16" s="100">
        <v>28.37</v>
      </c>
      <c r="E16" s="100">
        <v>5.42</v>
      </c>
      <c r="F16" s="100">
        <v>0.09</v>
      </c>
      <c r="G16" s="100">
        <v>95.19</v>
      </c>
      <c r="H16" s="100">
        <v>43.77</v>
      </c>
      <c r="I16" s="100">
        <v>15.54</v>
      </c>
      <c r="J16" s="100">
        <v>0.11</v>
      </c>
      <c r="K16" s="100">
        <v>209.34</v>
      </c>
      <c r="L16" s="100">
        <v>19.260000000000002</v>
      </c>
      <c r="M16" s="100">
        <v>79.069999999999993</v>
      </c>
      <c r="N16" s="100">
        <v>1.7</v>
      </c>
      <c r="O16" s="100">
        <v>0</v>
      </c>
      <c r="P16" s="100">
        <v>0.89</v>
      </c>
      <c r="Q16" s="100">
        <v>9.32</v>
      </c>
      <c r="R16" s="6"/>
      <c r="S16" s="6"/>
      <c r="T16" s="156"/>
      <c r="U16" s="6"/>
    </row>
    <row r="17" spans="1:21" customFormat="1">
      <c r="A17" s="201" t="s">
        <v>3036</v>
      </c>
      <c r="B17" s="100">
        <v>25.14</v>
      </c>
      <c r="C17" s="100">
        <v>18.7</v>
      </c>
      <c r="D17" s="100">
        <v>29.93</v>
      </c>
      <c r="E17" s="100">
        <v>4.75</v>
      </c>
      <c r="F17" s="100">
        <v>0.08</v>
      </c>
      <c r="G17" s="100">
        <v>95.19</v>
      </c>
      <c r="H17" s="100">
        <v>43.77</v>
      </c>
      <c r="I17" s="100">
        <v>15.81</v>
      </c>
      <c r="J17" s="100">
        <v>0.09</v>
      </c>
      <c r="K17" s="100">
        <v>167.36</v>
      </c>
      <c r="L17" s="100">
        <v>19.2</v>
      </c>
      <c r="M17" s="100">
        <v>77.13</v>
      </c>
      <c r="N17" s="100">
        <v>1.7</v>
      </c>
      <c r="O17" s="100">
        <v>0</v>
      </c>
      <c r="P17" s="100">
        <v>0.9</v>
      </c>
      <c r="Q17" s="100">
        <v>9.32</v>
      </c>
      <c r="R17" s="6"/>
      <c r="S17" s="6"/>
      <c r="T17" s="156"/>
      <c r="U17" s="6"/>
    </row>
    <row r="18" spans="1:21" customFormat="1">
      <c r="A18" s="201" t="s">
        <v>3037</v>
      </c>
      <c r="B18" s="100">
        <v>26.02</v>
      </c>
      <c r="C18" s="100">
        <v>18.79</v>
      </c>
      <c r="D18" s="100">
        <v>30.69</v>
      </c>
      <c r="E18" s="100">
        <v>6.34</v>
      </c>
      <c r="F18" s="100">
        <v>0.18</v>
      </c>
      <c r="G18" s="100">
        <v>97</v>
      </c>
      <c r="H18" s="100">
        <v>45.28</v>
      </c>
      <c r="I18" s="100">
        <v>15.95</v>
      </c>
      <c r="J18" s="100">
        <v>0.13</v>
      </c>
      <c r="K18" s="100">
        <v>73.98</v>
      </c>
      <c r="L18" s="100">
        <v>19.420000000000002</v>
      </c>
      <c r="M18" s="100">
        <v>73.099999999999994</v>
      </c>
      <c r="N18" s="100">
        <v>1.5</v>
      </c>
      <c r="O18" s="100">
        <v>0</v>
      </c>
      <c r="P18" s="100">
        <v>0.9</v>
      </c>
      <c r="Q18" s="100">
        <v>9.32</v>
      </c>
      <c r="R18" s="6"/>
      <c r="S18" s="6"/>
      <c r="T18" s="156"/>
      <c r="U18" s="6"/>
    </row>
    <row r="19" spans="1:21" customFormat="1">
      <c r="A19" s="201" t="s">
        <v>3038</v>
      </c>
      <c r="B19" s="100">
        <v>25.88</v>
      </c>
      <c r="C19" s="100">
        <v>18.690000000000001</v>
      </c>
      <c r="D19" s="100">
        <v>30.52</v>
      </c>
      <c r="E19" s="100">
        <v>6.25</v>
      </c>
      <c r="F19" s="100">
        <v>7.0000000000000007E-2</v>
      </c>
      <c r="G19" s="100">
        <v>97.86</v>
      </c>
      <c r="H19" s="100">
        <v>45.44</v>
      </c>
      <c r="I19" s="100">
        <v>16.05</v>
      </c>
      <c r="J19" s="100">
        <v>0.21</v>
      </c>
      <c r="K19" s="100">
        <v>55.81</v>
      </c>
      <c r="L19" s="100">
        <v>19.57</v>
      </c>
      <c r="M19" s="100">
        <v>68.63</v>
      </c>
      <c r="N19" s="100">
        <v>1.4</v>
      </c>
      <c r="O19" s="100">
        <v>0</v>
      </c>
      <c r="P19" s="100">
        <v>0.9</v>
      </c>
      <c r="Q19" s="100">
        <v>9.32</v>
      </c>
      <c r="R19" s="6"/>
      <c r="S19" s="6"/>
      <c r="T19" s="156"/>
      <c r="U19" s="6"/>
    </row>
    <row r="20" spans="1:21" customFormat="1">
      <c r="A20" s="201" t="s">
        <v>3039</v>
      </c>
      <c r="B20" s="100">
        <v>25.35</v>
      </c>
      <c r="C20" s="100">
        <v>18.41</v>
      </c>
      <c r="D20" s="100">
        <v>29.95</v>
      </c>
      <c r="E20" s="100">
        <v>5.95</v>
      </c>
      <c r="F20" s="100">
        <v>0.05</v>
      </c>
      <c r="G20" s="100">
        <v>97.86</v>
      </c>
      <c r="H20" s="100">
        <v>45.44</v>
      </c>
      <c r="I20" s="100">
        <v>16.059999999999999</v>
      </c>
      <c r="J20" s="100">
        <v>0.19</v>
      </c>
      <c r="K20" s="100">
        <v>57.04</v>
      </c>
      <c r="L20" s="100">
        <v>19.48</v>
      </c>
      <c r="M20" s="100">
        <v>68.900000000000006</v>
      </c>
      <c r="N20" s="100">
        <v>1.6</v>
      </c>
      <c r="O20" s="100">
        <v>0</v>
      </c>
      <c r="P20" s="100">
        <v>0.9</v>
      </c>
      <c r="Q20" s="100">
        <v>9.32</v>
      </c>
      <c r="R20" s="6"/>
      <c r="S20" s="6"/>
      <c r="T20" s="156"/>
      <c r="U20" s="6"/>
    </row>
    <row r="21" spans="1:21" customFormat="1">
      <c r="A21" s="201" t="s">
        <v>3040</v>
      </c>
      <c r="B21" s="100">
        <v>24.65</v>
      </c>
      <c r="C21" s="100">
        <v>18.16</v>
      </c>
      <c r="D21" s="100">
        <v>29.25</v>
      </c>
      <c r="E21" s="100">
        <v>6.1</v>
      </c>
      <c r="F21" s="100">
        <v>0.05</v>
      </c>
      <c r="G21" s="100">
        <v>97.86</v>
      </c>
      <c r="H21" s="100">
        <v>45.44</v>
      </c>
      <c r="I21" s="100">
        <v>15.99</v>
      </c>
      <c r="J21" s="100">
        <v>0.22</v>
      </c>
      <c r="K21" s="100">
        <v>47.41</v>
      </c>
      <c r="L21" s="100">
        <v>19.350000000000001</v>
      </c>
      <c r="M21" s="100">
        <v>69.02</v>
      </c>
      <c r="N21" s="100">
        <v>1.6</v>
      </c>
      <c r="O21" s="100">
        <v>0</v>
      </c>
      <c r="P21" s="100">
        <v>0.89</v>
      </c>
      <c r="Q21" s="100">
        <v>9.32</v>
      </c>
      <c r="R21" s="6"/>
      <c r="S21" s="6"/>
      <c r="T21" s="156"/>
      <c r="U21" s="6"/>
    </row>
    <row r="22" spans="1:21" customFormat="1">
      <c r="A22" s="201" t="s">
        <v>3041</v>
      </c>
      <c r="B22" s="100">
        <v>24.02</v>
      </c>
      <c r="C22" s="100">
        <v>17.809999999999999</v>
      </c>
      <c r="D22" s="100">
        <v>28.57</v>
      </c>
      <c r="E22" s="100">
        <v>6.32</v>
      </c>
      <c r="F22" s="100">
        <v>0.05</v>
      </c>
      <c r="G22" s="100">
        <v>101.19</v>
      </c>
      <c r="H22" s="100">
        <v>46.15</v>
      </c>
      <c r="I22" s="100">
        <v>15.88</v>
      </c>
      <c r="J22" s="100">
        <v>0.24</v>
      </c>
      <c r="K22" s="100">
        <v>169.35</v>
      </c>
      <c r="L22" s="100">
        <v>18.91</v>
      </c>
      <c r="M22" s="100">
        <v>77.849999999999994</v>
      </c>
      <c r="N22" s="100">
        <v>2</v>
      </c>
      <c r="O22" s="100">
        <v>0</v>
      </c>
      <c r="P22" s="100">
        <v>0.89</v>
      </c>
      <c r="Q22" s="100">
        <v>9.32</v>
      </c>
      <c r="R22" s="6"/>
      <c r="S22" s="6"/>
      <c r="T22" s="156"/>
      <c r="U22" s="6"/>
    </row>
    <row r="23" spans="1:21" customFormat="1">
      <c r="A23" s="201" t="s">
        <v>3042</v>
      </c>
      <c r="B23" s="100">
        <v>23.24</v>
      </c>
      <c r="C23" s="100">
        <v>17.53</v>
      </c>
      <c r="D23" s="100">
        <v>27.79</v>
      </c>
      <c r="E23" s="100">
        <v>6.21</v>
      </c>
      <c r="F23" s="100">
        <v>0.06</v>
      </c>
      <c r="G23" s="100">
        <v>102.77</v>
      </c>
      <c r="H23" s="100">
        <v>46.22</v>
      </c>
      <c r="I23" s="100">
        <v>15.81</v>
      </c>
      <c r="J23" s="100">
        <v>0.13</v>
      </c>
      <c r="K23" s="100">
        <v>192.47</v>
      </c>
      <c r="L23" s="100">
        <v>18.260000000000002</v>
      </c>
      <c r="M23" s="100">
        <v>84.41</v>
      </c>
      <c r="N23" s="100">
        <v>2.1</v>
      </c>
      <c r="O23" s="100">
        <v>0</v>
      </c>
      <c r="P23" s="100">
        <v>0.88</v>
      </c>
      <c r="Q23" s="100">
        <v>9.32</v>
      </c>
      <c r="R23" s="6"/>
      <c r="S23" s="6"/>
      <c r="T23" s="156"/>
      <c r="U23" s="6"/>
    </row>
    <row r="24" spans="1:21" customFormat="1">
      <c r="A24" s="201" t="s">
        <v>3043</v>
      </c>
      <c r="B24" s="100">
        <v>22.52</v>
      </c>
      <c r="C24" s="100">
        <v>17.16</v>
      </c>
      <c r="D24" s="100">
        <v>27.02</v>
      </c>
      <c r="E24" s="100">
        <v>6.25</v>
      </c>
      <c r="F24" s="100">
        <v>0.1</v>
      </c>
      <c r="G24" s="100">
        <v>102.77</v>
      </c>
      <c r="H24" s="100">
        <v>46.22</v>
      </c>
      <c r="I24" s="100">
        <v>15.74</v>
      </c>
      <c r="J24" s="100">
        <v>0.15</v>
      </c>
      <c r="K24" s="100">
        <v>157.81</v>
      </c>
      <c r="L24" s="100">
        <v>18.14</v>
      </c>
      <c r="M24" s="100">
        <v>83.43</v>
      </c>
      <c r="N24" s="100">
        <v>1.7</v>
      </c>
      <c r="O24" s="100">
        <v>0</v>
      </c>
      <c r="P24" s="100">
        <v>0.88</v>
      </c>
      <c r="Q24" s="100">
        <v>9.32</v>
      </c>
      <c r="R24" s="6"/>
      <c r="S24" s="6"/>
      <c r="T24" s="156"/>
      <c r="U24" s="6"/>
    </row>
    <row r="25" spans="1:21" customFormat="1">
      <c r="A25" s="201" t="s">
        <v>3044</v>
      </c>
      <c r="B25" s="100">
        <v>22.38</v>
      </c>
      <c r="C25" s="100">
        <v>17.079999999999998</v>
      </c>
      <c r="D25" s="100">
        <v>26.87</v>
      </c>
      <c r="E25" s="100">
        <v>6.06</v>
      </c>
      <c r="F25" s="100">
        <v>0.02</v>
      </c>
      <c r="G25" s="100">
        <v>102.77</v>
      </c>
      <c r="H25" s="100">
        <v>46.22</v>
      </c>
      <c r="I25" s="100">
        <v>15.66</v>
      </c>
      <c r="J25" s="100">
        <v>0.1</v>
      </c>
      <c r="K25" s="100">
        <v>192.46</v>
      </c>
      <c r="L25" s="100">
        <v>18.05</v>
      </c>
      <c r="M25" s="100">
        <v>82.77</v>
      </c>
      <c r="N25" s="100">
        <v>1.7</v>
      </c>
      <c r="O25" s="100">
        <v>0</v>
      </c>
      <c r="P25" s="100">
        <v>0.87</v>
      </c>
      <c r="Q25" s="100">
        <v>9.32</v>
      </c>
      <c r="R25" s="6"/>
      <c r="S25" s="6"/>
      <c r="T25" s="156"/>
      <c r="U25" s="6"/>
    </row>
    <row r="26" spans="1:21" customFormat="1">
      <c r="A26" s="201" t="s">
        <v>3045</v>
      </c>
      <c r="B26" s="100">
        <v>22.87</v>
      </c>
      <c r="C26" s="100">
        <v>17.16</v>
      </c>
      <c r="D26" s="100">
        <v>27.31</v>
      </c>
      <c r="E26" s="100">
        <v>6.11</v>
      </c>
      <c r="F26" s="100">
        <v>0.04</v>
      </c>
      <c r="G26" s="100">
        <v>99.76</v>
      </c>
      <c r="H26" s="100">
        <v>46.09</v>
      </c>
      <c r="I26" s="100">
        <v>15.57</v>
      </c>
      <c r="J26" s="100">
        <v>0.09</v>
      </c>
      <c r="K26" s="100">
        <v>127.05</v>
      </c>
      <c r="L26" s="100">
        <v>18</v>
      </c>
      <c r="M26" s="100">
        <v>81.510000000000005</v>
      </c>
      <c r="N26" s="100">
        <v>1.7</v>
      </c>
      <c r="O26" s="100">
        <v>0</v>
      </c>
      <c r="P26" s="100">
        <v>0.87</v>
      </c>
      <c r="Q26" s="100">
        <v>9.32</v>
      </c>
      <c r="R26" s="6"/>
      <c r="S26" s="6"/>
      <c r="T26" s="156"/>
      <c r="U26" s="6"/>
    </row>
    <row r="27" spans="1:21" customFormat="1">
      <c r="A27" s="201" t="s">
        <v>3046</v>
      </c>
      <c r="B27" s="100">
        <v>23.88</v>
      </c>
      <c r="C27" s="100">
        <v>17.36</v>
      </c>
      <c r="D27" s="100">
        <v>28.22</v>
      </c>
      <c r="E27" s="100">
        <v>6.35</v>
      </c>
      <c r="F27" s="100">
        <v>0.04</v>
      </c>
      <c r="G27" s="100">
        <v>98.33</v>
      </c>
      <c r="H27" s="100">
        <v>46.08</v>
      </c>
      <c r="I27" s="100">
        <v>15.48</v>
      </c>
      <c r="J27" s="100">
        <v>0.06</v>
      </c>
      <c r="K27" s="100">
        <v>62</v>
      </c>
      <c r="L27" s="100">
        <v>18.04</v>
      </c>
      <c r="M27" s="100">
        <v>80.05</v>
      </c>
      <c r="N27" s="100">
        <v>1.6</v>
      </c>
      <c r="O27" s="100">
        <v>0</v>
      </c>
      <c r="P27" s="100">
        <v>0.87</v>
      </c>
      <c r="Q27" s="100">
        <v>9.32</v>
      </c>
      <c r="R27" s="6"/>
      <c r="S27" s="6"/>
      <c r="T27" s="156"/>
      <c r="U27" s="6"/>
    </row>
    <row r="28" spans="1:21" customFormat="1">
      <c r="A28" s="201" t="s">
        <v>3047</v>
      </c>
      <c r="B28" s="100">
        <v>24.48</v>
      </c>
      <c r="C28" s="100">
        <v>17.52</v>
      </c>
      <c r="D28" s="100">
        <v>28.78</v>
      </c>
      <c r="E28" s="100">
        <v>6.27</v>
      </c>
      <c r="F28" s="100">
        <v>0.04</v>
      </c>
      <c r="G28" s="100">
        <v>98.33</v>
      </c>
      <c r="H28" s="100">
        <v>46.08</v>
      </c>
      <c r="I28" s="100">
        <v>15.42</v>
      </c>
      <c r="J28" s="100">
        <v>0.05</v>
      </c>
      <c r="K28" s="100">
        <v>175.24</v>
      </c>
      <c r="L28" s="100">
        <v>18.149999999999999</v>
      </c>
      <c r="M28" s="100">
        <v>79.73</v>
      </c>
      <c r="N28" s="100">
        <v>1.5</v>
      </c>
      <c r="O28" s="100">
        <v>0</v>
      </c>
      <c r="P28" s="100">
        <v>0.86</v>
      </c>
      <c r="Q28" s="100">
        <v>9.32</v>
      </c>
      <c r="R28" s="6"/>
      <c r="S28" s="6"/>
      <c r="T28" s="156"/>
      <c r="U28" s="6"/>
    </row>
    <row r="29" spans="1:21" customFormat="1">
      <c r="A29" s="201" t="s">
        <v>3048</v>
      </c>
      <c r="B29" s="100">
        <v>24.56</v>
      </c>
      <c r="C29" s="100">
        <v>17.41</v>
      </c>
      <c r="D29" s="100">
        <v>28.79</v>
      </c>
      <c r="E29" s="100">
        <v>6.22</v>
      </c>
      <c r="F29" s="100">
        <v>0.04</v>
      </c>
      <c r="G29" s="100">
        <v>98.33</v>
      </c>
      <c r="H29" s="100">
        <v>46.08</v>
      </c>
      <c r="I29" s="100">
        <v>15.38</v>
      </c>
      <c r="J29" s="100">
        <v>0.14000000000000001</v>
      </c>
      <c r="K29" s="100">
        <v>52.62</v>
      </c>
      <c r="L29" s="100">
        <v>18.03</v>
      </c>
      <c r="M29" s="100">
        <v>79.709999999999994</v>
      </c>
      <c r="N29" s="100">
        <v>1.6</v>
      </c>
      <c r="O29" s="100">
        <v>0</v>
      </c>
      <c r="P29" s="100">
        <v>0.86</v>
      </c>
      <c r="Q29" s="100">
        <v>9.32</v>
      </c>
      <c r="R29" s="6"/>
      <c r="S29" s="6"/>
      <c r="T29" s="156"/>
      <c r="U29" s="6"/>
    </row>
    <row r="30" spans="1:21" customFormat="1">
      <c r="A30" s="201" t="s">
        <v>3049</v>
      </c>
      <c r="B30" s="100">
        <v>24.37</v>
      </c>
      <c r="C30" s="100">
        <v>17.48</v>
      </c>
      <c r="D30" s="100">
        <v>28.67</v>
      </c>
      <c r="E30" s="100">
        <v>6.44</v>
      </c>
      <c r="F30" s="100">
        <v>0.01</v>
      </c>
      <c r="G30" s="100">
        <v>100.7</v>
      </c>
      <c r="H30" s="100">
        <v>47.64</v>
      </c>
      <c r="I30" s="100">
        <v>15.28</v>
      </c>
      <c r="J30" s="100">
        <v>0.38</v>
      </c>
      <c r="K30" s="100">
        <v>32.79</v>
      </c>
      <c r="L30" s="100">
        <v>18.13</v>
      </c>
      <c r="M30" s="100">
        <v>78.290000000000006</v>
      </c>
      <c r="N30" s="100">
        <v>1.3</v>
      </c>
      <c r="O30" s="100">
        <v>0</v>
      </c>
      <c r="P30" s="100">
        <v>0.85</v>
      </c>
      <c r="Q30" s="100">
        <v>9.32</v>
      </c>
      <c r="R30" s="6"/>
      <c r="S30" s="6"/>
      <c r="T30" s="156"/>
      <c r="U30" s="6"/>
    </row>
    <row r="31" spans="1:21" customFormat="1">
      <c r="A31" s="201" t="s">
        <v>3050</v>
      </c>
      <c r="B31" s="100">
        <v>24.32</v>
      </c>
      <c r="C31" s="100">
        <v>17.510000000000002</v>
      </c>
      <c r="D31" s="100">
        <v>28.66</v>
      </c>
      <c r="E31" s="100">
        <v>6.16</v>
      </c>
      <c r="F31" s="100">
        <v>0.1</v>
      </c>
      <c r="G31" s="100">
        <v>101.83</v>
      </c>
      <c r="H31" s="100">
        <v>47.8</v>
      </c>
      <c r="I31" s="100">
        <v>15.19</v>
      </c>
      <c r="J31" s="100">
        <v>0.27</v>
      </c>
      <c r="K31" s="100">
        <v>48.22</v>
      </c>
      <c r="L31" s="100">
        <v>18.2</v>
      </c>
      <c r="M31" s="100">
        <v>77.7</v>
      </c>
      <c r="N31" s="100">
        <v>1.5</v>
      </c>
      <c r="O31" s="100">
        <v>0</v>
      </c>
      <c r="P31" s="100">
        <v>0.84</v>
      </c>
      <c r="Q31" s="100">
        <v>9.32</v>
      </c>
      <c r="R31" s="6"/>
      <c r="S31" s="6"/>
      <c r="T31" s="156"/>
      <c r="U31" s="6"/>
    </row>
    <row r="32" spans="1:21" customFormat="1">
      <c r="A32" s="201" t="s">
        <v>3051</v>
      </c>
      <c r="B32" s="100">
        <v>24.3</v>
      </c>
      <c r="C32" s="100">
        <v>17.440000000000001</v>
      </c>
      <c r="D32" s="100">
        <v>28.6</v>
      </c>
      <c r="E32" s="100">
        <v>6.2</v>
      </c>
      <c r="F32" s="100">
        <v>0.13</v>
      </c>
      <c r="G32" s="100">
        <v>101.83</v>
      </c>
      <c r="H32" s="100">
        <v>47.8</v>
      </c>
      <c r="I32" s="100">
        <v>15.1</v>
      </c>
      <c r="J32" s="100">
        <v>7.0000000000000007E-2</v>
      </c>
      <c r="K32" s="100">
        <v>83.41</v>
      </c>
      <c r="L32" s="100">
        <v>18.23</v>
      </c>
      <c r="M32" s="100">
        <v>78.34</v>
      </c>
      <c r="N32" s="100">
        <v>1.7</v>
      </c>
      <c r="O32" s="100">
        <v>0</v>
      </c>
      <c r="P32" s="100">
        <v>0.83</v>
      </c>
      <c r="Q32" s="100">
        <v>9.32</v>
      </c>
      <c r="R32" s="6"/>
      <c r="S32" s="6"/>
      <c r="T32" s="156"/>
      <c r="U32" s="6"/>
    </row>
    <row r="33" spans="1:21" customFormat="1">
      <c r="A33" s="201" t="s">
        <v>3052</v>
      </c>
      <c r="B33" s="100">
        <v>24.55</v>
      </c>
      <c r="C33" s="100">
        <v>17.47</v>
      </c>
      <c r="D33" s="100">
        <v>28.82</v>
      </c>
      <c r="E33" s="100">
        <v>6.04</v>
      </c>
      <c r="F33" s="100">
        <v>0.11</v>
      </c>
      <c r="G33" s="100">
        <v>101.83</v>
      </c>
      <c r="H33" s="100">
        <v>47.8</v>
      </c>
      <c r="I33" s="100">
        <v>15.02</v>
      </c>
      <c r="J33" s="100">
        <v>0.04</v>
      </c>
      <c r="K33" s="100">
        <v>46.74</v>
      </c>
      <c r="L33" s="100">
        <v>17.91</v>
      </c>
      <c r="M33" s="100">
        <v>80.260000000000005</v>
      </c>
      <c r="N33" s="100">
        <v>2.5</v>
      </c>
      <c r="O33" s="100">
        <v>0</v>
      </c>
      <c r="P33" s="100">
        <v>0.83</v>
      </c>
      <c r="Q33" s="100">
        <v>9.32</v>
      </c>
      <c r="R33" s="6"/>
      <c r="S33" s="6"/>
      <c r="T33" s="156"/>
      <c r="U33" s="6"/>
    </row>
    <row r="34" spans="1:21" customFormat="1">
      <c r="A34" s="201" t="s">
        <v>3053</v>
      </c>
      <c r="B34" s="100">
        <v>25.27</v>
      </c>
      <c r="C34" s="100">
        <v>17.510000000000002</v>
      </c>
      <c r="D34" s="100">
        <v>29.41</v>
      </c>
      <c r="E34" s="100">
        <v>5.93</v>
      </c>
      <c r="F34" s="100">
        <v>0.01</v>
      </c>
      <c r="G34" s="100">
        <v>99.53</v>
      </c>
      <c r="H34" s="100">
        <v>47.38</v>
      </c>
      <c r="I34" s="100">
        <v>14.95</v>
      </c>
      <c r="J34" s="100">
        <v>0.38</v>
      </c>
      <c r="K34" s="100">
        <v>56.71</v>
      </c>
      <c r="L34" s="100">
        <v>17.96</v>
      </c>
      <c r="M34" s="100">
        <v>79.09</v>
      </c>
      <c r="N34" s="100">
        <v>4.5999999999999996</v>
      </c>
      <c r="O34" s="100">
        <v>0</v>
      </c>
      <c r="P34" s="100">
        <v>0.84</v>
      </c>
      <c r="Q34" s="100">
        <v>9.32</v>
      </c>
      <c r="R34" s="6"/>
      <c r="S34" s="6"/>
      <c r="T34" s="156"/>
      <c r="U34" s="6"/>
    </row>
    <row r="35" spans="1:21" customFormat="1">
      <c r="A35" s="201" t="s">
        <v>3054</v>
      </c>
      <c r="B35" s="100">
        <v>25.98</v>
      </c>
      <c r="C35" s="100">
        <v>17.39</v>
      </c>
      <c r="D35" s="100">
        <v>29.92</v>
      </c>
      <c r="E35" s="100">
        <v>6.37</v>
      </c>
      <c r="F35" s="100">
        <v>0.01</v>
      </c>
      <c r="G35" s="100">
        <v>98.43</v>
      </c>
      <c r="H35" s="100">
        <v>47.34</v>
      </c>
      <c r="I35" s="100">
        <v>14.85</v>
      </c>
      <c r="J35" s="100">
        <v>0.35</v>
      </c>
      <c r="K35" s="100">
        <v>46.99</v>
      </c>
      <c r="L35" s="100">
        <v>18.12</v>
      </c>
      <c r="M35" s="100">
        <v>78.680000000000007</v>
      </c>
      <c r="N35" s="100">
        <v>14.1</v>
      </c>
      <c r="O35" s="100">
        <v>0</v>
      </c>
      <c r="P35" s="100">
        <v>0.84</v>
      </c>
      <c r="Q35" s="100">
        <v>9.32</v>
      </c>
      <c r="R35" s="6"/>
      <c r="S35" s="6"/>
      <c r="T35" s="156"/>
      <c r="U35" s="6"/>
    </row>
    <row r="36" spans="1:21" customFormat="1">
      <c r="A36" s="201" t="s">
        <v>3055</v>
      </c>
      <c r="B36" s="100">
        <v>26.37</v>
      </c>
      <c r="C36" s="100">
        <v>17.57</v>
      </c>
      <c r="D36" s="100">
        <v>30.32</v>
      </c>
      <c r="E36" s="100">
        <v>6</v>
      </c>
      <c r="F36" s="100">
        <v>0.01</v>
      </c>
      <c r="G36" s="100">
        <v>98.43</v>
      </c>
      <c r="H36" s="100">
        <v>47.34</v>
      </c>
      <c r="I36" s="100">
        <v>14.8</v>
      </c>
      <c r="J36" s="100">
        <v>0.12</v>
      </c>
      <c r="K36" s="100">
        <v>174.4</v>
      </c>
      <c r="L36" s="100">
        <v>18.14</v>
      </c>
      <c r="M36" s="100">
        <v>80.87</v>
      </c>
      <c r="N36" s="100">
        <v>21.9</v>
      </c>
      <c r="O36" s="100">
        <v>0</v>
      </c>
      <c r="P36" s="100">
        <v>0.84</v>
      </c>
      <c r="Q36" s="100">
        <v>9.32</v>
      </c>
      <c r="R36" s="6"/>
      <c r="S36" s="6"/>
      <c r="T36" s="156"/>
      <c r="U36" s="6"/>
    </row>
    <row r="37" spans="1:21" customFormat="1">
      <c r="A37" s="201" t="s">
        <v>3056</v>
      </c>
      <c r="B37" s="100">
        <v>26.26</v>
      </c>
      <c r="C37" s="100">
        <v>17.46</v>
      </c>
      <c r="D37" s="100">
        <v>30.18</v>
      </c>
      <c r="E37" s="100">
        <v>5.77</v>
      </c>
      <c r="F37" s="100">
        <v>0.01</v>
      </c>
      <c r="G37" s="100">
        <v>98.43</v>
      </c>
      <c r="H37" s="100">
        <v>47.34</v>
      </c>
      <c r="I37" s="100">
        <v>14.91</v>
      </c>
      <c r="J37" s="100">
        <v>0.27</v>
      </c>
      <c r="K37" s="100">
        <v>48.39</v>
      </c>
      <c r="L37" s="100">
        <v>18.309999999999999</v>
      </c>
      <c r="M37" s="100">
        <v>80.22</v>
      </c>
      <c r="N37" s="100">
        <v>40.299999999999997</v>
      </c>
      <c r="O37" s="100">
        <v>0</v>
      </c>
      <c r="P37" s="100">
        <v>0.84</v>
      </c>
      <c r="Q37" s="100">
        <v>9.32</v>
      </c>
      <c r="R37" s="6"/>
      <c r="S37" s="6"/>
      <c r="T37" s="156"/>
      <c r="U37" s="6"/>
    </row>
    <row r="38" spans="1:21" customFormat="1">
      <c r="A38" s="201" t="s">
        <v>3057</v>
      </c>
      <c r="B38" s="100">
        <v>26.21</v>
      </c>
      <c r="C38" s="100">
        <v>17.34</v>
      </c>
      <c r="D38" s="100">
        <v>30.08</v>
      </c>
      <c r="E38" s="100">
        <v>5.88</v>
      </c>
      <c r="F38" s="100">
        <v>0.05</v>
      </c>
      <c r="G38" s="100">
        <v>100.39</v>
      </c>
      <c r="H38" s="100">
        <v>47.25</v>
      </c>
      <c r="I38" s="100">
        <v>15.06</v>
      </c>
      <c r="J38" s="100">
        <v>0.35</v>
      </c>
      <c r="K38" s="100">
        <v>37.53</v>
      </c>
      <c r="L38" s="100">
        <v>18.829999999999998</v>
      </c>
      <c r="M38" s="100">
        <v>77.09</v>
      </c>
      <c r="N38" s="100">
        <v>50</v>
      </c>
      <c r="O38" s="100">
        <v>0</v>
      </c>
      <c r="P38" s="100">
        <v>0.83</v>
      </c>
      <c r="Q38" s="100">
        <v>9.32</v>
      </c>
      <c r="R38" s="6"/>
      <c r="S38" s="6"/>
      <c r="T38" s="156"/>
      <c r="U38" s="6"/>
    </row>
    <row r="39" spans="1:21" customFormat="1">
      <c r="A39" s="201" t="s">
        <v>3058</v>
      </c>
      <c r="B39" s="100">
        <v>26.34</v>
      </c>
      <c r="C39" s="100">
        <v>17.54</v>
      </c>
      <c r="D39" s="100">
        <v>30.28</v>
      </c>
      <c r="E39" s="100">
        <v>6.06</v>
      </c>
      <c r="F39" s="100">
        <v>0.05</v>
      </c>
      <c r="G39" s="100">
        <v>101.32</v>
      </c>
      <c r="H39" s="100">
        <v>47.24</v>
      </c>
      <c r="I39" s="100">
        <v>15.14</v>
      </c>
      <c r="J39" s="100">
        <v>0.44</v>
      </c>
      <c r="K39" s="100">
        <v>39.340000000000003</v>
      </c>
      <c r="L39" s="100">
        <v>19.09</v>
      </c>
      <c r="M39" s="100">
        <v>75.91</v>
      </c>
      <c r="N39" s="100">
        <v>49.7</v>
      </c>
      <c r="O39" s="100">
        <v>0</v>
      </c>
      <c r="P39" s="100">
        <v>0.83</v>
      </c>
      <c r="Q39" s="100">
        <v>9.32</v>
      </c>
      <c r="R39" s="6"/>
      <c r="S39" s="6"/>
      <c r="T39" s="156"/>
      <c r="U39" s="6"/>
    </row>
    <row r="40" spans="1:21" customFormat="1">
      <c r="A40" s="201" t="s">
        <v>3059</v>
      </c>
      <c r="B40" s="100">
        <v>26.4</v>
      </c>
      <c r="C40" s="100">
        <v>17.920000000000002</v>
      </c>
      <c r="D40" s="100">
        <v>30.53</v>
      </c>
      <c r="E40" s="100">
        <v>6.05</v>
      </c>
      <c r="F40" s="100">
        <v>0.05</v>
      </c>
      <c r="G40" s="100">
        <v>101.32</v>
      </c>
      <c r="H40" s="100">
        <v>47.24</v>
      </c>
      <c r="I40" s="100">
        <v>15.19</v>
      </c>
      <c r="J40" s="100">
        <v>0.78</v>
      </c>
      <c r="K40" s="100">
        <v>31.73</v>
      </c>
      <c r="L40" s="100">
        <v>19.34</v>
      </c>
      <c r="M40" s="100">
        <v>75.3</v>
      </c>
      <c r="N40" s="100">
        <v>81.400000000000006</v>
      </c>
      <c r="O40" s="100">
        <v>0</v>
      </c>
      <c r="P40" s="100">
        <v>0.84</v>
      </c>
      <c r="Q40" s="100">
        <v>9.32</v>
      </c>
      <c r="R40" s="6"/>
      <c r="S40" s="6"/>
      <c r="T40" s="156"/>
      <c r="U40" s="6"/>
    </row>
    <row r="41" spans="1:21" customFormat="1">
      <c r="A41" s="201" t="s">
        <v>3060</v>
      </c>
      <c r="B41" s="100">
        <v>26.15</v>
      </c>
      <c r="C41" s="100">
        <v>18.38</v>
      </c>
      <c r="D41" s="100">
        <v>30.57</v>
      </c>
      <c r="E41" s="100">
        <v>6.09</v>
      </c>
      <c r="F41" s="100">
        <v>0.02</v>
      </c>
      <c r="G41" s="100">
        <v>101.32</v>
      </c>
      <c r="H41" s="100">
        <v>47.24</v>
      </c>
      <c r="I41" s="100">
        <v>15.21</v>
      </c>
      <c r="J41" s="100">
        <v>0.53</v>
      </c>
      <c r="K41" s="100">
        <v>43.97</v>
      </c>
      <c r="L41" s="100">
        <v>20.05</v>
      </c>
      <c r="M41" s="100">
        <v>73.290000000000006</v>
      </c>
      <c r="N41" s="100">
        <v>172</v>
      </c>
      <c r="O41" s="100">
        <v>0</v>
      </c>
      <c r="P41" s="100">
        <v>0.84</v>
      </c>
      <c r="Q41" s="100">
        <v>10.220000000000001</v>
      </c>
      <c r="R41" s="6"/>
      <c r="S41" s="6"/>
      <c r="T41" s="156"/>
      <c r="U41" s="6"/>
    </row>
    <row r="42" spans="1:21" customFormat="1">
      <c r="A42" s="201" t="s">
        <v>3061</v>
      </c>
      <c r="B42" s="100">
        <v>25.67</v>
      </c>
      <c r="C42" s="100">
        <v>18.54</v>
      </c>
      <c r="D42" s="100">
        <v>30.27</v>
      </c>
      <c r="E42" s="100">
        <v>6.01</v>
      </c>
      <c r="F42" s="100">
        <v>0.05</v>
      </c>
      <c r="G42" s="100">
        <v>104.17</v>
      </c>
      <c r="H42" s="100">
        <v>49.98</v>
      </c>
      <c r="I42" s="100">
        <v>15.25</v>
      </c>
      <c r="J42" s="100">
        <v>1.04</v>
      </c>
      <c r="K42" s="100">
        <v>43.63</v>
      </c>
      <c r="L42" s="100">
        <v>20.79</v>
      </c>
      <c r="M42" s="100">
        <v>68.58</v>
      </c>
      <c r="N42" s="100">
        <v>207.3</v>
      </c>
      <c r="O42" s="100">
        <v>0</v>
      </c>
      <c r="P42" s="100">
        <v>0.83</v>
      </c>
      <c r="Q42" s="100">
        <v>9.32</v>
      </c>
      <c r="R42" s="6"/>
      <c r="S42" s="6"/>
      <c r="T42" s="156"/>
      <c r="U42" s="6"/>
    </row>
    <row r="43" spans="1:21" customFormat="1">
      <c r="A43" s="201" t="s">
        <v>3062</v>
      </c>
      <c r="B43" s="100">
        <v>24.9</v>
      </c>
      <c r="C43" s="100">
        <v>18.41</v>
      </c>
      <c r="D43" s="100">
        <v>29.59</v>
      </c>
      <c r="E43" s="100">
        <v>5.85</v>
      </c>
      <c r="F43" s="100">
        <v>0.13</v>
      </c>
      <c r="G43" s="100">
        <v>105.53</v>
      </c>
      <c r="H43" s="100">
        <v>50.25</v>
      </c>
      <c r="I43" s="100">
        <v>15.31</v>
      </c>
      <c r="J43" s="100">
        <v>0.78</v>
      </c>
      <c r="K43" s="100">
        <v>51.07</v>
      </c>
      <c r="L43" s="100">
        <v>21.4</v>
      </c>
      <c r="M43" s="100">
        <v>65.72</v>
      </c>
      <c r="N43" s="100">
        <v>195.1</v>
      </c>
      <c r="O43" s="100">
        <v>0</v>
      </c>
      <c r="P43" s="100">
        <v>0.83</v>
      </c>
      <c r="Q43" s="100">
        <v>9.32</v>
      </c>
      <c r="R43" s="6"/>
      <c r="S43" s="6"/>
      <c r="T43" s="156"/>
      <c r="U43" s="6"/>
    </row>
    <row r="44" spans="1:21" customFormat="1">
      <c r="A44" s="201" t="s">
        <v>3063</v>
      </c>
      <c r="B44" s="100">
        <v>24.06</v>
      </c>
      <c r="C44" s="100">
        <v>18.45</v>
      </c>
      <c r="D44" s="100">
        <v>28.93</v>
      </c>
      <c r="E44" s="100">
        <v>5.77</v>
      </c>
      <c r="F44" s="100">
        <v>0.06</v>
      </c>
      <c r="G44" s="100">
        <v>105.53</v>
      </c>
      <c r="H44" s="100">
        <v>50.25</v>
      </c>
      <c r="I44" s="100">
        <v>15.31</v>
      </c>
      <c r="J44" s="100">
        <v>0.82</v>
      </c>
      <c r="K44" s="100">
        <v>43.8</v>
      </c>
      <c r="L44" s="100">
        <v>22.51</v>
      </c>
      <c r="M44" s="100">
        <v>61.93</v>
      </c>
      <c r="N44" s="100">
        <v>281.5</v>
      </c>
      <c r="O44" s="100">
        <v>0</v>
      </c>
      <c r="P44" s="100">
        <v>0.81</v>
      </c>
      <c r="Q44" s="100">
        <v>9.32</v>
      </c>
      <c r="R44" s="6"/>
      <c r="S44" s="6"/>
      <c r="T44" s="156"/>
      <c r="U44" s="6"/>
    </row>
    <row r="45" spans="1:21" customFormat="1">
      <c r="A45" s="201" t="s">
        <v>3064</v>
      </c>
      <c r="B45" s="100">
        <v>23.22</v>
      </c>
      <c r="C45" s="100">
        <v>18.25</v>
      </c>
      <c r="D45" s="100">
        <v>28.15</v>
      </c>
      <c r="E45" s="100">
        <v>6</v>
      </c>
      <c r="F45" s="100">
        <v>0.08</v>
      </c>
      <c r="G45" s="100">
        <v>105.53</v>
      </c>
      <c r="H45" s="100">
        <v>50.25</v>
      </c>
      <c r="I45" s="100">
        <v>15.25</v>
      </c>
      <c r="J45" s="100">
        <v>1.08</v>
      </c>
      <c r="K45" s="100">
        <v>42.55</v>
      </c>
      <c r="L45" s="100">
        <v>23.18</v>
      </c>
      <c r="M45" s="100">
        <v>59.47</v>
      </c>
      <c r="N45" s="100">
        <v>177.3</v>
      </c>
      <c r="O45" s="100">
        <v>0</v>
      </c>
      <c r="P45" s="100">
        <v>0.81</v>
      </c>
      <c r="Q45" s="100">
        <v>9.32</v>
      </c>
      <c r="R45" s="6"/>
      <c r="S45" s="6"/>
      <c r="T45" s="156"/>
      <c r="U45" s="6"/>
    </row>
    <row r="46" spans="1:21" customFormat="1">
      <c r="A46" s="201" t="s">
        <v>3065</v>
      </c>
      <c r="B46" s="100">
        <v>22.36</v>
      </c>
      <c r="C46" s="100">
        <v>17.989999999999998</v>
      </c>
      <c r="D46" s="100">
        <v>27.33</v>
      </c>
      <c r="E46" s="100">
        <v>6.36</v>
      </c>
      <c r="F46" s="100">
        <v>0.05</v>
      </c>
      <c r="G46" s="100">
        <v>99.69</v>
      </c>
      <c r="H46" s="100">
        <v>44.31</v>
      </c>
      <c r="I46" s="100">
        <v>15.15</v>
      </c>
      <c r="J46" s="100">
        <v>1.0900000000000001</v>
      </c>
      <c r="K46" s="100">
        <v>39.299999999999997</v>
      </c>
      <c r="L46" s="100">
        <v>23.93</v>
      </c>
      <c r="M46" s="100">
        <v>56.65</v>
      </c>
      <c r="N46" s="100">
        <v>175.9</v>
      </c>
      <c r="O46" s="100">
        <v>0</v>
      </c>
      <c r="P46" s="100">
        <v>0.81</v>
      </c>
      <c r="Q46" s="100">
        <v>9.32</v>
      </c>
      <c r="R46" s="6"/>
      <c r="S46" s="6"/>
      <c r="T46" s="156"/>
      <c r="U46" s="6"/>
    </row>
    <row r="47" spans="1:21" customFormat="1">
      <c r="A47" s="201" t="s">
        <v>3066</v>
      </c>
      <c r="B47" s="100">
        <v>21.54</v>
      </c>
      <c r="C47" s="100">
        <v>17.84</v>
      </c>
      <c r="D47" s="100">
        <v>26.6</v>
      </c>
      <c r="E47" s="100">
        <v>5.83</v>
      </c>
      <c r="F47" s="100">
        <v>0.17</v>
      </c>
      <c r="G47" s="100">
        <v>96.76</v>
      </c>
      <c r="H47" s="100">
        <v>43.72</v>
      </c>
      <c r="I47" s="100">
        <v>15.05</v>
      </c>
      <c r="J47" s="100">
        <v>0.84</v>
      </c>
      <c r="K47" s="100">
        <v>38.090000000000003</v>
      </c>
      <c r="L47" s="100">
        <v>25.01</v>
      </c>
      <c r="M47" s="100">
        <v>52.97</v>
      </c>
      <c r="N47" s="100">
        <v>188.9</v>
      </c>
      <c r="O47" s="100">
        <v>0</v>
      </c>
      <c r="P47" s="100">
        <v>0.8</v>
      </c>
      <c r="Q47" s="100">
        <v>9.32</v>
      </c>
      <c r="R47" s="6"/>
      <c r="S47" s="6"/>
      <c r="T47" s="156"/>
      <c r="U47" s="6"/>
    </row>
    <row r="48" spans="1:21" customFormat="1">
      <c r="A48" s="201" t="s">
        <v>3067</v>
      </c>
      <c r="B48" s="100">
        <v>20.7</v>
      </c>
      <c r="C48" s="100">
        <v>17.64</v>
      </c>
      <c r="D48" s="100">
        <v>25.82</v>
      </c>
      <c r="E48" s="100">
        <v>6.24</v>
      </c>
      <c r="F48" s="100">
        <v>0.2</v>
      </c>
      <c r="G48" s="100">
        <v>96.76</v>
      </c>
      <c r="H48" s="100">
        <v>43.72</v>
      </c>
      <c r="I48" s="100">
        <v>14.93</v>
      </c>
      <c r="J48" s="100">
        <v>0.78</v>
      </c>
      <c r="K48" s="100">
        <v>50.66</v>
      </c>
      <c r="L48" s="100">
        <v>25.31</v>
      </c>
      <c r="M48" s="100">
        <v>52.12</v>
      </c>
      <c r="N48" s="100">
        <v>313.89999999999998</v>
      </c>
      <c r="O48" s="100">
        <v>0</v>
      </c>
      <c r="P48" s="100">
        <v>0.79</v>
      </c>
      <c r="Q48" s="100">
        <v>9.32</v>
      </c>
      <c r="R48" s="6"/>
      <c r="S48" s="6"/>
      <c r="T48" s="156"/>
      <c r="U48" s="6"/>
    </row>
    <row r="49" spans="1:21" customFormat="1">
      <c r="A49" s="201" t="s">
        <v>3068</v>
      </c>
      <c r="B49" s="100">
        <v>19.82</v>
      </c>
      <c r="C49" s="100">
        <v>17.64</v>
      </c>
      <c r="D49" s="100">
        <v>25.11</v>
      </c>
      <c r="E49" s="100">
        <v>4.84</v>
      </c>
      <c r="F49" s="100">
        <v>0.22</v>
      </c>
      <c r="G49" s="100">
        <v>96.76</v>
      </c>
      <c r="H49" s="100">
        <v>43.72</v>
      </c>
      <c r="I49" s="100">
        <v>14.8</v>
      </c>
      <c r="J49" s="100">
        <v>0.76</v>
      </c>
      <c r="K49" s="100">
        <v>36</v>
      </c>
      <c r="L49" s="100">
        <v>26.1</v>
      </c>
      <c r="M49" s="100">
        <v>50.16</v>
      </c>
      <c r="N49" s="100">
        <v>396.7</v>
      </c>
      <c r="O49" s="100">
        <v>0</v>
      </c>
      <c r="P49" s="100">
        <v>0.78</v>
      </c>
      <c r="Q49" s="100">
        <v>9.32</v>
      </c>
      <c r="R49" s="6"/>
      <c r="S49" s="6"/>
      <c r="T49" s="156"/>
      <c r="U49" s="6"/>
    </row>
    <row r="50" spans="1:21" customFormat="1">
      <c r="A50" s="201" t="s">
        <v>3069</v>
      </c>
      <c r="B50" s="100">
        <v>19.09</v>
      </c>
      <c r="C50" s="100">
        <v>17.579999999999998</v>
      </c>
      <c r="D50" s="100">
        <v>24.5</v>
      </c>
      <c r="E50" s="100">
        <v>5.84</v>
      </c>
      <c r="F50" s="100">
        <v>0.3</v>
      </c>
      <c r="G50" s="100">
        <v>90.21</v>
      </c>
      <c r="H50" s="100">
        <v>40.47</v>
      </c>
      <c r="I50" s="100">
        <v>14.42</v>
      </c>
      <c r="J50" s="100">
        <v>0.84</v>
      </c>
      <c r="K50" s="100">
        <v>41.52</v>
      </c>
      <c r="L50" s="100">
        <v>26.84</v>
      </c>
      <c r="M50" s="100">
        <v>46.28</v>
      </c>
      <c r="N50" s="100">
        <v>448.2</v>
      </c>
      <c r="O50" s="100">
        <v>0</v>
      </c>
      <c r="P50" s="100">
        <v>0.77</v>
      </c>
      <c r="Q50" s="100">
        <v>9.32</v>
      </c>
      <c r="R50" s="6"/>
      <c r="S50" s="6"/>
      <c r="T50" s="156"/>
      <c r="U50" s="6"/>
    </row>
    <row r="51" spans="1:21" customFormat="1">
      <c r="A51" s="201" t="s">
        <v>3070</v>
      </c>
      <c r="B51" s="100">
        <v>18.29</v>
      </c>
      <c r="C51" s="100">
        <v>17.559999999999999</v>
      </c>
      <c r="D51" s="100">
        <v>23.84</v>
      </c>
      <c r="E51" s="100">
        <v>5.87</v>
      </c>
      <c r="F51" s="100">
        <v>0.48</v>
      </c>
      <c r="G51" s="100">
        <v>87.1</v>
      </c>
      <c r="H51" s="100">
        <v>39.33</v>
      </c>
      <c r="I51" s="100">
        <v>14.02</v>
      </c>
      <c r="J51" s="100">
        <v>0.8</v>
      </c>
      <c r="K51" s="100">
        <v>51.91</v>
      </c>
      <c r="L51" s="100">
        <v>27.42</v>
      </c>
      <c r="M51" s="100">
        <v>42.78</v>
      </c>
      <c r="N51" s="100">
        <v>468.3</v>
      </c>
      <c r="O51" s="100">
        <v>0</v>
      </c>
      <c r="P51" s="100">
        <v>0.76</v>
      </c>
      <c r="Q51" s="100">
        <v>9.32</v>
      </c>
      <c r="R51" s="6"/>
      <c r="S51" s="6"/>
      <c r="T51" s="156"/>
      <c r="U51" s="6"/>
    </row>
    <row r="52" spans="1:21" customFormat="1">
      <c r="A52" s="201" t="s">
        <v>3071</v>
      </c>
      <c r="B52" s="100">
        <v>17.25</v>
      </c>
      <c r="C52" s="100">
        <v>17.48</v>
      </c>
      <c r="D52" s="100">
        <v>22.97</v>
      </c>
      <c r="E52" s="100">
        <v>5.82</v>
      </c>
      <c r="F52" s="100">
        <v>0.55000000000000004</v>
      </c>
      <c r="G52" s="100">
        <v>87.1</v>
      </c>
      <c r="H52" s="100">
        <v>39.33</v>
      </c>
      <c r="I52" s="100">
        <v>13.87</v>
      </c>
      <c r="J52" s="100">
        <v>0.4</v>
      </c>
      <c r="K52" s="100">
        <v>66.900000000000006</v>
      </c>
      <c r="L52" s="100">
        <v>27.84</v>
      </c>
      <c r="M52" s="100">
        <v>40.85</v>
      </c>
      <c r="N52" s="100">
        <v>353.5</v>
      </c>
      <c r="O52" s="100">
        <v>0</v>
      </c>
      <c r="P52" s="100">
        <v>0.74</v>
      </c>
      <c r="Q52" s="100">
        <v>9.32</v>
      </c>
      <c r="R52" s="6"/>
      <c r="S52" s="6"/>
      <c r="T52" s="156"/>
      <c r="U52" s="6"/>
    </row>
    <row r="53" spans="1:21" customFormat="1">
      <c r="A53" s="201" t="s">
        <v>3072</v>
      </c>
      <c r="B53" s="100">
        <v>15.73</v>
      </c>
      <c r="C53" s="100">
        <v>17.75</v>
      </c>
      <c r="D53" s="100">
        <v>21.89</v>
      </c>
      <c r="E53" s="100">
        <v>6.17</v>
      </c>
      <c r="F53" s="100">
        <v>0.46</v>
      </c>
      <c r="G53" s="100">
        <v>87.1</v>
      </c>
      <c r="H53" s="100">
        <v>39.33</v>
      </c>
      <c r="I53" s="100">
        <v>13.7</v>
      </c>
      <c r="J53" s="100">
        <v>0.49</v>
      </c>
      <c r="K53" s="100">
        <v>72.06</v>
      </c>
      <c r="L53" s="100">
        <v>28.61</v>
      </c>
      <c r="M53" s="100">
        <v>37.380000000000003</v>
      </c>
      <c r="N53" s="100">
        <v>433.5</v>
      </c>
      <c r="O53" s="100">
        <v>0</v>
      </c>
      <c r="P53" s="100">
        <v>0.71</v>
      </c>
      <c r="Q53" s="100">
        <v>9.32</v>
      </c>
      <c r="R53" s="6"/>
      <c r="S53" s="6"/>
      <c r="T53" s="156"/>
      <c r="U53" s="6"/>
    </row>
    <row r="54" spans="1:21" customFormat="1">
      <c r="A54" s="201" t="s">
        <v>3073</v>
      </c>
      <c r="B54" s="100">
        <v>14.01</v>
      </c>
      <c r="C54" s="100">
        <v>18.22</v>
      </c>
      <c r="D54" s="100">
        <v>20.76</v>
      </c>
      <c r="E54" s="100">
        <v>6.12</v>
      </c>
      <c r="F54" s="100">
        <v>0.64</v>
      </c>
      <c r="G54" s="100">
        <v>78.7</v>
      </c>
      <c r="H54" s="100">
        <v>32.31</v>
      </c>
      <c r="I54" s="100">
        <v>13.48</v>
      </c>
      <c r="J54" s="100">
        <v>0.75</v>
      </c>
      <c r="K54" s="100">
        <v>43.37</v>
      </c>
      <c r="L54" s="100">
        <v>27.91</v>
      </c>
      <c r="M54" s="100">
        <v>38.090000000000003</v>
      </c>
      <c r="N54" s="100">
        <v>251.3</v>
      </c>
      <c r="O54" s="100">
        <v>0</v>
      </c>
      <c r="P54" s="100">
        <v>0.7</v>
      </c>
      <c r="Q54" s="100">
        <v>9.32</v>
      </c>
      <c r="R54" s="6"/>
      <c r="S54" s="6"/>
      <c r="T54" s="156"/>
      <c r="U54" s="6"/>
    </row>
    <row r="55" spans="1:21" customFormat="1">
      <c r="A55" s="201" t="s">
        <v>3074</v>
      </c>
      <c r="B55" s="100">
        <v>12.48</v>
      </c>
      <c r="C55" s="100">
        <v>18.64</v>
      </c>
      <c r="D55" s="100">
        <v>19.739999999999998</v>
      </c>
      <c r="E55" s="100">
        <v>6.14</v>
      </c>
      <c r="F55" s="100">
        <v>0.7</v>
      </c>
      <c r="G55" s="100">
        <v>74.709999999999994</v>
      </c>
      <c r="H55" s="100">
        <v>31.61</v>
      </c>
      <c r="I55" s="100">
        <v>13.16</v>
      </c>
      <c r="J55" s="100">
        <v>0.37</v>
      </c>
      <c r="K55" s="100">
        <v>57.75</v>
      </c>
      <c r="L55" s="100">
        <v>29.17</v>
      </c>
      <c r="M55" s="100">
        <v>34.56</v>
      </c>
      <c r="N55" s="100">
        <v>627.5</v>
      </c>
      <c r="O55" s="100">
        <v>0</v>
      </c>
      <c r="P55" s="100">
        <v>0.68</v>
      </c>
      <c r="Q55" s="100">
        <v>9.32</v>
      </c>
      <c r="R55" s="6"/>
      <c r="S55" s="6"/>
      <c r="T55" s="156"/>
      <c r="U55" s="6"/>
    </row>
    <row r="56" spans="1:21" customFormat="1">
      <c r="A56" s="201" t="s">
        <v>3075</v>
      </c>
      <c r="B56" s="100">
        <v>10.93</v>
      </c>
      <c r="C56" s="100">
        <v>18.95</v>
      </c>
      <c r="D56" s="100">
        <v>18.670000000000002</v>
      </c>
      <c r="E56" s="100">
        <v>6.07</v>
      </c>
      <c r="F56" s="100">
        <v>0.87</v>
      </c>
      <c r="G56" s="100">
        <v>74.709999999999994</v>
      </c>
      <c r="H56" s="100">
        <v>31.61</v>
      </c>
      <c r="I56" s="100">
        <v>12.85</v>
      </c>
      <c r="J56" s="100">
        <v>0.78</v>
      </c>
      <c r="K56" s="100">
        <v>36.729999999999997</v>
      </c>
      <c r="L56" s="100">
        <v>29.33</v>
      </c>
      <c r="M56" s="100">
        <v>32.65</v>
      </c>
      <c r="N56" s="100">
        <v>606.4</v>
      </c>
      <c r="O56" s="100">
        <v>0</v>
      </c>
      <c r="P56" s="100">
        <v>0.66</v>
      </c>
      <c r="Q56" s="100">
        <v>9.32</v>
      </c>
      <c r="R56" s="6"/>
      <c r="S56" s="6"/>
      <c r="T56" s="156"/>
      <c r="U56" s="6"/>
    </row>
    <row r="57" spans="1:21" customFormat="1">
      <c r="A57" s="201" t="s">
        <v>3076</v>
      </c>
      <c r="B57" s="100">
        <v>9.42</v>
      </c>
      <c r="C57" s="100">
        <v>19.22</v>
      </c>
      <c r="D57" s="100">
        <v>17.600000000000001</v>
      </c>
      <c r="E57" s="100">
        <v>6.19</v>
      </c>
      <c r="F57" s="100">
        <v>1.1100000000000001</v>
      </c>
      <c r="G57" s="100">
        <v>74.709999999999994</v>
      </c>
      <c r="H57" s="100">
        <v>31.61</v>
      </c>
      <c r="I57" s="100">
        <v>12.61</v>
      </c>
      <c r="J57" s="100">
        <v>0.96</v>
      </c>
      <c r="K57" s="100">
        <v>30.01</v>
      </c>
      <c r="L57" s="100">
        <v>29.49</v>
      </c>
      <c r="M57" s="100">
        <v>32.14</v>
      </c>
      <c r="N57" s="100">
        <v>591.9</v>
      </c>
      <c r="O57" s="100">
        <v>0</v>
      </c>
      <c r="P57" s="100">
        <v>0.65</v>
      </c>
      <c r="Q57" s="100">
        <v>9.32</v>
      </c>
      <c r="R57" s="6"/>
      <c r="S57" s="6"/>
      <c r="T57" s="156"/>
      <c r="U57" s="6"/>
    </row>
    <row r="58" spans="1:21" customFormat="1">
      <c r="A58" s="201" t="s">
        <v>3077</v>
      </c>
      <c r="B58" s="100">
        <v>7.97</v>
      </c>
      <c r="C58" s="100">
        <v>19.350000000000001</v>
      </c>
      <c r="D58" s="100">
        <v>16.5</v>
      </c>
      <c r="E58" s="100">
        <v>6.15</v>
      </c>
      <c r="F58" s="100">
        <v>1.64</v>
      </c>
      <c r="G58" s="100">
        <v>72.38</v>
      </c>
      <c r="H58" s="100">
        <v>30.83</v>
      </c>
      <c r="I58" s="100">
        <v>12.32</v>
      </c>
      <c r="J58" s="100">
        <v>0.32</v>
      </c>
      <c r="K58" s="100">
        <v>30.64</v>
      </c>
      <c r="L58" s="100">
        <v>29.41</v>
      </c>
      <c r="M58" s="100">
        <v>31.16</v>
      </c>
      <c r="N58" s="100">
        <v>533</v>
      </c>
      <c r="O58" s="100">
        <v>0</v>
      </c>
      <c r="P58" s="100">
        <v>0.63</v>
      </c>
      <c r="Q58" s="100">
        <v>9.32</v>
      </c>
      <c r="R58" s="6"/>
      <c r="S58" s="6"/>
      <c r="T58" s="156"/>
      <c r="U58" s="6"/>
    </row>
    <row r="59" spans="1:21" customFormat="1">
      <c r="A59" s="201" t="s">
        <v>3078</v>
      </c>
      <c r="B59" s="100">
        <v>6.66</v>
      </c>
      <c r="C59" s="100">
        <v>19.239999999999998</v>
      </c>
      <c r="D59" s="100">
        <v>15.4</v>
      </c>
      <c r="E59" s="100">
        <v>6</v>
      </c>
      <c r="F59" s="100">
        <v>1.45</v>
      </c>
      <c r="G59" s="100">
        <v>71.27</v>
      </c>
      <c r="H59" s="100">
        <v>30.75</v>
      </c>
      <c r="I59" s="100">
        <v>12.03</v>
      </c>
      <c r="J59" s="100">
        <v>0.64</v>
      </c>
      <c r="K59" s="100">
        <v>53.56</v>
      </c>
      <c r="L59" s="100">
        <v>29.43</v>
      </c>
      <c r="M59" s="100">
        <v>30.41</v>
      </c>
      <c r="N59" s="100">
        <v>403.3</v>
      </c>
      <c r="O59" s="100">
        <v>0</v>
      </c>
      <c r="P59" s="100">
        <v>0.62</v>
      </c>
      <c r="Q59" s="100">
        <v>9.32</v>
      </c>
      <c r="R59" s="6"/>
      <c r="S59" s="6"/>
      <c r="T59" s="156"/>
      <c r="U59" s="6"/>
    </row>
    <row r="60" spans="1:21" customFormat="1">
      <c r="A60" s="201" t="s">
        <v>3079</v>
      </c>
      <c r="B60" s="100">
        <v>5.6</v>
      </c>
      <c r="C60" s="100">
        <v>18.97</v>
      </c>
      <c r="D60" s="100">
        <v>14.4</v>
      </c>
      <c r="E60" s="100">
        <v>6.21</v>
      </c>
      <c r="F60" s="100">
        <v>1.7</v>
      </c>
      <c r="G60" s="100">
        <v>71.27</v>
      </c>
      <c r="H60" s="100">
        <v>30.75</v>
      </c>
      <c r="I60" s="100">
        <v>11.77</v>
      </c>
      <c r="J60" s="100">
        <v>0.46</v>
      </c>
      <c r="K60" s="100">
        <v>44.56</v>
      </c>
      <c r="L60" s="100">
        <v>29.26</v>
      </c>
      <c r="M60" s="100">
        <v>30.76</v>
      </c>
      <c r="N60" s="100">
        <v>405.5</v>
      </c>
      <c r="O60" s="100">
        <v>0</v>
      </c>
      <c r="P60" s="100">
        <v>0.6</v>
      </c>
      <c r="Q60" s="100">
        <v>9.32</v>
      </c>
      <c r="R60" s="6"/>
      <c r="S60" s="6"/>
      <c r="T60" s="156"/>
      <c r="U60" s="6"/>
    </row>
    <row r="61" spans="1:21" customFormat="1">
      <c r="A61" s="201" t="s">
        <v>3080</v>
      </c>
      <c r="B61" s="100">
        <v>4.8499999999999996</v>
      </c>
      <c r="C61" s="100">
        <v>18.649999999999999</v>
      </c>
      <c r="D61" s="100">
        <v>13.63</v>
      </c>
      <c r="E61" s="100">
        <v>5.87</v>
      </c>
      <c r="F61" s="100">
        <v>1.81</v>
      </c>
      <c r="G61" s="100">
        <v>71.27</v>
      </c>
      <c r="H61" s="100">
        <v>30.75</v>
      </c>
      <c r="I61" s="100">
        <v>11.52</v>
      </c>
      <c r="J61" s="100">
        <v>0.71</v>
      </c>
      <c r="K61" s="100">
        <v>41.74</v>
      </c>
      <c r="L61" s="100">
        <v>29.69</v>
      </c>
      <c r="M61" s="100">
        <v>30.36</v>
      </c>
      <c r="N61" s="100">
        <v>353.8</v>
      </c>
      <c r="O61" s="100">
        <v>0</v>
      </c>
      <c r="P61" s="100">
        <v>0.59</v>
      </c>
      <c r="Q61" s="100">
        <v>9.32</v>
      </c>
      <c r="R61" s="6"/>
      <c r="S61" s="6"/>
      <c r="T61" s="156"/>
      <c r="U61" s="6"/>
    </row>
    <row r="62" spans="1:21" customFormat="1">
      <c r="A62" s="201" t="s">
        <v>3081</v>
      </c>
      <c r="B62" s="100">
        <v>4.2699999999999996</v>
      </c>
      <c r="C62" s="100">
        <v>18.260000000000002</v>
      </c>
      <c r="D62" s="100">
        <v>12.97</v>
      </c>
      <c r="E62" s="100">
        <v>6.18</v>
      </c>
      <c r="F62" s="100">
        <v>2.4</v>
      </c>
      <c r="G62" s="100">
        <v>64.59</v>
      </c>
      <c r="H62" s="100">
        <v>29.21</v>
      </c>
      <c r="I62" s="100">
        <v>11.28</v>
      </c>
      <c r="J62" s="100">
        <v>0.41</v>
      </c>
      <c r="K62" s="100">
        <v>46.3</v>
      </c>
      <c r="L62" s="100">
        <v>29.52</v>
      </c>
      <c r="M62" s="100">
        <v>30.83</v>
      </c>
      <c r="N62" s="100">
        <v>218.5</v>
      </c>
      <c r="O62" s="100">
        <v>0</v>
      </c>
      <c r="P62" s="100">
        <v>0.56999999999999995</v>
      </c>
      <c r="Q62" s="100">
        <v>9.32</v>
      </c>
      <c r="R62" s="6"/>
      <c r="S62" s="6"/>
      <c r="T62" s="156"/>
      <c r="U62" s="6"/>
    </row>
    <row r="63" spans="1:21" customFormat="1">
      <c r="A63" s="201" t="s">
        <v>3082</v>
      </c>
      <c r="B63" s="100">
        <v>3.9</v>
      </c>
      <c r="C63" s="100">
        <v>17.78</v>
      </c>
      <c r="D63" s="100">
        <v>12.42</v>
      </c>
      <c r="E63" s="100">
        <v>6.12</v>
      </c>
      <c r="F63" s="100">
        <v>2.41</v>
      </c>
      <c r="G63" s="100">
        <v>61.41</v>
      </c>
      <c r="H63" s="100">
        <v>29.06</v>
      </c>
      <c r="I63" s="100">
        <v>11.15</v>
      </c>
      <c r="J63" s="100">
        <v>0.1</v>
      </c>
      <c r="K63" s="100">
        <v>56.72</v>
      </c>
      <c r="L63" s="100">
        <v>29.5</v>
      </c>
      <c r="M63" s="100">
        <v>31.8</v>
      </c>
      <c r="N63" s="100">
        <v>177.2</v>
      </c>
      <c r="O63" s="100">
        <v>0</v>
      </c>
      <c r="P63" s="100">
        <v>0.56999999999999995</v>
      </c>
      <c r="Q63" s="100">
        <v>9.32</v>
      </c>
      <c r="R63" s="6"/>
      <c r="S63" s="6"/>
      <c r="T63" s="156"/>
      <c r="U63" s="6"/>
    </row>
    <row r="64" spans="1:21" customFormat="1">
      <c r="A64" s="201" t="s">
        <v>3083</v>
      </c>
      <c r="B64" s="100">
        <v>3.61</v>
      </c>
      <c r="C64" s="100">
        <v>17.059999999999999</v>
      </c>
      <c r="D64" s="100">
        <v>11.81</v>
      </c>
      <c r="E64" s="100">
        <v>5.81</v>
      </c>
      <c r="F64" s="100">
        <v>2.52</v>
      </c>
      <c r="G64" s="100">
        <v>61.41</v>
      </c>
      <c r="H64" s="100">
        <v>29.06</v>
      </c>
      <c r="I64" s="100">
        <v>11.04</v>
      </c>
      <c r="J64" s="100">
        <v>0.21</v>
      </c>
      <c r="K64" s="100">
        <v>163.18</v>
      </c>
      <c r="L64" s="100">
        <v>29.2</v>
      </c>
      <c r="M64" s="100">
        <v>35.07</v>
      </c>
      <c r="N64" s="100">
        <v>153.6</v>
      </c>
      <c r="O64" s="100">
        <v>0</v>
      </c>
      <c r="P64" s="100">
        <v>0.55000000000000004</v>
      </c>
      <c r="Q64" s="100">
        <v>9.32</v>
      </c>
      <c r="R64" s="6"/>
      <c r="S64" s="6"/>
      <c r="T64" s="156"/>
      <c r="U64" s="6"/>
    </row>
    <row r="65" spans="1:21" customFormat="1">
      <c r="A65" s="201" t="s">
        <v>3084</v>
      </c>
      <c r="B65" s="100">
        <v>3.46</v>
      </c>
      <c r="C65" s="100">
        <v>16.350000000000001</v>
      </c>
      <c r="D65" s="100">
        <v>11.32</v>
      </c>
      <c r="E65" s="100">
        <v>6.11</v>
      </c>
      <c r="F65" s="100">
        <v>3.01</v>
      </c>
      <c r="G65" s="100">
        <v>61.41</v>
      </c>
      <c r="H65" s="100">
        <v>29.06</v>
      </c>
      <c r="I65" s="100">
        <v>10.83</v>
      </c>
      <c r="J65" s="100">
        <v>0.28999999999999998</v>
      </c>
      <c r="K65" s="100">
        <v>60.92</v>
      </c>
      <c r="L65" s="100">
        <v>29.24</v>
      </c>
      <c r="M65" s="100">
        <v>32.25</v>
      </c>
      <c r="N65" s="100">
        <v>163.6</v>
      </c>
      <c r="O65" s="100">
        <v>0</v>
      </c>
      <c r="P65" s="100">
        <v>0.53</v>
      </c>
      <c r="Q65" s="100">
        <v>9.32</v>
      </c>
      <c r="R65" s="6"/>
      <c r="S65" s="6"/>
      <c r="T65" s="156"/>
      <c r="U65" s="6"/>
    </row>
    <row r="66" spans="1:21" customFormat="1">
      <c r="A66" s="201" t="s">
        <v>3085</v>
      </c>
      <c r="B66" s="100">
        <v>3.36</v>
      </c>
      <c r="C66" s="100">
        <v>15.82</v>
      </c>
      <c r="D66" s="100">
        <v>10.95</v>
      </c>
      <c r="E66" s="100">
        <v>5.74</v>
      </c>
      <c r="F66" s="100">
        <v>2.98</v>
      </c>
      <c r="G66" s="100">
        <v>58.12</v>
      </c>
      <c r="H66" s="100">
        <v>29.96</v>
      </c>
      <c r="I66" s="100">
        <v>10.6</v>
      </c>
      <c r="J66" s="100">
        <v>0.27</v>
      </c>
      <c r="K66" s="100">
        <v>127.7</v>
      </c>
      <c r="L66" s="100">
        <v>29.33</v>
      </c>
      <c r="M66" s="100">
        <v>32.29</v>
      </c>
      <c r="N66" s="100">
        <v>180.9</v>
      </c>
      <c r="O66" s="100">
        <v>0</v>
      </c>
      <c r="P66" s="100">
        <v>0.53</v>
      </c>
      <c r="Q66" s="100">
        <v>9.32</v>
      </c>
      <c r="R66" s="6"/>
      <c r="S66" s="6"/>
      <c r="T66" s="156"/>
      <c r="U66" s="6"/>
    </row>
    <row r="67" spans="1:21" customFormat="1">
      <c r="A67" s="201" t="s">
        <v>3086</v>
      </c>
      <c r="B67" s="100">
        <v>3.28</v>
      </c>
      <c r="C67" s="100">
        <v>15.38</v>
      </c>
      <c r="D67" s="100">
        <v>10.67</v>
      </c>
      <c r="E67" s="100">
        <v>5.05</v>
      </c>
      <c r="F67" s="100">
        <v>3.44</v>
      </c>
      <c r="G67" s="100">
        <v>56.55</v>
      </c>
      <c r="H67" s="100">
        <v>30.05</v>
      </c>
      <c r="I67" s="100">
        <v>10.37</v>
      </c>
      <c r="J67" s="100">
        <v>0.56999999999999995</v>
      </c>
      <c r="K67" s="100">
        <v>62.18</v>
      </c>
      <c r="L67" s="100">
        <v>29.64</v>
      </c>
      <c r="M67" s="100">
        <v>30.31</v>
      </c>
      <c r="N67" s="100">
        <v>188.8</v>
      </c>
      <c r="O67" s="100">
        <v>0</v>
      </c>
      <c r="P67" s="100">
        <v>0.52</v>
      </c>
      <c r="Q67" s="100">
        <v>9.32</v>
      </c>
      <c r="R67" s="6"/>
      <c r="S67" s="6"/>
      <c r="T67" s="156"/>
      <c r="U67" s="6"/>
    </row>
    <row r="68" spans="1:21" customFormat="1">
      <c r="A68" s="201" t="s">
        <v>3087</v>
      </c>
      <c r="B68" s="100">
        <v>3.27</v>
      </c>
      <c r="C68" s="100">
        <v>15.12</v>
      </c>
      <c r="D68" s="100">
        <v>10.52</v>
      </c>
      <c r="E68" s="100">
        <v>5.92</v>
      </c>
      <c r="F68" s="100">
        <v>3.09</v>
      </c>
      <c r="G68" s="100">
        <v>56.55</v>
      </c>
      <c r="H68" s="100">
        <v>30.05</v>
      </c>
      <c r="I68" s="100">
        <v>10.18</v>
      </c>
      <c r="J68" s="100">
        <v>0.26</v>
      </c>
      <c r="K68" s="100">
        <v>158.82</v>
      </c>
      <c r="L68" s="100">
        <v>29.19</v>
      </c>
      <c r="M68" s="100">
        <v>33.53</v>
      </c>
      <c r="N68" s="100">
        <v>83.8</v>
      </c>
      <c r="O68" s="100">
        <v>0</v>
      </c>
      <c r="P68" s="100">
        <v>0.51</v>
      </c>
      <c r="Q68" s="100">
        <v>9.32</v>
      </c>
      <c r="R68" s="6"/>
      <c r="S68" s="6"/>
      <c r="T68" s="156"/>
      <c r="U68" s="6"/>
    </row>
    <row r="69" spans="1:21" customFormat="1">
      <c r="A69" s="201" t="s">
        <v>3088</v>
      </c>
      <c r="B69" s="100">
        <v>3.23</v>
      </c>
      <c r="C69" s="100">
        <v>14.84</v>
      </c>
      <c r="D69" s="100">
        <v>10.34</v>
      </c>
      <c r="E69" s="100">
        <v>6.23</v>
      </c>
      <c r="F69" s="100">
        <v>2.7</v>
      </c>
      <c r="G69" s="100">
        <v>56.55</v>
      </c>
      <c r="H69" s="100">
        <v>30.05</v>
      </c>
      <c r="I69" s="100">
        <v>9.99</v>
      </c>
      <c r="J69" s="100">
        <v>0.22</v>
      </c>
      <c r="K69" s="100">
        <v>113.21</v>
      </c>
      <c r="L69" s="100">
        <v>28.7</v>
      </c>
      <c r="M69" s="100">
        <v>35.409999999999997</v>
      </c>
      <c r="N69" s="100">
        <v>103.4</v>
      </c>
      <c r="O69" s="100">
        <v>0</v>
      </c>
      <c r="P69" s="100">
        <v>0.5</v>
      </c>
      <c r="Q69" s="100">
        <v>9.32</v>
      </c>
      <c r="R69" s="6"/>
      <c r="S69" s="6"/>
      <c r="T69" s="156"/>
      <c r="U69" s="6"/>
    </row>
    <row r="70" spans="1:21" customFormat="1">
      <c r="A70" s="201" t="s">
        <v>3089</v>
      </c>
      <c r="B70" s="100">
        <v>3.26</v>
      </c>
      <c r="C70" s="100">
        <v>14.86</v>
      </c>
      <c r="D70" s="100">
        <v>10.38</v>
      </c>
      <c r="E70" s="100">
        <v>5.99</v>
      </c>
      <c r="F70" s="100">
        <v>2.62</v>
      </c>
      <c r="G70" s="100">
        <v>58.39</v>
      </c>
      <c r="H70" s="100">
        <v>28.79</v>
      </c>
      <c r="I70" s="100">
        <v>9.8000000000000007</v>
      </c>
      <c r="J70" s="100">
        <v>0.28999999999999998</v>
      </c>
      <c r="K70" s="100">
        <v>55.13</v>
      </c>
      <c r="L70" s="100">
        <v>29.19</v>
      </c>
      <c r="M70" s="100">
        <v>33.51</v>
      </c>
      <c r="N70" s="100">
        <v>114.6</v>
      </c>
      <c r="O70" s="100">
        <v>0</v>
      </c>
      <c r="P70" s="100">
        <v>0.51</v>
      </c>
      <c r="Q70" s="100">
        <v>9.32</v>
      </c>
      <c r="R70" s="6"/>
      <c r="S70" s="6"/>
      <c r="T70" s="156"/>
      <c r="U70" s="6"/>
    </row>
    <row r="71" spans="1:21" customFormat="1">
      <c r="A71" s="201" t="s">
        <v>3090</v>
      </c>
      <c r="B71" s="100">
        <v>3.42</v>
      </c>
      <c r="C71" s="100">
        <v>15.24</v>
      </c>
      <c r="D71" s="100">
        <v>10.71</v>
      </c>
      <c r="E71" s="100">
        <v>6.7</v>
      </c>
      <c r="F71" s="100">
        <v>2.39</v>
      </c>
      <c r="G71" s="100">
        <v>59.26</v>
      </c>
      <c r="H71" s="100">
        <v>28.66</v>
      </c>
      <c r="I71" s="100">
        <v>9.66</v>
      </c>
      <c r="J71" s="100">
        <v>0.49</v>
      </c>
      <c r="K71" s="100">
        <v>46.76</v>
      </c>
      <c r="L71" s="100">
        <v>29.1</v>
      </c>
      <c r="M71" s="100">
        <v>33.07</v>
      </c>
      <c r="N71" s="100">
        <v>71.599999999999994</v>
      </c>
      <c r="O71" s="100">
        <v>0</v>
      </c>
      <c r="P71" s="100">
        <v>0.5</v>
      </c>
      <c r="Q71" s="100">
        <v>9.32</v>
      </c>
      <c r="R71" s="6"/>
      <c r="S71" s="6"/>
      <c r="T71" s="156"/>
      <c r="U71" s="6"/>
    </row>
    <row r="72" spans="1:21" customFormat="1">
      <c r="A72" s="201" t="s">
        <v>3091</v>
      </c>
      <c r="B72" s="100">
        <v>3.51</v>
      </c>
      <c r="C72" s="100">
        <v>15.67</v>
      </c>
      <c r="D72" s="100">
        <v>11</v>
      </c>
      <c r="E72" s="100">
        <v>6.56</v>
      </c>
      <c r="F72" s="100">
        <v>2.1800000000000002</v>
      </c>
      <c r="G72" s="100">
        <v>59.26</v>
      </c>
      <c r="H72" s="100">
        <v>28.66</v>
      </c>
      <c r="I72" s="100">
        <v>9.57</v>
      </c>
      <c r="J72" s="100">
        <v>0.19</v>
      </c>
      <c r="K72" s="100">
        <v>133.34</v>
      </c>
      <c r="L72" s="100">
        <v>28.75</v>
      </c>
      <c r="M72" s="100">
        <v>35.020000000000003</v>
      </c>
      <c r="N72" s="100">
        <v>49.8</v>
      </c>
      <c r="O72" s="100">
        <v>0</v>
      </c>
      <c r="P72" s="100">
        <v>0.5</v>
      </c>
      <c r="Q72" s="100">
        <v>9.32</v>
      </c>
      <c r="R72" s="6"/>
      <c r="S72" s="6"/>
      <c r="T72" s="156"/>
      <c r="U72" s="6"/>
    </row>
    <row r="73" spans="1:21" customFormat="1">
      <c r="A73" s="201" t="s">
        <v>3092</v>
      </c>
      <c r="B73" s="100">
        <v>3.62</v>
      </c>
      <c r="C73" s="100">
        <v>15.69</v>
      </c>
      <c r="D73" s="100">
        <v>11.1</v>
      </c>
      <c r="E73" s="100">
        <v>6.89</v>
      </c>
      <c r="F73" s="100">
        <v>2.89</v>
      </c>
      <c r="G73" s="100">
        <v>59.26</v>
      </c>
      <c r="H73" s="100">
        <v>28.66</v>
      </c>
      <c r="I73" s="100">
        <v>9.5</v>
      </c>
      <c r="J73" s="100">
        <v>0.22</v>
      </c>
      <c r="K73" s="100">
        <v>153.9</v>
      </c>
      <c r="L73" s="100">
        <v>28.07</v>
      </c>
      <c r="M73" s="100">
        <v>39.06</v>
      </c>
      <c r="N73" s="100">
        <v>56.2</v>
      </c>
      <c r="O73" s="100">
        <v>0</v>
      </c>
      <c r="P73" s="100">
        <v>0.52</v>
      </c>
      <c r="Q73" s="100">
        <v>9.32</v>
      </c>
      <c r="R73" s="6"/>
      <c r="S73" s="6"/>
      <c r="T73" s="156"/>
      <c r="U73" s="6"/>
    </row>
    <row r="74" spans="1:21" customFormat="1">
      <c r="A74" s="201" t="s">
        <v>3093</v>
      </c>
      <c r="B74" s="100">
        <v>3.78</v>
      </c>
      <c r="C74" s="100">
        <v>15.35</v>
      </c>
      <c r="D74" s="100">
        <v>11.05</v>
      </c>
      <c r="E74" s="100">
        <v>6.36</v>
      </c>
      <c r="F74" s="100">
        <v>2.4900000000000002</v>
      </c>
      <c r="G74" s="100">
        <v>60.59</v>
      </c>
      <c r="H74" s="100">
        <v>29.83</v>
      </c>
      <c r="I74" s="100">
        <v>9.41</v>
      </c>
      <c r="J74" s="100">
        <v>0.27</v>
      </c>
      <c r="K74" s="100">
        <v>158.76</v>
      </c>
      <c r="L74" s="100">
        <v>27.53</v>
      </c>
      <c r="M74" s="100">
        <v>41.65</v>
      </c>
      <c r="N74" s="100">
        <v>48.5</v>
      </c>
      <c r="O74" s="100">
        <v>0</v>
      </c>
      <c r="P74" s="100">
        <v>0.52</v>
      </c>
      <c r="Q74" s="100">
        <v>9.32</v>
      </c>
      <c r="R74" s="6"/>
      <c r="S74" s="6"/>
      <c r="T74" s="156"/>
      <c r="U74" s="6"/>
    </row>
    <row r="75" spans="1:21" customFormat="1">
      <c r="A75" s="201" t="s">
        <v>3094</v>
      </c>
      <c r="B75" s="100">
        <v>3.9</v>
      </c>
      <c r="C75" s="100">
        <v>15.06</v>
      </c>
      <c r="D75" s="100">
        <v>11</v>
      </c>
      <c r="E75" s="100">
        <v>6.72</v>
      </c>
      <c r="F75" s="100">
        <v>1.36</v>
      </c>
      <c r="G75" s="100">
        <v>61.22</v>
      </c>
      <c r="H75" s="100">
        <v>30.09</v>
      </c>
      <c r="I75" s="100">
        <v>9.33</v>
      </c>
      <c r="J75" s="100">
        <v>0.15</v>
      </c>
      <c r="K75" s="100">
        <v>159.41999999999999</v>
      </c>
      <c r="L75" s="100">
        <v>27.11</v>
      </c>
      <c r="M75" s="100">
        <v>43.13</v>
      </c>
      <c r="N75" s="100">
        <v>29.1</v>
      </c>
      <c r="O75" s="100">
        <v>0</v>
      </c>
      <c r="P75" s="100">
        <v>0.52</v>
      </c>
      <c r="Q75" s="100">
        <v>9.32</v>
      </c>
      <c r="R75" s="6"/>
      <c r="S75" s="6"/>
      <c r="T75" s="156"/>
      <c r="U75" s="6"/>
    </row>
    <row r="76" spans="1:21" customFormat="1">
      <c r="A76" s="201" t="s">
        <v>3095</v>
      </c>
      <c r="B76" s="100">
        <v>4.05</v>
      </c>
      <c r="C76" s="100">
        <v>14.68</v>
      </c>
      <c r="D76" s="100">
        <v>10.92</v>
      </c>
      <c r="E76" s="100">
        <v>6.58</v>
      </c>
      <c r="F76" s="100">
        <v>2.25</v>
      </c>
      <c r="G76" s="100">
        <v>61.22</v>
      </c>
      <c r="H76" s="100">
        <v>30.09</v>
      </c>
      <c r="I76" s="100">
        <v>9.31</v>
      </c>
      <c r="J76" s="100">
        <v>0.15</v>
      </c>
      <c r="K76" s="100">
        <v>145.38</v>
      </c>
      <c r="L76" s="100">
        <v>26.87</v>
      </c>
      <c r="M76" s="100">
        <v>42.63</v>
      </c>
      <c r="N76" s="100">
        <v>23.8</v>
      </c>
      <c r="O76" s="100">
        <v>0</v>
      </c>
      <c r="P76" s="100">
        <v>0.51</v>
      </c>
      <c r="Q76" s="100">
        <v>9.32</v>
      </c>
      <c r="R76" s="6"/>
      <c r="S76" s="6"/>
      <c r="T76" s="156"/>
      <c r="U76" s="6"/>
    </row>
    <row r="77" spans="1:21" customFormat="1">
      <c r="A77" s="201" t="s">
        <v>3096</v>
      </c>
      <c r="B77" s="100">
        <v>4.1500000000000004</v>
      </c>
      <c r="C77" s="100">
        <v>14.54</v>
      </c>
      <c r="D77" s="100">
        <v>10.92</v>
      </c>
      <c r="E77" s="100">
        <v>6.66</v>
      </c>
      <c r="F77" s="100">
        <v>2.17</v>
      </c>
      <c r="G77" s="100">
        <v>61.22</v>
      </c>
      <c r="H77" s="100">
        <v>30.09</v>
      </c>
      <c r="I77" s="100">
        <v>9.27</v>
      </c>
      <c r="J77" s="100">
        <v>0.21</v>
      </c>
      <c r="K77" s="100">
        <v>139.04</v>
      </c>
      <c r="L77" s="100">
        <v>26.56</v>
      </c>
      <c r="M77" s="100">
        <v>42.94</v>
      </c>
      <c r="N77" s="100">
        <v>7.6</v>
      </c>
      <c r="O77" s="100">
        <v>0</v>
      </c>
      <c r="P77" s="100">
        <v>0.51</v>
      </c>
      <c r="Q77" s="100">
        <v>9.32</v>
      </c>
      <c r="R77" s="6"/>
      <c r="S77" s="6"/>
      <c r="T77" s="156"/>
      <c r="U77" s="6"/>
    </row>
    <row r="78" spans="1:21" customFormat="1">
      <c r="A78" s="201" t="s">
        <v>3097</v>
      </c>
      <c r="B78" s="100">
        <v>4.26</v>
      </c>
      <c r="C78" s="100">
        <v>14.48</v>
      </c>
      <c r="D78" s="100">
        <v>10.98</v>
      </c>
      <c r="E78" s="100">
        <v>6.61</v>
      </c>
      <c r="F78" s="100">
        <v>1.66</v>
      </c>
      <c r="G78" s="100">
        <v>63.49</v>
      </c>
      <c r="H78" s="100">
        <v>29.84</v>
      </c>
      <c r="I78" s="100">
        <v>9.2100000000000009</v>
      </c>
      <c r="J78" s="100">
        <v>0.23</v>
      </c>
      <c r="K78" s="100">
        <v>151.43</v>
      </c>
      <c r="L78" s="100">
        <v>26.25</v>
      </c>
      <c r="M78" s="100">
        <v>42.79</v>
      </c>
      <c r="N78" s="100">
        <v>3.2</v>
      </c>
      <c r="O78" s="100">
        <v>0</v>
      </c>
      <c r="P78" s="100">
        <v>0.52</v>
      </c>
      <c r="Q78" s="100">
        <v>9.32</v>
      </c>
      <c r="R78" s="6"/>
      <c r="S78" s="6"/>
      <c r="T78" s="156"/>
      <c r="U78" s="6"/>
    </row>
    <row r="79" spans="1:21" customFormat="1">
      <c r="A79" s="201" t="s">
        <v>3098</v>
      </c>
      <c r="B79" s="100">
        <v>4.33</v>
      </c>
      <c r="C79" s="100">
        <v>14.47</v>
      </c>
      <c r="D79" s="100">
        <v>11.04</v>
      </c>
      <c r="E79" s="100">
        <v>6.34</v>
      </c>
      <c r="F79" s="100">
        <v>0.95</v>
      </c>
      <c r="G79" s="100">
        <v>64.569999999999993</v>
      </c>
      <c r="H79" s="100">
        <v>29.82</v>
      </c>
      <c r="I79" s="100">
        <v>9.2200000000000006</v>
      </c>
      <c r="J79" s="100">
        <v>0.16</v>
      </c>
      <c r="K79" s="100">
        <v>141.22</v>
      </c>
      <c r="L79" s="100">
        <v>25.91</v>
      </c>
      <c r="M79" s="100">
        <v>44.12</v>
      </c>
      <c r="N79" s="100">
        <v>2.2999999999999998</v>
      </c>
      <c r="O79" s="100">
        <v>0</v>
      </c>
      <c r="P79" s="100">
        <v>0.53</v>
      </c>
      <c r="Q79" s="100">
        <v>9.32</v>
      </c>
      <c r="R79" s="6"/>
      <c r="S79" s="6"/>
      <c r="T79" s="156"/>
      <c r="U79" s="6"/>
    </row>
    <row r="80" spans="1:21" customFormat="1">
      <c r="A80" s="201" t="s">
        <v>3099</v>
      </c>
      <c r="B80" s="100">
        <v>4.45</v>
      </c>
      <c r="C80" s="100">
        <v>14.57</v>
      </c>
      <c r="D80" s="100">
        <v>11.18</v>
      </c>
      <c r="E80" s="100">
        <v>6.74</v>
      </c>
      <c r="F80" s="100">
        <v>2.1</v>
      </c>
      <c r="G80" s="100">
        <v>64.569999999999993</v>
      </c>
      <c r="H80" s="100">
        <v>29.82</v>
      </c>
      <c r="I80" s="100">
        <v>9.2200000000000006</v>
      </c>
      <c r="J80" s="100">
        <v>0.12</v>
      </c>
      <c r="K80" s="100">
        <v>115.81</v>
      </c>
      <c r="L80" s="100">
        <v>25.64</v>
      </c>
      <c r="M80" s="100">
        <v>46.04</v>
      </c>
      <c r="N80" s="100">
        <v>2.2000000000000002</v>
      </c>
      <c r="O80" s="100">
        <v>0</v>
      </c>
      <c r="P80" s="100">
        <v>0.53</v>
      </c>
      <c r="Q80" s="100">
        <v>9.32</v>
      </c>
      <c r="R80" s="6"/>
      <c r="S80" s="6"/>
      <c r="T80" s="156"/>
      <c r="U80" s="6"/>
    </row>
    <row r="81" spans="1:21" customFormat="1">
      <c r="A81" s="201" t="s">
        <v>3100</v>
      </c>
      <c r="B81" s="100">
        <v>4.7699999999999996</v>
      </c>
      <c r="C81" s="100">
        <v>15.03</v>
      </c>
      <c r="D81" s="100">
        <v>11.68</v>
      </c>
      <c r="E81" s="100">
        <v>5.34</v>
      </c>
      <c r="F81" s="100">
        <v>0.71</v>
      </c>
      <c r="G81" s="100">
        <v>64.569999999999993</v>
      </c>
      <c r="H81" s="100">
        <v>29.82</v>
      </c>
      <c r="I81" s="100">
        <v>9.2100000000000009</v>
      </c>
      <c r="J81" s="100">
        <v>0.15</v>
      </c>
      <c r="K81" s="100">
        <v>125.99</v>
      </c>
      <c r="L81" s="100">
        <v>25.11</v>
      </c>
      <c r="M81" s="100">
        <v>49.25</v>
      </c>
      <c r="N81" s="100">
        <v>2.1</v>
      </c>
      <c r="O81" s="100">
        <v>0</v>
      </c>
      <c r="P81" s="100">
        <v>0.54</v>
      </c>
      <c r="Q81" s="100">
        <v>9.32</v>
      </c>
      <c r="R81" s="6"/>
      <c r="S81" s="6"/>
      <c r="T81" s="156"/>
      <c r="U81" s="6"/>
    </row>
    <row r="82" spans="1:21" customFormat="1">
      <c r="A82" s="201" t="s">
        <v>3101</v>
      </c>
      <c r="B82" s="100">
        <v>5.09</v>
      </c>
      <c r="C82" s="100">
        <v>15.21</v>
      </c>
      <c r="D82" s="100">
        <v>12.03</v>
      </c>
      <c r="E82" s="100">
        <v>6.04</v>
      </c>
      <c r="F82" s="100">
        <v>0.3</v>
      </c>
      <c r="G82" s="100">
        <v>69.040000000000006</v>
      </c>
      <c r="H82" s="100">
        <v>30.91</v>
      </c>
      <c r="I82" s="100">
        <v>9.2899999999999991</v>
      </c>
      <c r="J82" s="100">
        <v>0.11</v>
      </c>
      <c r="K82" s="100">
        <v>162.09</v>
      </c>
      <c r="L82" s="100">
        <v>24.7</v>
      </c>
      <c r="M82" s="100">
        <v>52.45</v>
      </c>
      <c r="N82" s="100">
        <v>2.4</v>
      </c>
      <c r="O82" s="100">
        <v>0</v>
      </c>
      <c r="P82" s="100">
        <v>0.55000000000000004</v>
      </c>
      <c r="Q82" s="100">
        <v>9.32</v>
      </c>
      <c r="R82" s="6"/>
      <c r="S82" s="6"/>
      <c r="T82" s="156"/>
      <c r="U82" s="6"/>
    </row>
    <row r="83" spans="1:21" customFormat="1">
      <c r="A83" s="201" t="s">
        <v>3102</v>
      </c>
      <c r="B83" s="100">
        <v>5.45</v>
      </c>
      <c r="C83" s="100">
        <v>15.53</v>
      </c>
      <c r="D83" s="100">
        <v>12.49</v>
      </c>
      <c r="E83" s="100">
        <v>6.26</v>
      </c>
      <c r="F83" s="100">
        <v>0.14000000000000001</v>
      </c>
      <c r="G83" s="100">
        <v>71.17</v>
      </c>
      <c r="H83" s="100">
        <v>31.01</v>
      </c>
      <c r="I83" s="100">
        <v>9.42</v>
      </c>
      <c r="J83" s="100">
        <v>0.18</v>
      </c>
      <c r="K83" s="100">
        <v>178.1</v>
      </c>
      <c r="L83" s="100">
        <v>24.22</v>
      </c>
      <c r="M83" s="100">
        <v>53.63</v>
      </c>
      <c r="N83" s="100">
        <v>2.2999999999999998</v>
      </c>
      <c r="O83" s="100">
        <v>0</v>
      </c>
      <c r="P83" s="100">
        <v>0.56000000000000005</v>
      </c>
      <c r="Q83" s="100">
        <v>9.32</v>
      </c>
      <c r="R83" s="6"/>
      <c r="S83" s="6"/>
      <c r="T83" s="156"/>
      <c r="U83" s="6"/>
    </row>
    <row r="84" spans="1:21" customFormat="1">
      <c r="A84" s="201" t="s">
        <v>3103</v>
      </c>
      <c r="B84" s="100">
        <v>5.71</v>
      </c>
      <c r="C84" s="100">
        <v>15.81</v>
      </c>
      <c r="D84" s="100">
        <v>12.84</v>
      </c>
      <c r="E84" s="100">
        <v>6.53</v>
      </c>
      <c r="F84" s="100">
        <v>0.22</v>
      </c>
      <c r="G84" s="100">
        <v>71.17</v>
      </c>
      <c r="H84" s="100">
        <v>31.01</v>
      </c>
      <c r="I84" s="100">
        <v>9.5399999999999991</v>
      </c>
      <c r="J84" s="100">
        <v>0.19</v>
      </c>
      <c r="K84" s="100">
        <v>215.24</v>
      </c>
      <c r="L84" s="100">
        <v>23.62</v>
      </c>
      <c r="M84" s="100">
        <v>60.87</v>
      </c>
      <c r="N84" s="100">
        <v>2.5</v>
      </c>
      <c r="O84" s="100">
        <v>0</v>
      </c>
      <c r="P84" s="100">
        <v>0.56000000000000005</v>
      </c>
      <c r="Q84" s="100">
        <v>9.32</v>
      </c>
      <c r="R84" s="6"/>
      <c r="S84" s="6"/>
      <c r="T84" s="156"/>
      <c r="U84" s="6"/>
    </row>
    <row r="85" spans="1:21" customFormat="1">
      <c r="A85" s="201" t="s">
        <v>3104</v>
      </c>
      <c r="B85" s="100">
        <v>6.27</v>
      </c>
      <c r="C85" s="100">
        <v>16</v>
      </c>
      <c r="D85" s="100">
        <v>13.39</v>
      </c>
      <c r="E85" s="100">
        <v>6.19</v>
      </c>
      <c r="F85" s="100">
        <v>0.26</v>
      </c>
      <c r="G85" s="100">
        <v>71.17</v>
      </c>
      <c r="H85" s="100">
        <v>31.01</v>
      </c>
      <c r="I85" s="100">
        <v>9.66</v>
      </c>
      <c r="J85" s="100">
        <v>0.19</v>
      </c>
      <c r="K85" s="100">
        <v>151.76</v>
      </c>
      <c r="L85" s="100">
        <v>23.41</v>
      </c>
      <c r="M85" s="100">
        <v>60.54</v>
      </c>
      <c r="N85" s="100">
        <v>2</v>
      </c>
      <c r="O85" s="100">
        <v>0</v>
      </c>
      <c r="P85" s="100">
        <v>0.57999999999999996</v>
      </c>
      <c r="Q85" s="100">
        <v>9.32</v>
      </c>
      <c r="R85" s="6"/>
      <c r="S85" s="6"/>
      <c r="T85" s="156"/>
      <c r="U85" s="6"/>
    </row>
    <row r="86" spans="1:21" customFormat="1">
      <c r="A86" s="201" t="s">
        <v>3105</v>
      </c>
      <c r="B86" s="100">
        <v>7.38</v>
      </c>
      <c r="C86" s="100">
        <v>16.39</v>
      </c>
      <c r="D86" s="100">
        <v>14.48</v>
      </c>
      <c r="E86" s="100">
        <v>6.23</v>
      </c>
      <c r="F86" s="100">
        <v>0.03</v>
      </c>
      <c r="G86" s="100">
        <v>84.13</v>
      </c>
      <c r="H86" s="100">
        <v>36.71</v>
      </c>
      <c r="I86" s="100">
        <v>9.8000000000000007</v>
      </c>
      <c r="J86" s="100">
        <v>0.18</v>
      </c>
      <c r="K86" s="100">
        <v>162.03</v>
      </c>
      <c r="L86" s="100">
        <v>23.13</v>
      </c>
      <c r="M86" s="100">
        <v>63</v>
      </c>
      <c r="N86" s="100">
        <v>2.1</v>
      </c>
      <c r="O86" s="100">
        <v>0</v>
      </c>
      <c r="P86" s="100">
        <v>0.6</v>
      </c>
      <c r="Q86" s="100">
        <v>9.32</v>
      </c>
      <c r="R86" s="6"/>
      <c r="S86" s="6"/>
      <c r="T86" s="156"/>
      <c r="U86" s="6"/>
    </row>
    <row r="87" spans="1:21" customFormat="1">
      <c r="A87" s="201" t="s">
        <v>3106</v>
      </c>
      <c r="B87" s="100">
        <v>8.27</v>
      </c>
      <c r="C87" s="100">
        <v>16.61</v>
      </c>
      <c r="D87" s="100">
        <v>15.31</v>
      </c>
      <c r="E87" s="100">
        <v>6.14</v>
      </c>
      <c r="F87" s="100">
        <v>0.03</v>
      </c>
      <c r="G87" s="100">
        <v>90.3</v>
      </c>
      <c r="H87" s="100">
        <v>37.28</v>
      </c>
      <c r="I87" s="100">
        <v>10.02</v>
      </c>
      <c r="J87" s="100">
        <v>0.15</v>
      </c>
      <c r="K87" s="100">
        <v>136.01</v>
      </c>
      <c r="L87" s="100">
        <v>22.91</v>
      </c>
      <c r="M87" s="100">
        <v>62.7</v>
      </c>
      <c r="N87" s="100">
        <v>2.1</v>
      </c>
      <c r="O87" s="100">
        <v>0</v>
      </c>
      <c r="P87" s="100">
        <v>0.62</v>
      </c>
      <c r="Q87" s="100">
        <v>9.32</v>
      </c>
      <c r="R87" s="6"/>
      <c r="S87" s="6"/>
      <c r="T87" s="156"/>
      <c r="U87" s="6"/>
    </row>
    <row r="88" spans="1:21" customFormat="1">
      <c r="A88" s="201" t="s">
        <v>3107</v>
      </c>
      <c r="B88" s="100">
        <v>8.76</v>
      </c>
      <c r="C88" s="100">
        <v>16.88</v>
      </c>
      <c r="D88" s="100">
        <v>15.84</v>
      </c>
      <c r="E88" s="100">
        <v>6.29</v>
      </c>
      <c r="F88" s="100">
        <v>0.03</v>
      </c>
      <c r="G88" s="100">
        <v>90.3</v>
      </c>
      <c r="H88" s="100">
        <v>37.28</v>
      </c>
      <c r="I88" s="100">
        <v>10.28</v>
      </c>
      <c r="J88" s="100">
        <v>0.2</v>
      </c>
      <c r="K88" s="100">
        <v>189.48</v>
      </c>
      <c r="L88" s="100">
        <v>22.86</v>
      </c>
      <c r="M88" s="100">
        <v>66.34</v>
      </c>
      <c r="N88" s="100">
        <v>2</v>
      </c>
      <c r="O88" s="100">
        <v>0</v>
      </c>
      <c r="P88" s="100">
        <v>0.64</v>
      </c>
      <c r="Q88" s="100">
        <v>9.32</v>
      </c>
      <c r="R88" s="6"/>
      <c r="S88" s="6"/>
      <c r="T88" s="156"/>
      <c r="U88" s="6"/>
    </row>
    <row r="89" spans="1:21" customFormat="1">
      <c r="A89" s="201" t="s">
        <v>3108</v>
      </c>
      <c r="B89" s="100">
        <v>8.93</v>
      </c>
      <c r="C89" s="100">
        <v>16.920000000000002</v>
      </c>
      <c r="D89" s="100">
        <v>16</v>
      </c>
      <c r="E89" s="100">
        <v>6.46</v>
      </c>
      <c r="F89" s="100">
        <v>0.03</v>
      </c>
      <c r="G89" s="100">
        <v>90.3</v>
      </c>
      <c r="H89" s="100">
        <v>37.28</v>
      </c>
      <c r="I89" s="100">
        <v>10.59</v>
      </c>
      <c r="J89" s="100">
        <v>0.25</v>
      </c>
      <c r="K89" s="100">
        <v>236.69</v>
      </c>
      <c r="L89" s="100">
        <v>22.29</v>
      </c>
      <c r="M89" s="100">
        <v>70.489999999999995</v>
      </c>
      <c r="N89" s="100">
        <v>2.1</v>
      </c>
      <c r="O89" s="100">
        <v>0</v>
      </c>
      <c r="P89" s="100">
        <v>0.66</v>
      </c>
      <c r="Q89" s="100">
        <v>9.32</v>
      </c>
      <c r="R89" s="6"/>
      <c r="S89" s="6"/>
      <c r="T89" s="156"/>
      <c r="U89" s="6"/>
    </row>
    <row r="90" spans="1:21" customFormat="1">
      <c r="A90" s="201" t="s">
        <v>3109</v>
      </c>
      <c r="B90" s="100">
        <v>9.0399999999999991</v>
      </c>
      <c r="C90" s="100">
        <v>16.7</v>
      </c>
      <c r="D90" s="100">
        <v>15.98</v>
      </c>
      <c r="E90" s="100">
        <v>6.29</v>
      </c>
      <c r="F90" s="100">
        <v>0.01</v>
      </c>
      <c r="G90" s="100">
        <v>99.54</v>
      </c>
      <c r="H90" s="100">
        <v>42.89</v>
      </c>
      <c r="I90" s="100">
        <v>10.77</v>
      </c>
      <c r="J90" s="100">
        <v>0.23</v>
      </c>
      <c r="K90" s="100">
        <v>190.18</v>
      </c>
      <c r="L90" s="100">
        <v>21.87</v>
      </c>
      <c r="M90" s="100">
        <v>71.7</v>
      </c>
      <c r="N90" s="100">
        <v>2.1</v>
      </c>
      <c r="O90" s="100">
        <v>0</v>
      </c>
      <c r="P90" s="100">
        <v>0.67</v>
      </c>
      <c r="Q90" s="100">
        <v>9.32</v>
      </c>
      <c r="R90" s="6"/>
      <c r="S90" s="6"/>
      <c r="T90" s="156"/>
      <c r="U90" s="6"/>
    </row>
    <row r="91" spans="1:21" customFormat="1">
      <c r="A91" s="201" t="s">
        <v>3110</v>
      </c>
      <c r="B91" s="100">
        <v>9.07</v>
      </c>
      <c r="C91" s="100">
        <v>16.34</v>
      </c>
      <c r="D91" s="100">
        <v>15.81</v>
      </c>
      <c r="E91" s="100">
        <v>6.23</v>
      </c>
      <c r="F91" s="100">
        <v>0.01</v>
      </c>
      <c r="G91" s="100">
        <v>103.94</v>
      </c>
      <c r="H91" s="100">
        <v>43.46</v>
      </c>
      <c r="I91" s="100">
        <v>10.86</v>
      </c>
      <c r="J91" s="100">
        <v>0.13</v>
      </c>
      <c r="K91" s="100">
        <v>205.91</v>
      </c>
      <c r="L91" s="100">
        <v>21.44</v>
      </c>
      <c r="M91" s="100">
        <v>78.040000000000006</v>
      </c>
      <c r="N91" s="100">
        <v>2.1</v>
      </c>
      <c r="O91" s="100">
        <v>0</v>
      </c>
      <c r="P91" s="100">
        <v>0.68</v>
      </c>
      <c r="Q91" s="100">
        <v>9.32</v>
      </c>
      <c r="R91" s="6"/>
      <c r="S91" s="6"/>
      <c r="T91" s="156"/>
      <c r="U91" s="6"/>
    </row>
    <row r="92" spans="1:21" customFormat="1">
      <c r="A92" s="201" t="s">
        <v>3111</v>
      </c>
      <c r="B92" s="100">
        <v>8.9700000000000006</v>
      </c>
      <c r="C92" s="100">
        <v>15.97</v>
      </c>
      <c r="D92" s="100">
        <v>15.53</v>
      </c>
      <c r="E92" s="100">
        <v>6.31</v>
      </c>
      <c r="F92" s="100">
        <v>7.0000000000000007E-2</v>
      </c>
      <c r="G92" s="100">
        <v>103.94</v>
      </c>
      <c r="H92" s="100">
        <v>43.46</v>
      </c>
      <c r="I92" s="100">
        <v>11.03</v>
      </c>
      <c r="J92" s="100">
        <v>0.2</v>
      </c>
      <c r="K92" s="100">
        <v>160.82</v>
      </c>
      <c r="L92" s="100">
        <v>21.52</v>
      </c>
      <c r="M92" s="100">
        <v>74.59</v>
      </c>
      <c r="N92" s="100">
        <v>1.8</v>
      </c>
      <c r="O92" s="100">
        <v>0</v>
      </c>
      <c r="P92" s="100">
        <v>0.66</v>
      </c>
      <c r="Q92" s="100">
        <v>9.32</v>
      </c>
      <c r="R92" s="6"/>
      <c r="S92" s="6"/>
      <c r="T92" s="156"/>
      <c r="U92" s="6"/>
    </row>
    <row r="93" spans="1:21" customFormat="1">
      <c r="A93" s="201" t="s">
        <v>3112</v>
      </c>
      <c r="B93" s="100">
        <v>9.0500000000000007</v>
      </c>
      <c r="C93" s="100">
        <v>15.96</v>
      </c>
      <c r="D93" s="100">
        <v>15.6</v>
      </c>
      <c r="E93" s="100">
        <v>6.31</v>
      </c>
      <c r="F93" s="100">
        <v>0.12</v>
      </c>
      <c r="G93" s="100">
        <v>103.94</v>
      </c>
      <c r="H93" s="100">
        <v>43.46</v>
      </c>
      <c r="I93" s="100">
        <v>11.13</v>
      </c>
      <c r="J93" s="100">
        <v>0.3</v>
      </c>
      <c r="K93" s="100">
        <v>168.02</v>
      </c>
      <c r="L93" s="100">
        <v>21.79</v>
      </c>
      <c r="M93" s="100">
        <v>74.59</v>
      </c>
      <c r="N93" s="100">
        <v>1.7</v>
      </c>
      <c r="O93" s="100">
        <v>0</v>
      </c>
      <c r="P93" s="100">
        <v>0.67</v>
      </c>
      <c r="Q93" s="100">
        <v>9.32</v>
      </c>
      <c r="R93" s="6"/>
      <c r="S93" s="6"/>
      <c r="T93" s="156"/>
      <c r="U93" s="6"/>
    </row>
    <row r="94" spans="1:21" customFormat="1">
      <c r="A94" s="201" t="s">
        <v>3113</v>
      </c>
      <c r="B94" s="100">
        <v>9.17</v>
      </c>
      <c r="C94" s="100">
        <v>16</v>
      </c>
      <c r="D94" s="100">
        <v>15.72</v>
      </c>
      <c r="E94" s="100">
        <v>6.25</v>
      </c>
      <c r="F94" s="100">
        <v>0.2</v>
      </c>
      <c r="G94" s="100">
        <v>95.78</v>
      </c>
      <c r="H94" s="100">
        <v>43.47</v>
      </c>
      <c r="I94" s="100">
        <v>11.17</v>
      </c>
      <c r="J94" s="100">
        <v>0.19</v>
      </c>
      <c r="K94" s="100">
        <v>187.78</v>
      </c>
      <c r="L94" s="100">
        <v>21.66</v>
      </c>
      <c r="M94" s="100">
        <v>76.709999999999994</v>
      </c>
      <c r="N94" s="100">
        <v>2.1</v>
      </c>
      <c r="O94" s="100">
        <v>0</v>
      </c>
      <c r="P94" s="100">
        <v>0.67</v>
      </c>
      <c r="Q94" s="100">
        <v>9.32</v>
      </c>
      <c r="R94" s="6"/>
      <c r="S94" s="6"/>
      <c r="T94" s="156"/>
      <c r="U94" s="6"/>
    </row>
    <row r="95" spans="1:21" customFormat="1">
      <c r="A95" s="201" t="s">
        <v>3114</v>
      </c>
      <c r="B95" s="100">
        <v>9.07</v>
      </c>
      <c r="C95" s="100">
        <v>15.75</v>
      </c>
      <c r="D95" s="100">
        <v>15.5</v>
      </c>
      <c r="E95" s="100">
        <v>6.17</v>
      </c>
      <c r="F95" s="100">
        <v>0.15</v>
      </c>
      <c r="G95" s="100">
        <v>91.91</v>
      </c>
      <c r="H95" s="100">
        <v>43.47</v>
      </c>
      <c r="I95" s="100">
        <v>11.22</v>
      </c>
      <c r="J95" s="100">
        <v>0.22</v>
      </c>
      <c r="K95" s="100">
        <v>200.38</v>
      </c>
      <c r="L95" s="100">
        <v>21.76</v>
      </c>
      <c r="M95" s="100">
        <v>76.87</v>
      </c>
      <c r="N95" s="100">
        <v>2</v>
      </c>
      <c r="O95" s="100">
        <v>0</v>
      </c>
      <c r="P95" s="100">
        <v>0.68</v>
      </c>
      <c r="Q95" s="100">
        <v>9.32</v>
      </c>
      <c r="R95" s="6"/>
      <c r="S95" s="6"/>
      <c r="T95" s="156"/>
      <c r="U95" s="6"/>
    </row>
    <row r="96" spans="1:21" customFormat="1">
      <c r="A96" s="201" t="s">
        <v>3115</v>
      </c>
      <c r="B96" s="100">
        <v>8.86</v>
      </c>
      <c r="C96" s="100">
        <v>15.56</v>
      </c>
      <c r="D96" s="100">
        <v>15.23</v>
      </c>
      <c r="E96" s="100">
        <v>5.89</v>
      </c>
      <c r="F96" s="100">
        <v>0.17</v>
      </c>
      <c r="G96" s="100">
        <v>91.91</v>
      </c>
      <c r="H96" s="100">
        <v>43.47</v>
      </c>
      <c r="I96" s="100">
        <v>11.32</v>
      </c>
      <c r="J96" s="100">
        <v>0.2</v>
      </c>
      <c r="K96" s="100">
        <v>198.79</v>
      </c>
      <c r="L96" s="100">
        <v>21.53</v>
      </c>
      <c r="M96" s="100">
        <v>74.39</v>
      </c>
      <c r="N96" s="100">
        <v>2.1</v>
      </c>
      <c r="O96" s="100">
        <v>0</v>
      </c>
      <c r="P96" s="100">
        <v>0.68</v>
      </c>
      <c r="Q96" s="100">
        <v>9.32</v>
      </c>
      <c r="R96" s="6"/>
      <c r="S96" s="6"/>
      <c r="T96" s="156"/>
      <c r="U96" s="6"/>
    </row>
    <row r="97" spans="1:28" customFormat="1">
      <c r="A97" s="201" t="s">
        <v>3116</v>
      </c>
      <c r="B97" s="100">
        <v>8.65</v>
      </c>
      <c r="C97" s="100">
        <v>15.34</v>
      </c>
      <c r="D97" s="100">
        <v>14.95</v>
      </c>
      <c r="E97" s="100">
        <v>5.79</v>
      </c>
      <c r="F97" s="100">
        <v>0.13</v>
      </c>
      <c r="G97" s="100">
        <v>91.91</v>
      </c>
      <c r="H97" s="100">
        <v>43.47</v>
      </c>
      <c r="I97" s="100">
        <v>11.63</v>
      </c>
      <c r="J97" s="100">
        <v>0.19</v>
      </c>
      <c r="K97" s="100">
        <v>233.3</v>
      </c>
      <c r="L97" s="100">
        <v>21.41</v>
      </c>
      <c r="M97" s="100">
        <v>74.38</v>
      </c>
      <c r="N97" s="100">
        <v>2.1</v>
      </c>
      <c r="O97" s="100">
        <v>0</v>
      </c>
      <c r="P97" s="100">
        <v>0.68</v>
      </c>
      <c r="Q97" s="100">
        <v>9.2200000000000006</v>
      </c>
      <c r="R97" s="6"/>
      <c r="S97" s="6"/>
      <c r="T97" s="156"/>
      <c r="U97" s="6"/>
    </row>
    <row r="98" spans="1:28" customFormat="1">
      <c r="A98" s="201" t="s">
        <v>3117</v>
      </c>
      <c r="B98" s="100">
        <v>8.5</v>
      </c>
      <c r="C98" s="100">
        <v>15.19</v>
      </c>
      <c r="D98" s="100">
        <v>14.75</v>
      </c>
      <c r="E98" s="100">
        <v>6.15</v>
      </c>
      <c r="F98" s="100">
        <v>0.27</v>
      </c>
      <c r="G98" s="100">
        <v>88.82</v>
      </c>
      <c r="H98" s="100">
        <v>43.37</v>
      </c>
      <c r="I98" s="100">
        <v>11.9</v>
      </c>
      <c r="J98" s="100">
        <v>0.04</v>
      </c>
      <c r="K98" s="100">
        <v>41.59</v>
      </c>
      <c r="L98" s="100">
        <v>21.55</v>
      </c>
      <c r="M98" s="100">
        <v>70.650000000000006</v>
      </c>
      <c r="N98" s="100">
        <v>1.9</v>
      </c>
      <c r="O98" s="100">
        <v>0</v>
      </c>
      <c r="P98" s="100">
        <v>0.69</v>
      </c>
      <c r="Q98" s="100">
        <v>9.32</v>
      </c>
      <c r="R98" s="6"/>
      <c r="S98" s="6"/>
      <c r="T98" s="156"/>
      <c r="U98" s="6"/>
    </row>
    <row r="99" spans="1:28" customFormat="1">
      <c r="A99" s="201" t="s">
        <v>3118</v>
      </c>
      <c r="B99" s="100">
        <v>9.33</v>
      </c>
      <c r="C99" s="100">
        <v>15.45</v>
      </c>
      <c r="D99" s="100">
        <v>15.55</v>
      </c>
      <c r="E99" s="100">
        <v>6.03</v>
      </c>
      <c r="F99" s="100">
        <v>0.1</v>
      </c>
      <c r="G99" s="100">
        <v>87.35</v>
      </c>
      <c r="H99" s="100">
        <v>43.36</v>
      </c>
      <c r="I99" s="100">
        <v>11.91</v>
      </c>
      <c r="J99" s="100">
        <v>0.32</v>
      </c>
      <c r="K99" s="100">
        <v>54.61</v>
      </c>
      <c r="L99" s="100">
        <v>22.18</v>
      </c>
      <c r="M99" s="100">
        <v>64.72</v>
      </c>
      <c r="N99" s="100">
        <v>1.7</v>
      </c>
      <c r="O99" s="100">
        <v>0</v>
      </c>
      <c r="P99" s="100">
        <v>0.7</v>
      </c>
      <c r="Q99" s="100">
        <v>9.32</v>
      </c>
      <c r="R99" s="6"/>
      <c r="S99" s="6"/>
      <c r="T99" s="156"/>
      <c r="U99" s="6"/>
    </row>
    <row r="100" spans="1:28" customFormat="1">
      <c r="A100" s="201" t="s">
        <v>3119</v>
      </c>
      <c r="B100" s="100">
        <v>10.53</v>
      </c>
      <c r="C100" s="100">
        <v>15.97</v>
      </c>
      <c r="D100" s="100">
        <v>16.79</v>
      </c>
      <c r="E100" s="100">
        <v>6.29</v>
      </c>
      <c r="F100" s="100">
        <v>0.1</v>
      </c>
      <c r="G100" s="100">
        <v>87.35</v>
      </c>
      <c r="H100" s="100">
        <v>43.36</v>
      </c>
      <c r="I100" s="100">
        <v>11.98</v>
      </c>
      <c r="J100" s="100">
        <v>0.1</v>
      </c>
      <c r="K100" s="100">
        <v>37.43</v>
      </c>
      <c r="L100" s="100">
        <v>22.55</v>
      </c>
      <c r="M100" s="100">
        <v>62.26</v>
      </c>
      <c r="N100" s="100">
        <v>1.9</v>
      </c>
      <c r="O100" s="100">
        <v>0</v>
      </c>
      <c r="P100" s="100">
        <v>0.71</v>
      </c>
      <c r="Q100" s="100">
        <v>9.32</v>
      </c>
      <c r="R100" s="6"/>
      <c r="S100" s="6"/>
      <c r="T100" s="156"/>
      <c r="U100" s="6"/>
      <c r="AB100" s="161"/>
    </row>
    <row r="101" spans="1:28" customFormat="1">
      <c r="A101" s="201" t="s">
        <v>3120</v>
      </c>
      <c r="B101" s="100">
        <v>11.03</v>
      </c>
      <c r="C101" s="100">
        <v>16.420000000000002</v>
      </c>
      <c r="D101" s="100">
        <v>17.420000000000002</v>
      </c>
      <c r="E101" s="100">
        <v>5.9</v>
      </c>
      <c r="F101" s="100">
        <v>0.1</v>
      </c>
      <c r="G101" s="100">
        <v>87.35</v>
      </c>
      <c r="H101" s="100">
        <v>43.36</v>
      </c>
      <c r="I101" s="100">
        <v>12.06</v>
      </c>
      <c r="J101" s="100">
        <v>0.15</v>
      </c>
      <c r="K101" s="100">
        <v>171.06</v>
      </c>
      <c r="L101" s="100">
        <v>22.37</v>
      </c>
      <c r="M101" s="100">
        <v>64.89</v>
      </c>
      <c r="N101" s="100">
        <v>2.2999999999999998</v>
      </c>
      <c r="O101" s="100">
        <v>0</v>
      </c>
      <c r="P101" s="100">
        <v>0.72</v>
      </c>
      <c r="Q101" s="100">
        <v>9.32</v>
      </c>
      <c r="R101" s="6"/>
      <c r="S101" s="6"/>
      <c r="T101" s="156"/>
      <c r="U101" s="6"/>
    </row>
    <row r="102" spans="1:28" customFormat="1">
      <c r="A102" s="201" t="s">
        <v>3121</v>
      </c>
      <c r="B102" s="100">
        <v>11.14</v>
      </c>
      <c r="C102" s="100">
        <v>16.690000000000001</v>
      </c>
      <c r="D102" s="100">
        <v>17.649999999999999</v>
      </c>
      <c r="E102" s="100">
        <v>5.93</v>
      </c>
      <c r="F102" s="100">
        <v>0.13</v>
      </c>
      <c r="G102" s="100">
        <v>93.64</v>
      </c>
      <c r="H102" s="100">
        <v>43.87</v>
      </c>
      <c r="I102" s="100">
        <v>12.13</v>
      </c>
      <c r="J102" s="100">
        <v>7.0000000000000007E-2</v>
      </c>
      <c r="K102" s="100">
        <v>155.66999999999999</v>
      </c>
      <c r="L102" s="100">
        <v>22.16</v>
      </c>
      <c r="M102" s="100">
        <v>65.59</v>
      </c>
      <c r="N102" s="100">
        <v>2.1</v>
      </c>
      <c r="O102" s="100">
        <v>0</v>
      </c>
      <c r="P102" s="100">
        <v>0.72</v>
      </c>
      <c r="Q102" s="100">
        <v>9.32</v>
      </c>
      <c r="R102" s="6"/>
      <c r="S102" s="6"/>
      <c r="T102" s="156"/>
      <c r="U102" s="6"/>
    </row>
    <row r="103" spans="1:28" customFormat="1">
      <c r="A103" s="201" t="s">
        <v>3122</v>
      </c>
      <c r="B103" s="100">
        <v>11.44</v>
      </c>
      <c r="C103" s="100">
        <v>16.89</v>
      </c>
      <c r="D103" s="100">
        <v>17.989999999999998</v>
      </c>
      <c r="E103" s="100">
        <v>6.17</v>
      </c>
      <c r="F103" s="100">
        <v>0.14000000000000001</v>
      </c>
      <c r="G103" s="100">
        <v>96.64</v>
      </c>
      <c r="H103" s="100">
        <v>43.93</v>
      </c>
      <c r="I103" s="100">
        <v>12.17</v>
      </c>
      <c r="J103" s="100">
        <v>0.21</v>
      </c>
      <c r="K103" s="100">
        <v>103.94</v>
      </c>
      <c r="L103" s="100">
        <v>22.47</v>
      </c>
      <c r="M103" s="100">
        <v>63.08</v>
      </c>
      <c r="N103" s="100">
        <v>2</v>
      </c>
      <c r="O103" s="100">
        <v>0</v>
      </c>
      <c r="P103" s="100">
        <v>0.73</v>
      </c>
      <c r="Q103" s="100">
        <v>9.32</v>
      </c>
      <c r="R103" s="6"/>
      <c r="S103" s="6"/>
      <c r="T103" s="156"/>
      <c r="U103" s="6"/>
    </row>
    <row r="104" spans="1:28" customFormat="1">
      <c r="A104" s="201" t="s">
        <v>3123</v>
      </c>
      <c r="B104" s="100">
        <v>11.67</v>
      </c>
      <c r="C104" s="100">
        <v>17.010000000000002</v>
      </c>
      <c r="D104" s="100">
        <v>18.25</v>
      </c>
      <c r="E104" s="100">
        <v>6.2</v>
      </c>
      <c r="F104" s="100">
        <v>0.17</v>
      </c>
      <c r="G104" s="100">
        <v>96.64</v>
      </c>
      <c r="H104" s="100">
        <v>43.93</v>
      </c>
      <c r="I104" s="100">
        <v>12.25</v>
      </c>
      <c r="J104" s="100">
        <v>0.28000000000000003</v>
      </c>
      <c r="K104" s="100">
        <v>151.97999999999999</v>
      </c>
      <c r="L104" s="100">
        <v>22.57</v>
      </c>
      <c r="M104" s="100">
        <v>62.69</v>
      </c>
      <c r="N104" s="100">
        <v>2.1</v>
      </c>
      <c r="O104" s="100">
        <v>0</v>
      </c>
      <c r="P104" s="100">
        <v>0.74</v>
      </c>
      <c r="Q104" s="100">
        <v>9.32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3.23</v>
      </c>
      <c r="C106" s="158">
        <f>MIN(C9:C104)</f>
        <v>14.47</v>
      </c>
      <c r="D106" s="158">
        <f t="shared" ref="D106:Q106" si="0">MIN(D9:D104)</f>
        <v>10.34</v>
      </c>
      <c r="E106" s="158">
        <f t="shared" si="0"/>
        <v>4.75</v>
      </c>
      <c r="F106" s="158">
        <f t="shared" si="0"/>
        <v>0.01</v>
      </c>
      <c r="G106" s="158">
        <f t="shared" si="0"/>
        <v>56.55</v>
      </c>
      <c r="H106" s="158">
        <f t="shared" si="0"/>
        <v>28.66</v>
      </c>
      <c r="I106" s="158">
        <f t="shared" si="0"/>
        <v>9.2100000000000009</v>
      </c>
      <c r="J106" s="158">
        <f t="shared" si="0"/>
        <v>0.04</v>
      </c>
      <c r="K106" s="158">
        <f t="shared" si="0"/>
        <v>30.01</v>
      </c>
      <c r="L106" s="158">
        <f t="shared" si="0"/>
        <v>17.91</v>
      </c>
      <c r="M106" s="158">
        <f t="shared" si="0"/>
        <v>30.31</v>
      </c>
      <c r="N106" s="158">
        <f t="shared" si="0"/>
        <v>1.3</v>
      </c>
      <c r="O106" s="158">
        <f t="shared" si="0"/>
        <v>0</v>
      </c>
      <c r="P106" s="158">
        <f t="shared" si="0"/>
        <v>0.5</v>
      </c>
      <c r="Q106" s="158">
        <f t="shared" si="0"/>
        <v>9.2200000000000006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26.4</v>
      </c>
      <c r="C107" s="157">
        <f t="shared" ref="C107:Q107" si="1">MAX(C9:C104)</f>
        <v>19.350000000000001</v>
      </c>
      <c r="D107" s="157">
        <f t="shared" si="1"/>
        <v>30.69</v>
      </c>
      <c r="E107" s="157">
        <f t="shared" si="1"/>
        <v>6.89</v>
      </c>
      <c r="F107" s="157">
        <f t="shared" si="1"/>
        <v>3.44</v>
      </c>
      <c r="G107" s="157">
        <f t="shared" si="1"/>
        <v>110.28</v>
      </c>
      <c r="H107" s="157">
        <f t="shared" si="1"/>
        <v>50.25</v>
      </c>
      <c r="I107" s="157">
        <f t="shared" si="1"/>
        <v>16.059999999999999</v>
      </c>
      <c r="J107" s="157">
        <f t="shared" si="1"/>
        <v>1.0900000000000001</v>
      </c>
      <c r="K107" s="157">
        <f t="shared" si="1"/>
        <v>236.69</v>
      </c>
      <c r="L107" s="157">
        <f t="shared" si="1"/>
        <v>29.69</v>
      </c>
      <c r="M107" s="157">
        <f t="shared" si="1"/>
        <v>84.69</v>
      </c>
      <c r="N107" s="157">
        <f t="shared" si="1"/>
        <v>627.5</v>
      </c>
      <c r="O107" s="157">
        <f t="shared" si="1"/>
        <v>0</v>
      </c>
      <c r="P107" s="157">
        <f t="shared" si="1"/>
        <v>0.91</v>
      </c>
      <c r="Q107" s="157">
        <f t="shared" si="1"/>
        <v>10.220000000000001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14.394166666666665</v>
      </c>
      <c r="C108" s="158">
        <f t="shared" ref="C108:Q108" si="2">AVERAGE(C9:C104)</f>
        <v>16.982083333333335</v>
      </c>
      <c r="D108" s="158">
        <f t="shared" si="2"/>
        <v>20.415520833333336</v>
      </c>
      <c r="E108" s="158">
        <f t="shared" si="2"/>
        <v>6.0463541666666645</v>
      </c>
      <c r="F108" s="158">
        <f t="shared" si="2"/>
        <v>0.66447916666666684</v>
      </c>
      <c r="G108" s="158">
        <f t="shared" si="2"/>
        <v>86.781250000000043</v>
      </c>
      <c r="H108" s="158">
        <f t="shared" si="2"/>
        <v>39.788020833333348</v>
      </c>
      <c r="I108" s="158">
        <f t="shared" si="2"/>
        <v>12.869895833333333</v>
      </c>
      <c r="J108" s="158">
        <f t="shared" si="2"/>
        <v>0.32354166666666667</v>
      </c>
      <c r="K108" s="158">
        <f t="shared" si="2"/>
        <v>111.86802083333339</v>
      </c>
      <c r="L108" s="158">
        <f t="shared" si="2"/>
        <v>23.201354166666665</v>
      </c>
      <c r="M108" s="158">
        <f t="shared" si="2"/>
        <v>60.27375</v>
      </c>
      <c r="N108" s="158">
        <f t="shared" si="2"/>
        <v>100.18333333333335</v>
      </c>
      <c r="O108" s="158">
        <f t="shared" si="2"/>
        <v>0</v>
      </c>
      <c r="P108" s="158">
        <f t="shared" si="2"/>
        <v>0.71781249999999996</v>
      </c>
      <c r="Q108" s="158">
        <f t="shared" si="2"/>
        <v>9.3283333333333527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8.6078170919065915</v>
      </c>
      <c r="C109" s="158">
        <f t="shared" ref="C109:Q109" si="3">STDEV(C9:C104)</f>
        <v>1.2856445581203855</v>
      </c>
      <c r="D109" s="158">
        <f t="shared" si="3"/>
        <v>7.3449855246594016</v>
      </c>
      <c r="E109" s="158">
        <f t="shared" si="3"/>
        <v>0.40689871956354962</v>
      </c>
      <c r="F109" s="158">
        <f t="shared" si="3"/>
        <v>0.97201783586805313</v>
      </c>
      <c r="G109" s="158">
        <f t="shared" si="3"/>
        <v>16.483399128884241</v>
      </c>
      <c r="H109" s="158">
        <f t="shared" si="3"/>
        <v>7.3129087912426272</v>
      </c>
      <c r="I109" s="158">
        <f t="shared" si="3"/>
        <v>2.4230335466069168</v>
      </c>
      <c r="J109" s="158">
        <f t="shared" si="3"/>
        <v>0.26117942679785516</v>
      </c>
      <c r="K109" s="158">
        <f t="shared" si="3"/>
        <v>65.459971129325837</v>
      </c>
      <c r="L109" s="158">
        <f t="shared" si="3"/>
        <v>4.1141899809757652</v>
      </c>
      <c r="M109" s="158">
        <f t="shared" si="3"/>
        <v>18.511959903632118</v>
      </c>
      <c r="N109" s="158">
        <f t="shared" si="3"/>
        <v>161.64022080675389</v>
      </c>
      <c r="O109" s="158">
        <f t="shared" si="3"/>
        <v>0</v>
      </c>
      <c r="P109" s="158">
        <f t="shared" si="3"/>
        <v>0.13805569528273959</v>
      </c>
      <c r="Q109" s="158">
        <f t="shared" si="3"/>
        <v>9.2527852610832545E-2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36" activePane="bottomRight" state="frozen"/>
      <selection pane="topRight"/>
      <selection pane="bottomLeft"/>
      <selection pane="bottomRight" activeCell="F46" sqref="F4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01/11/2025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01/11/2025 00:15</v>
      </c>
      <c r="B9" s="83">
        <f>'01'!B108</f>
        <v>7.0338541666666652</v>
      </c>
      <c r="C9" s="83">
        <f>'01'!C108</f>
        <v>8.566770833333333</v>
      </c>
      <c r="D9" s="83">
        <f>'01'!D108</f>
        <v>10.116041666666662</v>
      </c>
      <c r="E9" s="83">
        <f>'01'!E108</f>
        <v>5.9528125000000003</v>
      </c>
      <c r="F9" s="83">
        <f>'01'!F108</f>
        <v>4.0635416666666666</v>
      </c>
      <c r="G9" s="83">
        <f>'01'!G108</f>
        <v>41.791875000000005</v>
      </c>
      <c r="H9" s="83">
        <f>'01'!H108</f>
        <v>15.398437499999995</v>
      </c>
      <c r="I9" s="83">
        <f>'01'!I108</f>
        <v>5.2168749999999999</v>
      </c>
      <c r="J9" s="83">
        <f>'01'!J108</f>
        <v>0.2310416666666667</v>
      </c>
      <c r="K9" s="83">
        <f>'01'!K108</f>
        <v>163.7938541666667</v>
      </c>
      <c r="L9" s="83">
        <f>'01'!L108</f>
        <v>17.255937499999991</v>
      </c>
      <c r="M9" s="83">
        <f>'01'!M108</f>
        <v>23.966354166666651</v>
      </c>
      <c r="N9" s="83">
        <f>'01'!N108</f>
        <v>55.54479166666664</v>
      </c>
      <c r="O9" s="83">
        <f>'01'!O108</f>
        <v>2.0833333333333333E-3</v>
      </c>
      <c r="P9" s="83">
        <f>'01'!P108</f>
        <v>0.36729166666666674</v>
      </c>
      <c r="Q9" s="83">
        <f>'01'!Q108</f>
        <v>9.3207291666666841</v>
      </c>
      <c r="R9" s="76"/>
      <c r="S9" s="76"/>
      <c r="T9" s="76"/>
      <c r="U9" s="76"/>
    </row>
    <row r="10" spans="1:21">
      <c r="A10" s="139" t="str">
        <f>'02'!$B$2</f>
        <v>02/11/2025 00:15</v>
      </c>
      <c r="B10" s="83">
        <f>'02'!B108</f>
        <v>12.643020833333336</v>
      </c>
      <c r="C10" s="83">
        <f>'02'!C108</f>
        <v>8.5791666666666675</v>
      </c>
      <c r="D10" s="83">
        <f>'02'!D108</f>
        <v>14.620937500000002</v>
      </c>
      <c r="E10" s="83">
        <f>'02'!E108</f>
        <v>7.391354166666666</v>
      </c>
      <c r="F10" s="83">
        <f>'02'!F108</f>
        <v>2.2475000000000001</v>
      </c>
      <c r="G10" s="83">
        <f>'02'!G108</f>
        <v>73.824374999999918</v>
      </c>
      <c r="H10" s="83">
        <f>'02'!H108</f>
        <v>30.664895833333333</v>
      </c>
      <c r="I10" s="83">
        <f>'02'!I108</f>
        <v>7.1996874999999996</v>
      </c>
      <c r="J10" s="83">
        <f>'02'!J108</f>
        <v>0.17979166666666666</v>
      </c>
      <c r="K10" s="83">
        <f>'02'!K108</f>
        <v>136.81166666666667</v>
      </c>
      <c r="L10" s="83">
        <f>'02'!L108</f>
        <v>15.542291666666666</v>
      </c>
      <c r="M10" s="83">
        <f>'02'!M108</f>
        <v>19.23500000000001</v>
      </c>
      <c r="N10" s="83">
        <f>'02'!N108</f>
        <v>76.182291666666686</v>
      </c>
      <c r="O10" s="83">
        <f>'02'!O108</f>
        <v>0</v>
      </c>
      <c r="P10" s="83">
        <f>'02'!P108</f>
        <v>0.58656250000000021</v>
      </c>
      <c r="Q10" s="83">
        <f>'02'!Q108</f>
        <v>9.320000000000018</v>
      </c>
      <c r="R10" s="76"/>
      <c r="S10" s="76"/>
      <c r="T10" s="76"/>
      <c r="U10" s="76"/>
    </row>
    <row r="11" spans="1:21">
      <c r="A11" s="139" t="str">
        <f>'03'!$B$2</f>
        <v>03/11/2025 00:15</v>
      </c>
      <c r="B11" s="83">
        <f>'03'!B108</f>
        <v>9.5786458333333364</v>
      </c>
      <c r="C11" s="83">
        <f>'03'!C108</f>
        <v>8.6649999999999974</v>
      </c>
      <c r="D11" s="83">
        <f>'03'!D108</f>
        <v>12.208854166666663</v>
      </c>
      <c r="E11" s="83">
        <f>'03'!E108</f>
        <v>7.4814583333333351</v>
      </c>
      <c r="F11" s="83">
        <f>'03'!F108</f>
        <v>2.5711458333333335</v>
      </c>
      <c r="G11" s="83">
        <f>'03'!G108</f>
        <v>66.044687499999995</v>
      </c>
      <c r="H11" s="83">
        <f>'03'!H108</f>
        <v>24.594166666666663</v>
      </c>
      <c r="I11" s="83">
        <f>'03'!I108</f>
        <v>7.5571874999999977</v>
      </c>
      <c r="J11" s="83">
        <f>'03'!J108</f>
        <v>0.22010416666666677</v>
      </c>
      <c r="K11" s="83">
        <f>'03'!K108</f>
        <v>141.23770833333333</v>
      </c>
      <c r="L11" s="83">
        <f>'03'!L108</f>
        <v>15.894791666666665</v>
      </c>
      <c r="M11" s="83">
        <f>'03'!M108</f>
        <v>19.255729166666661</v>
      </c>
      <c r="N11" s="83">
        <f>'03'!N108</f>
        <v>111.121875</v>
      </c>
      <c r="O11" s="83">
        <f>'03'!O108</f>
        <v>0</v>
      </c>
      <c r="P11" s="83">
        <f>'03'!P108</f>
        <v>0.63354166666666667</v>
      </c>
      <c r="Q11" s="83">
        <f>'03'!Q108</f>
        <v>9.4334375000000161</v>
      </c>
      <c r="R11" s="76"/>
      <c r="S11" s="76"/>
      <c r="T11" s="76"/>
      <c r="U11" s="76"/>
    </row>
    <row r="12" spans="1:21">
      <c r="A12" s="139" t="str">
        <f>'04'!$B$2</f>
        <v>04/11/2025 00:15</v>
      </c>
      <c r="B12" s="83">
        <f>'04'!B108</f>
        <v>9.1133333333333351</v>
      </c>
      <c r="C12" s="83">
        <f>'04'!C108</f>
        <v>9.0895833333333336</v>
      </c>
      <c r="D12" s="83">
        <f>'04'!D108</f>
        <v>12.057500000000003</v>
      </c>
      <c r="E12" s="83">
        <f>'04'!E108</f>
        <v>7.8457291666666675</v>
      </c>
      <c r="F12" s="83">
        <f>'04'!F108</f>
        <v>2.3182291666666668</v>
      </c>
      <c r="G12" s="83">
        <f>'04'!G108</f>
        <v>83.881041666666661</v>
      </c>
      <c r="H12" s="83">
        <f>'04'!H108</f>
        <v>28.561875000000029</v>
      </c>
      <c r="I12" s="83">
        <f>'04'!I108</f>
        <v>8.0591666666666697</v>
      </c>
      <c r="J12" s="83">
        <f>'04'!J108</f>
        <v>0.28468749999999993</v>
      </c>
      <c r="K12" s="83">
        <f>'04'!K108</f>
        <v>90.08260416666667</v>
      </c>
      <c r="L12" s="83">
        <f>'04'!L108</f>
        <v>14.116562500000001</v>
      </c>
      <c r="M12" s="83">
        <f>'04'!M108</f>
        <v>14.279687500000001</v>
      </c>
      <c r="N12" s="83">
        <f>'04'!N108</f>
        <v>129.77708333333342</v>
      </c>
      <c r="O12" s="83">
        <f>'04'!O108</f>
        <v>0</v>
      </c>
      <c r="P12" s="83">
        <f>'04'!P108</f>
        <v>0.64572916666666669</v>
      </c>
      <c r="Q12" s="83">
        <f>'04'!Q108</f>
        <v>9.7610416666666797</v>
      </c>
      <c r="R12" s="76"/>
      <c r="S12" s="76"/>
      <c r="T12" s="76"/>
      <c r="U12" s="76"/>
    </row>
    <row r="13" spans="1:21">
      <c r="A13" s="139" t="str">
        <f>'05'!$B$2</f>
        <v>05/11/2025 00:15</v>
      </c>
      <c r="B13" s="83">
        <f>'05'!B108</f>
        <v>9.2715624999999999</v>
      </c>
      <c r="C13" s="83">
        <f>'05'!C108</f>
        <v>10.269895833333331</v>
      </c>
      <c r="D13" s="83">
        <f>'05'!D108</f>
        <v>12.801354166666668</v>
      </c>
      <c r="E13" s="83">
        <f>'05'!E108</f>
        <v>7.0827083333333336</v>
      </c>
      <c r="F13" s="83">
        <f>'05'!F108</f>
        <v>11.035520833333335</v>
      </c>
      <c r="G13" s="83">
        <f>'05'!G108</f>
        <v>71.388958333333335</v>
      </c>
      <c r="H13" s="83">
        <f>'05'!H108</f>
        <v>29.821666666666676</v>
      </c>
      <c r="I13" s="83">
        <f>'05'!I108</f>
        <v>8.4905208333333313</v>
      </c>
      <c r="J13" s="83">
        <f>'05'!J108</f>
        <v>0.20541666666666666</v>
      </c>
      <c r="K13" s="83">
        <f>'05'!K108</f>
        <v>206.3253125</v>
      </c>
      <c r="L13" s="83">
        <f>'05'!L108</f>
        <v>19.823958333333334</v>
      </c>
      <c r="M13" s="83">
        <f>'05'!M108</f>
        <v>28.77437500000001</v>
      </c>
      <c r="N13" s="83">
        <f>'05'!N108</f>
        <v>124.43333333333328</v>
      </c>
      <c r="O13" s="83">
        <f>'05'!O108</f>
        <v>0</v>
      </c>
      <c r="P13" s="83">
        <f>'05'!P108</f>
        <v>0.68145833333333317</v>
      </c>
      <c r="Q13" s="83">
        <f>'05'!Q108</f>
        <v>9.5391666666666879</v>
      </c>
      <c r="R13" s="76"/>
      <c r="S13" s="76"/>
      <c r="T13" s="76"/>
      <c r="U13" s="76"/>
    </row>
    <row r="14" spans="1:21">
      <c r="A14" s="139" t="str">
        <f>'06'!$B$2</f>
        <v>06/11/2025 00:15</v>
      </c>
      <c r="B14" s="83">
        <f>'06'!B108</f>
        <v>8.0605208333333316</v>
      </c>
      <c r="C14" s="83">
        <f>'06'!C108</f>
        <v>9.2042708333333305</v>
      </c>
      <c r="D14" s="83">
        <f>'06'!D108</f>
        <v>11.273125</v>
      </c>
      <c r="E14" s="83">
        <f>'06'!E108</f>
        <v>6.7445833333333356</v>
      </c>
      <c r="F14" s="83">
        <f>'06'!F108</f>
        <v>2.4255208333333331</v>
      </c>
      <c r="G14" s="83">
        <f>'06'!G108</f>
        <v>77.881770833333363</v>
      </c>
      <c r="H14" s="83">
        <f>'06'!H108</f>
        <v>27.897916666666656</v>
      </c>
      <c r="I14" s="83">
        <f>'06'!I108</f>
        <v>8.0712499999999991</v>
      </c>
      <c r="J14" s="83">
        <f>'06'!J108</f>
        <v>0.3653125000000001</v>
      </c>
      <c r="K14" s="83">
        <f>'06'!K108</f>
        <v>113.43343750000001</v>
      </c>
      <c r="L14" s="83">
        <f>'06'!L108</f>
        <v>14.506458333333329</v>
      </c>
      <c r="M14" s="83">
        <f>'06'!M108</f>
        <v>16.084270833333331</v>
      </c>
      <c r="N14" s="83">
        <f>'06'!N108</f>
        <v>97.463541666666615</v>
      </c>
      <c r="O14" s="83">
        <f>'06'!O108</f>
        <v>0</v>
      </c>
      <c r="P14" s="83">
        <f>'06'!P108</f>
        <v>0.68510416666666651</v>
      </c>
      <c r="Q14" s="83">
        <f>'06'!Q108</f>
        <v>9.3719791666666854</v>
      </c>
      <c r="R14" s="76"/>
      <c r="S14" s="76"/>
      <c r="T14" s="76"/>
      <c r="U14" s="76"/>
    </row>
    <row r="15" spans="1:21">
      <c r="A15" s="139" t="str">
        <f>'07'!$B$2</f>
        <v>07/11/2025 00:15</v>
      </c>
      <c r="B15" s="83">
        <f>'07'!B108</f>
        <v>10.01166666666667</v>
      </c>
      <c r="C15" s="83">
        <f>'07'!C108</f>
        <v>11.190833333333332</v>
      </c>
      <c r="D15" s="83">
        <f>'07'!D108</f>
        <v>13.874895833333333</v>
      </c>
      <c r="E15" s="83">
        <f>'07'!E108</f>
        <v>6.9552083333333314</v>
      </c>
      <c r="F15" s="83">
        <f>'07'!F108</f>
        <v>4.7762500000000001</v>
      </c>
      <c r="G15" s="83">
        <f>'07'!G108</f>
        <v>89.573958333333323</v>
      </c>
      <c r="H15" s="83">
        <f>'07'!H108</f>
        <v>30.08302083333335</v>
      </c>
      <c r="I15" s="83">
        <f>'07'!I108</f>
        <v>8.1449999999999996</v>
      </c>
      <c r="J15" s="83">
        <f>'07'!J108</f>
        <v>0.27093750000000005</v>
      </c>
      <c r="K15" s="83">
        <f>'07'!K108</f>
        <v>104.20635416666664</v>
      </c>
      <c r="L15" s="83">
        <f>'07'!L108</f>
        <v>14.391562500000004</v>
      </c>
      <c r="M15" s="83">
        <f>'07'!M108</f>
        <v>15.193333333333337</v>
      </c>
      <c r="N15" s="83">
        <f>'07'!N108</f>
        <v>124.0708333333334</v>
      </c>
      <c r="O15" s="83">
        <f>'07'!O108</f>
        <v>0</v>
      </c>
      <c r="P15" s="83">
        <f>'07'!P108</f>
        <v>0.66104166666666664</v>
      </c>
      <c r="Q15" s="83">
        <f>'07'!Q108</f>
        <v>9.4114583333333499</v>
      </c>
      <c r="R15" s="76"/>
      <c r="S15" s="76"/>
      <c r="T15" s="76"/>
      <c r="U15" s="76"/>
    </row>
    <row r="16" spans="1:21">
      <c r="A16" s="139" t="str">
        <f>'08'!$B$2</f>
        <v>08/11/2025 00:15</v>
      </c>
      <c r="B16" s="83">
        <f>'08'!B108</f>
        <v>8.2648958333333358</v>
      </c>
      <c r="C16" s="83">
        <f>'08'!C108</f>
        <v>12.508541666666661</v>
      </c>
      <c r="D16" s="83">
        <f>'08'!D108</f>
        <v>13.162812500000001</v>
      </c>
      <c r="E16" s="83">
        <f>'08'!E108</f>
        <v>6.4672916666666644</v>
      </c>
      <c r="F16" s="83">
        <f>'08'!F108</f>
        <v>5.9203124999999988</v>
      </c>
      <c r="G16" s="83">
        <f>'08'!G108</f>
        <v>82.515937500000035</v>
      </c>
      <c r="H16" s="83">
        <f>'08'!H108</f>
        <v>32.784583333333337</v>
      </c>
      <c r="I16" s="83">
        <f>'08'!I108</f>
        <v>7.5757291666666644</v>
      </c>
      <c r="J16" s="83">
        <f>'08'!J108</f>
        <v>0.37874999999999992</v>
      </c>
      <c r="K16" s="83">
        <f>'08'!K108</f>
        <v>106.04604166666668</v>
      </c>
      <c r="L16" s="83">
        <f>'08'!L108</f>
        <v>13.642499999999993</v>
      </c>
      <c r="M16" s="83">
        <f>'08'!M108</f>
        <v>13.029791666666668</v>
      </c>
      <c r="N16" s="83">
        <f>'08'!N108</f>
        <v>133.93645833333329</v>
      </c>
      <c r="O16" s="83">
        <f>'08'!O108</f>
        <v>0</v>
      </c>
      <c r="P16" s="83">
        <f>'08'!P108</f>
        <v>0.61541666666666706</v>
      </c>
      <c r="Q16" s="83">
        <f>'08'!Q108</f>
        <v>9.4431250000000215</v>
      </c>
      <c r="R16" s="76"/>
      <c r="S16" s="76"/>
      <c r="T16" s="76"/>
      <c r="U16" s="76"/>
    </row>
    <row r="17" spans="1:21">
      <c r="A17" s="139" t="str">
        <f>'09'!$B$2</f>
        <v>09/11/2025 00:15</v>
      </c>
      <c r="B17" s="83">
        <f>'09'!B108</f>
        <v>8.7169791666666665</v>
      </c>
      <c r="C17" s="83">
        <f>'09'!C108</f>
        <v>12.156666666666659</v>
      </c>
      <c r="D17" s="83">
        <f>'09'!D108</f>
        <v>13.341979166666663</v>
      </c>
      <c r="E17" s="83">
        <f>'09'!E108</f>
        <v>6.5542708333333364</v>
      </c>
      <c r="F17" s="83">
        <f>'09'!F108</f>
        <v>2.2247916666666669</v>
      </c>
      <c r="G17" s="83">
        <f>'09'!G108</f>
        <v>121.03833333333328</v>
      </c>
      <c r="H17" s="83">
        <f>'09'!H108</f>
        <v>55.696458333333361</v>
      </c>
      <c r="I17" s="83">
        <f>'09'!I108</f>
        <v>10.991458333333334</v>
      </c>
      <c r="J17" s="83">
        <f>'09'!J108</f>
        <v>0.23749999999999996</v>
      </c>
      <c r="K17" s="83">
        <f>'09'!K108</f>
        <v>102.29479166666668</v>
      </c>
      <c r="L17" s="83">
        <f>'09'!L108</f>
        <v>14.853020833333332</v>
      </c>
      <c r="M17" s="83">
        <f>'09'!M108</f>
        <v>16.302083333333332</v>
      </c>
      <c r="N17" s="83">
        <f>'09'!N108</f>
        <v>124.38854166666665</v>
      </c>
      <c r="O17" s="83">
        <f>'09'!O108</f>
        <v>0</v>
      </c>
      <c r="P17" s="83">
        <f>'09'!P108</f>
        <v>0.86697916666666675</v>
      </c>
      <c r="Q17" s="83">
        <f>'09'!Q108</f>
        <v>9.320000000000018</v>
      </c>
      <c r="R17" s="76"/>
      <c r="S17" s="76"/>
      <c r="T17" s="76"/>
      <c r="U17" s="76"/>
    </row>
    <row r="18" spans="1:21">
      <c r="A18" s="139" t="str">
        <f>'10'!$B$2</f>
        <v>10/11/2025 00:15</v>
      </c>
      <c r="B18" s="83">
        <f>'10'!B108</f>
        <v>9.6123958333333288</v>
      </c>
      <c r="C18" s="83">
        <f>'10'!C108</f>
        <v>14.852083333333333</v>
      </c>
      <c r="D18" s="83">
        <f>'10'!D108</f>
        <v>15.467812500000006</v>
      </c>
      <c r="E18" s="83">
        <f>'10'!E108</f>
        <v>7.2431249999999983</v>
      </c>
      <c r="F18" s="83">
        <f>'10'!F108</f>
        <v>3.6552083333333329</v>
      </c>
      <c r="G18" s="83">
        <f>'10'!G108</f>
        <v>85.35895833333332</v>
      </c>
      <c r="H18" s="83">
        <f>'10'!H108</f>
        <v>46.513333333333314</v>
      </c>
      <c r="I18" s="83">
        <f>'10'!I108</f>
        <v>10.826875000000003</v>
      </c>
      <c r="J18" s="83">
        <f>'10'!J108</f>
        <v>0.23999999999999996</v>
      </c>
      <c r="K18" s="83">
        <f>'10'!K108</f>
        <v>112.72749999999995</v>
      </c>
      <c r="L18" s="83">
        <f>'10'!L108</f>
        <v>15.015416666666669</v>
      </c>
      <c r="M18" s="83">
        <f>'10'!M108</f>
        <v>16.752083333333328</v>
      </c>
      <c r="N18" s="83">
        <f>'10'!N108</f>
        <v>123.05416666666669</v>
      </c>
      <c r="O18" s="83">
        <f>'10'!O108</f>
        <v>0</v>
      </c>
      <c r="P18" s="83">
        <f>'10'!P108</f>
        <v>0.83479166666666638</v>
      </c>
      <c r="Q18" s="83">
        <f>'10'!Q108</f>
        <v>9.320000000000018</v>
      </c>
      <c r="R18" s="76"/>
      <c r="S18" s="76"/>
      <c r="T18" s="76"/>
      <c r="U18" s="76"/>
    </row>
    <row r="19" spans="1:21">
      <c r="A19" s="139" t="str">
        <f>'11'!$B$2</f>
        <v>11/11/2025 00:15</v>
      </c>
      <c r="B19" s="83">
        <f>'11'!B108</f>
        <v>12.779895833333335</v>
      </c>
      <c r="C19" s="83">
        <f>'11'!C108</f>
        <v>14.262187500000001</v>
      </c>
      <c r="D19" s="83">
        <f>'11'!D108</f>
        <v>17.700729166666683</v>
      </c>
      <c r="E19" s="83">
        <f>'11'!E108</f>
        <v>6.5748958333333354</v>
      </c>
      <c r="F19" s="83">
        <f>'11'!F108</f>
        <v>2.2627083333333338</v>
      </c>
      <c r="G19" s="83">
        <f>'11'!G108</f>
        <v>88.678854166666667</v>
      </c>
      <c r="H19" s="83">
        <f>'11'!H108</f>
        <v>45.167604166666671</v>
      </c>
      <c r="I19" s="83">
        <f>'11'!I108</f>
        <v>11.900937499999998</v>
      </c>
      <c r="J19" s="83">
        <f>'11'!J108</f>
        <v>0.24354166666666668</v>
      </c>
      <c r="K19" s="83">
        <f>'11'!K108</f>
        <v>145.5690625</v>
      </c>
      <c r="L19" s="83">
        <f>'11'!L108</f>
        <v>16.437500000000004</v>
      </c>
      <c r="M19" s="83">
        <f>'11'!M108</f>
        <v>20.3321875</v>
      </c>
      <c r="N19" s="83">
        <f>'11'!N108</f>
        <v>123.96875000000004</v>
      </c>
      <c r="O19" s="83">
        <f>'11'!O108</f>
        <v>0</v>
      </c>
      <c r="P19" s="83">
        <f>'11'!P108</f>
        <v>0.8371875000000002</v>
      </c>
      <c r="Q19" s="83">
        <f>'11'!Q108</f>
        <v>9.320000000000018</v>
      </c>
      <c r="R19" s="76"/>
      <c r="S19" s="76"/>
      <c r="T19" s="76"/>
      <c r="U19" s="76"/>
    </row>
    <row r="20" spans="1:21">
      <c r="A20" s="139" t="str">
        <f>'12'!$B$2</f>
        <v>12/11/2025 00:15</v>
      </c>
      <c r="B20" s="83">
        <f>'12'!B108</f>
        <v>9.6939583333333328</v>
      </c>
      <c r="C20" s="83">
        <f>'12'!C108</f>
        <v>16.835416666666664</v>
      </c>
      <c r="D20" s="83">
        <f>'12'!D108</f>
        <v>16.568645833333338</v>
      </c>
      <c r="E20" s="83">
        <f>'12'!E108</f>
        <v>6.3681250000000018</v>
      </c>
      <c r="F20" s="83">
        <f>'12'!F108</f>
        <v>5.6887499999999989</v>
      </c>
      <c r="G20" s="83">
        <f>'12'!G108</f>
        <v>86.385729166666692</v>
      </c>
      <c r="H20" s="83">
        <f>'12'!H108</f>
        <v>41.310937500000001</v>
      </c>
      <c r="I20" s="83">
        <f>'12'!I108</f>
        <v>12.306666666666672</v>
      </c>
      <c r="J20" s="83">
        <f>'12'!J108</f>
        <v>0.22729166666666675</v>
      </c>
      <c r="K20" s="83">
        <f>'12'!K108</f>
        <v>140.86885416666661</v>
      </c>
      <c r="L20" s="83">
        <f>'12'!L108</f>
        <v>16.949895833333333</v>
      </c>
      <c r="M20" s="83">
        <f>'12'!M108</f>
        <v>21.43458333333334</v>
      </c>
      <c r="N20" s="83">
        <f>'12'!N108</f>
        <v>129.22916666666671</v>
      </c>
      <c r="O20" s="83">
        <f>'12'!O108</f>
        <v>0</v>
      </c>
      <c r="P20" s="83">
        <f>'12'!P108</f>
        <v>0.73687500000000006</v>
      </c>
      <c r="Q20" s="83">
        <f>'12'!Q108</f>
        <v>9.6381250000000218</v>
      </c>
      <c r="R20" s="76"/>
      <c r="S20" s="76"/>
      <c r="T20" s="76"/>
      <c r="U20" s="76"/>
    </row>
    <row r="21" spans="1:21">
      <c r="A21" s="139" t="str">
        <f>'13'!$B$2</f>
        <v>13/11/2025 00:15</v>
      </c>
      <c r="B21" s="83">
        <f>'13'!B108</f>
        <v>14.804479166666667</v>
      </c>
      <c r="C21" s="83">
        <f>'13'!C108</f>
        <v>16.250624999999999</v>
      </c>
      <c r="D21" s="83">
        <f>'13'!D108</f>
        <v>20.362187499999994</v>
      </c>
      <c r="E21" s="83">
        <f>'13'!E108</f>
        <v>6.4936458333333347</v>
      </c>
      <c r="F21" s="83">
        <f>'13'!F108</f>
        <v>2.0231249999999998</v>
      </c>
      <c r="G21" s="83">
        <f>'13'!G108</f>
        <v>102.13760416666668</v>
      </c>
      <c r="H21" s="83">
        <f>'13'!H108</f>
        <v>51.196458333333339</v>
      </c>
      <c r="I21" s="83">
        <f>'13'!I108</f>
        <v>14.118541666666667</v>
      </c>
      <c r="J21" s="83">
        <f>'13'!J108</f>
        <v>0.36906250000000002</v>
      </c>
      <c r="K21" s="83">
        <f>'13'!K108</f>
        <v>131.87500000000003</v>
      </c>
      <c r="L21" s="83">
        <f>'13'!L108</f>
        <v>15.917187500000006</v>
      </c>
      <c r="M21" s="83">
        <f>'13'!M108</f>
        <v>19.0621875</v>
      </c>
      <c r="N21" s="83">
        <f>'13'!N108</f>
        <v>130.20312500000006</v>
      </c>
      <c r="O21" s="83">
        <f>'13'!O108</f>
        <v>0</v>
      </c>
      <c r="P21" s="83">
        <f>'13'!P108</f>
        <v>0.79052083333333334</v>
      </c>
      <c r="Q21" s="83">
        <f>'13'!Q108</f>
        <v>9.318854166666684</v>
      </c>
      <c r="R21" s="76"/>
      <c r="S21" s="76"/>
      <c r="T21" s="76"/>
      <c r="U21" s="76"/>
    </row>
    <row r="22" spans="1:21">
      <c r="A22" s="139" t="str">
        <f>'14'!$B$2</f>
        <v>14/11/2025 00:15</v>
      </c>
      <c r="B22" s="140">
        <f>'14'!B108</f>
        <v>13.758645833333318</v>
      </c>
      <c r="C22" s="140">
        <f>'14'!C108</f>
        <v>19.838541666666675</v>
      </c>
      <c r="D22" s="140">
        <f>'14'!D108</f>
        <v>21.398020833333334</v>
      </c>
      <c r="E22" s="140">
        <f>'14'!E108</f>
        <v>7.0808333333333318</v>
      </c>
      <c r="F22" s="140">
        <f>'14'!F108</f>
        <v>5.4568750000000037</v>
      </c>
      <c r="G22" s="140">
        <f>'14'!G108</f>
        <v>72.119375000000034</v>
      </c>
      <c r="H22" s="140">
        <f>'14'!H108</f>
        <v>31.003020833333327</v>
      </c>
      <c r="I22" s="140">
        <f>'14'!I108</f>
        <v>12.484270833333333</v>
      </c>
      <c r="J22" s="140">
        <f>'14'!J108</f>
        <v>0.40135416666666662</v>
      </c>
      <c r="K22" s="140">
        <f>'14'!K108</f>
        <v>124.58802083333332</v>
      </c>
      <c r="L22" s="140">
        <f>'14'!L108</f>
        <v>15.531874999999999</v>
      </c>
      <c r="M22" s="140">
        <f>'14'!M108</f>
        <v>18.095729166666665</v>
      </c>
      <c r="N22" s="140">
        <f>'14'!N108</f>
        <v>129.91770833333331</v>
      </c>
      <c r="O22" s="140">
        <f>'14'!O108</f>
        <v>0</v>
      </c>
      <c r="P22" s="140">
        <f>'14'!P108</f>
        <v>0.64093750000000005</v>
      </c>
      <c r="Q22" s="140">
        <f>'14'!Q108</f>
        <v>9.320000000000018</v>
      </c>
      <c r="R22" s="153"/>
      <c r="S22" s="153"/>
      <c r="T22" s="153"/>
      <c r="U22" s="153"/>
    </row>
    <row r="23" spans="1:21">
      <c r="A23" s="139" t="str">
        <f>'15'!$B$2</f>
        <v>15/11/2025 00:15</v>
      </c>
      <c r="B23" s="83">
        <f>'15'!B108</f>
        <v>10.021041666666671</v>
      </c>
      <c r="C23" s="83">
        <f>'15'!C108</f>
        <v>17.199062499999997</v>
      </c>
      <c r="D23" s="83">
        <f>'15'!D108</f>
        <v>17.022083333333327</v>
      </c>
      <c r="E23" s="83">
        <f>'15'!E108</f>
        <v>6.6188541666666643</v>
      </c>
      <c r="F23" s="83">
        <f>'15'!F108</f>
        <v>2.4255208333333331</v>
      </c>
      <c r="G23" s="83">
        <f>'15'!G108</f>
        <v>48.530624999999993</v>
      </c>
      <c r="H23" s="83">
        <f>'15'!H108</f>
        <v>14.624270833333343</v>
      </c>
      <c r="I23" s="83">
        <f>'15'!I108</f>
        <v>12.421354166666665</v>
      </c>
      <c r="J23" s="83">
        <f>'15'!J108</f>
        <v>0.35000000000000003</v>
      </c>
      <c r="K23" s="83">
        <f>'15'!K108</f>
        <v>123.21208333333333</v>
      </c>
      <c r="L23" s="83">
        <f>'15'!L108</f>
        <v>15.326666666666663</v>
      </c>
      <c r="M23" s="83">
        <f>'15'!M108</f>
        <v>17.741979166666656</v>
      </c>
      <c r="N23" s="83">
        <f>'15'!N108</f>
        <v>124.34687499999995</v>
      </c>
      <c r="O23" s="83">
        <f>'15'!O108</f>
        <v>0</v>
      </c>
      <c r="P23" s="83">
        <f>'15'!P108</f>
        <v>0.61583333333333334</v>
      </c>
      <c r="Q23" s="83">
        <f>'15'!Q108</f>
        <v>9.4853125000000151</v>
      </c>
      <c r="R23" s="76"/>
      <c r="S23" s="76"/>
      <c r="T23" s="76"/>
      <c r="U23" s="76"/>
    </row>
    <row r="24" spans="1:21">
      <c r="A24" s="139" t="str">
        <f>'16'!$B$2</f>
        <v>16/11/2025 00:15</v>
      </c>
      <c r="B24" s="83">
        <f>'16'!B108</f>
        <v>12.472499999999998</v>
      </c>
      <c r="C24" s="83">
        <f>'16'!C108</f>
        <v>17.864791666666662</v>
      </c>
      <c r="D24" s="83">
        <f>'16'!D108</f>
        <v>19.336145833333322</v>
      </c>
      <c r="E24" s="83">
        <f>'16'!E108</f>
        <v>6.3107291666666656</v>
      </c>
      <c r="F24" s="151" t="s">
        <v>8</v>
      </c>
      <c r="G24" s="83">
        <f>'16'!G108</f>
        <v>47.333645833333321</v>
      </c>
      <c r="H24" s="83">
        <f>'16'!H108</f>
        <v>14.404687500000003</v>
      </c>
      <c r="I24" s="83">
        <f>'16'!I108</f>
        <v>12.126041666666666</v>
      </c>
      <c r="J24" s="83">
        <f>'16'!J108</f>
        <v>0.3847916666666667</v>
      </c>
      <c r="K24" s="83">
        <f>'16'!K108</f>
        <v>105.34281250000002</v>
      </c>
      <c r="L24" s="83">
        <f>'16'!L108</f>
        <v>14.692604166666662</v>
      </c>
      <c r="M24" s="83">
        <f>'16'!M108</f>
        <v>16.162291666666675</v>
      </c>
      <c r="N24" s="83">
        <f>'16'!N108</f>
        <v>122.45625000000007</v>
      </c>
      <c r="O24" s="83">
        <f>'16'!O108</f>
        <v>0</v>
      </c>
      <c r="P24" s="83">
        <f>'16'!P108</f>
        <v>0.66281250000000014</v>
      </c>
      <c r="Q24" s="83">
        <f>'16'!Q108</f>
        <v>9.4336458333333475</v>
      </c>
      <c r="R24" s="76"/>
      <c r="S24" s="76"/>
      <c r="T24" s="76"/>
      <c r="U24" s="76"/>
    </row>
    <row r="25" spans="1:21">
      <c r="A25" s="139" t="str">
        <f>'17'!$B$2</f>
        <v>17/11/2025 00:15</v>
      </c>
      <c r="B25" s="83">
        <f>'17'!B108</f>
        <v>8.0862500000000015</v>
      </c>
      <c r="C25" s="83">
        <f>'17'!C108</f>
        <v>18.105729166666674</v>
      </c>
      <c r="D25" s="83">
        <f>'17'!D108</f>
        <v>15.944895833333334</v>
      </c>
      <c r="E25" s="83">
        <f>'17'!E108</f>
        <v>6.0534375000000011</v>
      </c>
      <c r="F25" s="151" t="s">
        <v>8</v>
      </c>
      <c r="G25" s="83">
        <f>'17'!G108</f>
        <v>46.03250000000002</v>
      </c>
      <c r="H25" s="83">
        <f>'17'!H108</f>
        <v>14.363645833333335</v>
      </c>
      <c r="I25" s="83">
        <f>'17'!I108</f>
        <v>10.71</v>
      </c>
      <c r="J25" s="83">
        <f>'17'!J108</f>
        <v>0.29927083333333321</v>
      </c>
      <c r="K25" s="83">
        <f>'17'!K108</f>
        <v>115.35729166666664</v>
      </c>
      <c r="L25" s="83">
        <f>'17'!L108</f>
        <v>14.934166666666664</v>
      </c>
      <c r="M25" s="83">
        <f>'17'!M108</f>
        <v>16.982604166666665</v>
      </c>
      <c r="N25" s="83">
        <f>'17'!N108</f>
        <v>119.8520833333332</v>
      </c>
      <c r="O25" s="83">
        <f>'17'!O108</f>
        <v>0</v>
      </c>
      <c r="P25" s="83">
        <f>'17'!P108</f>
        <v>0.6367708333333334</v>
      </c>
      <c r="Q25" s="83">
        <f>'17'!Q108</f>
        <v>9.3585416666666834</v>
      </c>
      <c r="R25" s="76"/>
      <c r="S25" s="76"/>
      <c r="T25" s="76"/>
      <c r="U25" s="76"/>
    </row>
    <row r="26" spans="1:21">
      <c r="A26" s="139" t="str">
        <f>'18'!$B$2</f>
        <v>18/11/2025 00:15</v>
      </c>
      <c r="B26" s="83">
        <f>'18'!B108</f>
        <v>10.605104166666667</v>
      </c>
      <c r="C26" s="83">
        <f>'18'!C108</f>
        <v>19.397604166666667</v>
      </c>
      <c r="D26" s="83">
        <f>'18'!D108</f>
        <v>18.78947916666667</v>
      </c>
      <c r="E26" s="83">
        <f>'18'!E108</f>
        <v>5.0103124999999986</v>
      </c>
      <c r="F26" s="83">
        <f>'18'!F108</f>
        <v>9.526571428571442</v>
      </c>
      <c r="G26" s="83">
        <f>'18'!G108</f>
        <v>48.22197916666665</v>
      </c>
      <c r="H26" s="83">
        <f>'18'!H108</f>
        <v>15.793333333333322</v>
      </c>
      <c r="I26" s="83">
        <f>'18'!I108</f>
        <v>11.76760416666667</v>
      </c>
      <c r="J26" s="83">
        <f>'18'!J108</f>
        <v>0.26104166666666662</v>
      </c>
      <c r="K26" s="83">
        <f>'18'!K108</f>
        <v>138.30697916666668</v>
      </c>
      <c r="L26" s="83">
        <f>'18'!L108</f>
        <v>16.038541666666674</v>
      </c>
      <c r="M26" s="83">
        <f>'18'!M108</f>
        <v>19.673437500000002</v>
      </c>
      <c r="N26" s="83">
        <f>'18'!N108</f>
        <v>115.67916666666662</v>
      </c>
      <c r="O26" s="83">
        <f>'18'!O108</f>
        <v>0</v>
      </c>
      <c r="P26" s="83">
        <f>'18'!P108</f>
        <v>0.72677083333333325</v>
      </c>
      <c r="Q26" s="83">
        <f>'18'!Q108</f>
        <v>9.3295833333333515</v>
      </c>
      <c r="R26" s="76"/>
      <c r="S26" s="76"/>
      <c r="T26" s="76"/>
      <c r="U26" s="76"/>
    </row>
    <row r="27" spans="1:21">
      <c r="A27" s="139" t="str">
        <f>'19'!$B$2</f>
        <v>19/11/2025 00:15</v>
      </c>
      <c r="B27" s="83">
        <f>'19'!B108</f>
        <v>9.5354166666666718</v>
      </c>
      <c r="C27" s="83">
        <f>'19'!C108</f>
        <v>14.663958333333333</v>
      </c>
      <c r="D27" s="83">
        <f>'19'!D108</f>
        <v>15.391249999999999</v>
      </c>
      <c r="E27" s="83">
        <f>'19'!E108</f>
        <v>5.7029166666666677</v>
      </c>
      <c r="F27" s="151" t="s">
        <v>8</v>
      </c>
      <c r="G27" s="83">
        <f>'19'!G108</f>
        <v>42.91718749999999</v>
      </c>
      <c r="H27" s="83">
        <f>'19'!H108</f>
        <v>14.390520833333332</v>
      </c>
      <c r="I27" s="83">
        <f>'19'!I108</f>
        <v>11.837083333333332</v>
      </c>
      <c r="J27" s="83">
        <f>'19'!J108</f>
        <v>0.22260416666666671</v>
      </c>
      <c r="K27" s="83">
        <f>'19'!K108</f>
        <v>131.18739583333331</v>
      </c>
      <c r="L27" s="83">
        <f>'19'!L108</f>
        <v>15.988333333333337</v>
      </c>
      <c r="M27" s="83">
        <f>'19'!M108</f>
        <v>19.5234375</v>
      </c>
      <c r="N27" s="83">
        <f>'19'!N108</f>
        <v>112.81875000000001</v>
      </c>
      <c r="O27" s="83">
        <f>'19'!O108</f>
        <v>0</v>
      </c>
      <c r="P27" s="83">
        <f>'19'!P108</f>
        <v>0.64124999999999999</v>
      </c>
      <c r="Q27" s="83">
        <f>'19'!Q108</f>
        <v>9.4439583333333434</v>
      </c>
      <c r="R27" s="76"/>
      <c r="S27" s="76"/>
      <c r="T27" s="76"/>
      <c r="U27" s="76"/>
    </row>
    <row r="28" spans="1:21">
      <c r="A28" s="139" t="str">
        <f>'20'!$B$2</f>
        <v>20/11/2025 00:15</v>
      </c>
      <c r="B28" s="83">
        <f>'20'!B108</f>
        <v>9.8313541666666708</v>
      </c>
      <c r="C28" s="83">
        <f>'20'!C108</f>
        <v>14.060833333333328</v>
      </c>
      <c r="D28" s="83">
        <f>'20'!D108</f>
        <v>15.229791666666671</v>
      </c>
      <c r="E28" s="83">
        <f>'20'!E108</f>
        <v>5.9021874999999993</v>
      </c>
      <c r="F28" s="151" t="s">
        <v>8</v>
      </c>
      <c r="G28" s="83">
        <f>'20'!G108</f>
        <v>43.363437499999996</v>
      </c>
      <c r="H28" s="83">
        <f>'20'!H108</f>
        <v>13.618645833333339</v>
      </c>
      <c r="I28" s="83">
        <f>'20'!I108</f>
        <v>11.212916666666665</v>
      </c>
      <c r="J28" s="83">
        <f>'20'!J108</f>
        <v>0.2429166666666667</v>
      </c>
      <c r="K28" s="83">
        <f>'20'!K108</f>
        <v>139.22395833333334</v>
      </c>
      <c r="L28" s="83">
        <f>'20'!L108</f>
        <v>16.480416666666663</v>
      </c>
      <c r="M28" s="83">
        <f>'20'!M108</f>
        <v>20.643541666666678</v>
      </c>
      <c r="N28" s="83">
        <f>'20'!N108</f>
        <v>110.03749999999995</v>
      </c>
      <c r="O28" s="83">
        <f>'20'!O108</f>
        <v>0</v>
      </c>
      <c r="P28" s="83">
        <f>'20'!P108</f>
        <v>0.60572916666666665</v>
      </c>
      <c r="Q28" s="83">
        <f>'20'!Q108</f>
        <v>9.3454166666666847</v>
      </c>
      <c r="R28" s="76"/>
      <c r="S28" s="76"/>
      <c r="T28" s="76"/>
      <c r="U28" s="76"/>
    </row>
    <row r="29" spans="1:21">
      <c r="A29" s="139" t="str">
        <f>'21'!$B$2</f>
        <v>21/11/2025 00:15</v>
      </c>
      <c r="B29" s="83">
        <f>'21'!B108</f>
        <v>15.307916666666655</v>
      </c>
      <c r="C29" s="83">
        <f>'21'!C108</f>
        <v>16.437500000000004</v>
      </c>
      <c r="D29" s="83">
        <f>'21'!D108</f>
        <v>20.863750000000003</v>
      </c>
      <c r="E29" s="83">
        <f>'21'!E108</f>
        <v>6.0562499999999977</v>
      </c>
      <c r="F29" s="83">
        <f>'21'!F108</f>
        <v>15.353289473684207</v>
      </c>
      <c r="G29" s="83">
        <f>'21'!G108</f>
        <v>44.466562499999988</v>
      </c>
      <c r="H29" s="83">
        <f>'21'!H108</f>
        <v>14.064374999999998</v>
      </c>
      <c r="I29" s="83">
        <f>'21'!I108</f>
        <v>12.069999999999999</v>
      </c>
      <c r="J29" s="83">
        <f>'21'!J108</f>
        <v>0.26104166666666662</v>
      </c>
      <c r="K29" s="83">
        <f>'21'!K108</f>
        <v>152.68489583333331</v>
      </c>
      <c r="L29" s="83">
        <f>'21'!L108</f>
        <v>16.336874999999999</v>
      </c>
      <c r="M29" s="83">
        <f>'21'!M108</f>
        <v>20.267291666666669</v>
      </c>
      <c r="N29" s="83">
        <f>'21'!N108</f>
        <v>114.47187500000003</v>
      </c>
      <c r="O29" s="83">
        <f>'21'!O108</f>
        <v>0</v>
      </c>
      <c r="P29" s="83">
        <f>'21'!P108</f>
        <v>0.69614583333333346</v>
      </c>
      <c r="Q29" s="83">
        <f>'21'!Q108</f>
        <v>9.4017708333333534</v>
      </c>
      <c r="R29" s="76"/>
      <c r="S29" s="76"/>
      <c r="T29" s="76"/>
      <c r="U29" s="76"/>
    </row>
    <row r="30" spans="1:21">
      <c r="A30" s="139" t="str">
        <f>'22'!$B$2</f>
        <v>22/11/2025 00:15</v>
      </c>
      <c r="B30" s="83">
        <f>'22'!B108</f>
        <v>12.860312499999992</v>
      </c>
      <c r="C30" s="83">
        <f>'22'!C108</f>
        <v>14.487708333333332</v>
      </c>
      <c r="D30" s="83">
        <f>'22'!D108</f>
        <v>17.881979166666664</v>
      </c>
      <c r="E30" s="83">
        <f>'22'!E108</f>
        <v>6.4071875</v>
      </c>
      <c r="F30" s="83">
        <f>'22'!F108</f>
        <v>11.035520833333335</v>
      </c>
      <c r="G30" s="83">
        <f>'22'!G108</f>
        <v>44.40750000000002</v>
      </c>
      <c r="H30" s="83">
        <f>'22'!H108</f>
        <v>14.294062500000004</v>
      </c>
      <c r="I30" s="83">
        <f>'22'!I108</f>
        <v>13.294791666666669</v>
      </c>
      <c r="J30" s="83">
        <f>'22'!J108</f>
        <v>0.26322916666666674</v>
      </c>
      <c r="K30" s="83">
        <f>'22'!K108</f>
        <v>155.63864583333336</v>
      </c>
      <c r="L30" s="83">
        <f>'22'!L108</f>
        <v>16.37114583333334</v>
      </c>
      <c r="M30" s="83">
        <f>'22'!M108</f>
        <v>20.653854166666672</v>
      </c>
      <c r="N30" s="83">
        <f>'22'!N108</f>
        <v>107.73229166666671</v>
      </c>
      <c r="O30" s="83">
        <f>'22'!O108</f>
        <v>0</v>
      </c>
      <c r="P30" s="83">
        <f>'22'!P108</f>
        <v>0.75281249999999977</v>
      </c>
      <c r="Q30" s="83">
        <f>'22'!Q108</f>
        <v>9.3202083333333494</v>
      </c>
      <c r="R30" s="76"/>
      <c r="S30" s="76"/>
      <c r="T30" s="76"/>
      <c r="U30" s="76"/>
    </row>
    <row r="31" spans="1:21">
      <c r="A31" s="139" t="str">
        <f>'23'!$B$2</f>
        <v>23/11/2025 00:15</v>
      </c>
      <c r="B31" s="83">
        <f>'23'!B108</f>
        <v>11.465208333333337</v>
      </c>
      <c r="C31" s="83">
        <f>'23'!C108</f>
        <v>14.214895833333332</v>
      </c>
      <c r="D31" s="83">
        <f>'23'!D108</f>
        <v>16.620937500000004</v>
      </c>
      <c r="E31" s="83">
        <f>'23'!E108</f>
        <v>6.0607291666666683</v>
      </c>
      <c r="F31" s="151" t="s">
        <v>8</v>
      </c>
      <c r="G31" s="83">
        <f>'23'!G108</f>
        <v>46.407812499999999</v>
      </c>
      <c r="H31" s="83">
        <f>'23'!H108</f>
        <v>14.58510416666666</v>
      </c>
      <c r="I31" s="83">
        <f>'23'!I108</f>
        <v>14.297500000000001</v>
      </c>
      <c r="J31" s="83">
        <f>'23'!J108</f>
        <v>0.24416666666666673</v>
      </c>
      <c r="K31" s="83">
        <f>'23'!K108</f>
        <v>143.35218750000001</v>
      </c>
      <c r="L31" s="83">
        <f>'23'!L108</f>
        <v>15.791041666666667</v>
      </c>
      <c r="M31" s="83">
        <f>'23'!M108</f>
        <v>19.423437499999995</v>
      </c>
      <c r="N31" s="83">
        <f>'23'!N108</f>
        <v>102.59479166666675</v>
      </c>
      <c r="O31" s="83">
        <f>'23'!O108</f>
        <v>0</v>
      </c>
      <c r="P31" s="83">
        <f>'23'!P108</f>
        <v>0.75916666666666677</v>
      </c>
      <c r="Q31" s="83">
        <f>'23'!Q108</f>
        <v>9.320000000000018</v>
      </c>
      <c r="R31" s="76"/>
      <c r="S31" s="154"/>
      <c r="T31" s="76"/>
      <c r="U31" s="76"/>
    </row>
    <row r="32" spans="1:21">
      <c r="A32" s="139" t="str">
        <f>'24'!$B$2</f>
        <v>24/11/2025 00:15</v>
      </c>
      <c r="B32" s="83">
        <f>'24'!B108</f>
        <v>12.119687499999998</v>
      </c>
      <c r="C32" s="83">
        <f>'24'!C108</f>
        <v>16.6640625</v>
      </c>
      <c r="D32" s="83">
        <f>'24'!D108</f>
        <v>18.425729166666667</v>
      </c>
      <c r="E32" s="83">
        <f>'24'!E108</f>
        <v>6.2230208333333321</v>
      </c>
      <c r="F32" s="151" t="s">
        <v>8</v>
      </c>
      <c r="G32" s="83">
        <f>'24'!G108</f>
        <v>63.084270833333335</v>
      </c>
      <c r="H32" s="83">
        <f>'24'!H108</f>
        <v>21.194895833333334</v>
      </c>
      <c r="I32" s="83">
        <f>'24'!I108</f>
        <v>13.403333333333329</v>
      </c>
      <c r="J32" s="83">
        <f>'24'!J108</f>
        <v>0.37843750000000015</v>
      </c>
      <c r="K32" s="83">
        <f>'24'!K108</f>
        <v>90.568020833333321</v>
      </c>
      <c r="L32" s="83">
        <f>'24'!L108</f>
        <v>12.363437500000003</v>
      </c>
      <c r="M32" s="83">
        <f>'24'!M108</f>
        <v>10.78385416666667</v>
      </c>
      <c r="N32" s="83">
        <f>'24'!N108</f>
        <v>98.361458333333317</v>
      </c>
      <c r="O32" s="83">
        <f>'24'!O108</f>
        <v>0</v>
      </c>
      <c r="P32" s="83">
        <f>'24'!P108</f>
        <v>0.56770833333333315</v>
      </c>
      <c r="Q32" s="83">
        <f>'24'!Q108</f>
        <v>9.3277083333333533</v>
      </c>
      <c r="R32" s="76"/>
      <c r="S32" s="76"/>
      <c r="T32" s="76"/>
      <c r="U32" s="76"/>
    </row>
    <row r="33" spans="1:21">
      <c r="A33" s="139" t="str">
        <f>'25'!$B$2</f>
        <v>25/11/2025 00:15</v>
      </c>
      <c r="B33" s="83">
        <f>'25'!B108</f>
        <v>8.9631249999999998</v>
      </c>
      <c r="C33" s="83">
        <f>'25'!C108</f>
        <v>14.129895833333338</v>
      </c>
      <c r="D33" s="83">
        <f>'25'!D108</f>
        <v>14.570312500000005</v>
      </c>
      <c r="E33" s="83">
        <f>'25'!E108</f>
        <v>5.7428125000000003</v>
      </c>
      <c r="F33" s="151" t="s">
        <v>8</v>
      </c>
      <c r="G33" s="83">
        <f>'25'!G108</f>
        <v>118.11395833333334</v>
      </c>
      <c r="H33" s="83">
        <f>'25'!H108</f>
        <v>49.939166666666637</v>
      </c>
      <c r="I33" s="83">
        <f>'25'!I108</f>
        <v>11.514166666666666</v>
      </c>
      <c r="J33" s="83">
        <f>'25'!J108</f>
        <v>0.34479166666666661</v>
      </c>
      <c r="K33" s="83">
        <f>'25'!K108</f>
        <v>110.2192708333334</v>
      </c>
      <c r="L33" s="83">
        <f>'25'!L108</f>
        <v>13.833229166666662</v>
      </c>
      <c r="M33" s="83">
        <f>'25'!M108</f>
        <v>14.655520833333336</v>
      </c>
      <c r="N33" s="83">
        <f>'25'!N108</f>
        <v>92.682291666666686</v>
      </c>
      <c r="O33" s="83">
        <f>'25'!O108</f>
        <v>0</v>
      </c>
      <c r="P33" s="83">
        <f>'25'!P108</f>
        <v>0.55927083333333327</v>
      </c>
      <c r="Q33" s="83">
        <f>'25'!Q108</f>
        <v>9.3694791666666735</v>
      </c>
      <c r="R33" s="76"/>
      <c r="S33" s="154"/>
      <c r="T33" s="76"/>
      <c r="U33" s="76"/>
    </row>
    <row r="34" spans="1:21">
      <c r="A34" s="139" t="str">
        <f>'26'!$B$2</f>
        <v>26/11/2025 00:15</v>
      </c>
      <c r="B34" s="83">
        <f>'26'!B108</f>
        <v>8.8669791666666686</v>
      </c>
      <c r="C34" s="83">
        <f>'26'!C108</f>
        <v>16.040000000000003</v>
      </c>
      <c r="D34" s="83">
        <f>'26'!D108</f>
        <v>15.491041666666666</v>
      </c>
      <c r="E34" s="83">
        <f>'26'!E108</f>
        <v>6.573749999999996</v>
      </c>
      <c r="F34" s="152" t="s">
        <v>15</v>
      </c>
      <c r="G34" s="83">
        <f>'26'!G108</f>
        <v>110.96791666666668</v>
      </c>
      <c r="H34" s="83">
        <f>'26'!H108</f>
        <v>40.342395833333306</v>
      </c>
      <c r="I34" s="83">
        <f>'26'!I108</f>
        <v>10.083750000000002</v>
      </c>
      <c r="J34" s="83">
        <f>'26'!J108</f>
        <v>0.38770833333333315</v>
      </c>
      <c r="K34" s="83">
        <f>'26'!K108</f>
        <v>102.87604166666669</v>
      </c>
      <c r="L34" s="83">
        <f>'26'!L108</f>
        <v>12.704687499999993</v>
      </c>
      <c r="M34" s="83">
        <f>'26'!M108</f>
        <v>11.914166666666667</v>
      </c>
      <c r="N34" s="83">
        <f>'26'!N108</f>
        <v>89.803125000000065</v>
      </c>
      <c r="O34" s="83">
        <f>'26'!O108</f>
        <v>0</v>
      </c>
      <c r="P34" s="83">
        <f>'26'!P108</f>
        <v>0.57614583333333336</v>
      </c>
      <c r="Q34" s="83">
        <f>'26'!Q108</f>
        <v>9.4365625000000097</v>
      </c>
      <c r="R34" s="76"/>
      <c r="S34" s="76"/>
      <c r="T34" s="76"/>
      <c r="U34" s="76"/>
    </row>
    <row r="35" spans="1:21">
      <c r="A35" s="139" t="str">
        <f>'27'!$B$2</f>
        <v>27/11/2025 00:15</v>
      </c>
      <c r="B35" s="83">
        <f>'27'!B108</f>
        <v>6.3341666666666709</v>
      </c>
      <c r="C35" s="83">
        <f>'27'!C108</f>
        <v>17.766979166666669</v>
      </c>
      <c r="D35" s="83">
        <f>'27'!D108</f>
        <v>14.361666666666673</v>
      </c>
      <c r="E35" s="83">
        <f>'27'!E108</f>
        <v>6.2423958333333331</v>
      </c>
      <c r="F35" s="83">
        <f>'27'!F108</f>
        <v>25.39560975609756</v>
      </c>
      <c r="G35" s="83">
        <f>'27'!G108</f>
        <v>84.713125000000005</v>
      </c>
      <c r="H35" s="83">
        <f>'27'!H108</f>
        <v>32.051979166666669</v>
      </c>
      <c r="I35" s="83">
        <f>'27'!I108</f>
        <v>9.7118750000000045</v>
      </c>
      <c r="J35" s="83">
        <f>'27'!J108</f>
        <v>0.56500000000000006</v>
      </c>
      <c r="K35" s="83">
        <f>'27'!K108</f>
        <v>75.918541666666684</v>
      </c>
      <c r="L35" s="83">
        <f>'27'!L108</f>
        <v>14.631875000000003</v>
      </c>
      <c r="M35" s="83">
        <f>'27'!M108</f>
        <v>17.406875000000003</v>
      </c>
      <c r="N35" s="83">
        <f>'27'!N108</f>
        <v>98.509375000000048</v>
      </c>
      <c r="O35" s="83">
        <f>'27'!O108</f>
        <v>0</v>
      </c>
      <c r="P35" s="83">
        <f>'27'!P108</f>
        <v>0.56781249999999994</v>
      </c>
      <c r="Q35" s="83">
        <f>'27'!Q108</f>
        <v>9.341562500000018</v>
      </c>
      <c r="R35" s="76"/>
      <c r="S35" s="76"/>
      <c r="T35" s="76"/>
      <c r="U35" s="76"/>
    </row>
    <row r="36" spans="1:21">
      <c r="A36" s="139" t="str">
        <f>'28'!$B$2</f>
        <v>28/11/2025 00:15</v>
      </c>
      <c r="B36" s="83">
        <f>'28'!B108</f>
        <v>8.3958333333333339</v>
      </c>
      <c r="C36" s="83">
        <f>'28'!C108</f>
        <v>16.385104166666665</v>
      </c>
      <c r="D36" s="83">
        <f>'28'!D108</f>
        <v>15.293229166666661</v>
      </c>
      <c r="E36" s="83">
        <f>'28'!E108</f>
        <v>5.6907291666666673</v>
      </c>
      <c r="F36" s="83">
        <f>'28'!F108</f>
        <v>1.1772916666666668</v>
      </c>
      <c r="G36" s="83">
        <f>'28'!G108</f>
        <v>79.678958333333313</v>
      </c>
      <c r="H36" s="83">
        <f>'28'!H108</f>
        <v>37.126458333333332</v>
      </c>
      <c r="I36" s="83">
        <f>'28'!I108</f>
        <v>12.970416666666674</v>
      </c>
      <c r="J36" s="83">
        <f>'28'!J108</f>
        <v>0.42812500000000009</v>
      </c>
      <c r="K36" s="83">
        <f>'28'!K108</f>
        <v>91.319062499999973</v>
      </c>
      <c r="L36" s="83">
        <f>'28'!L108</f>
        <v>22.456770833333334</v>
      </c>
      <c r="M36" s="83">
        <f>'28'!M108</f>
        <v>54.528750000000002</v>
      </c>
      <c r="N36" s="83">
        <f>'28'!N108</f>
        <v>114.6510416666667</v>
      </c>
      <c r="O36" s="83">
        <f>'28'!O108</f>
        <v>0</v>
      </c>
      <c r="P36" s="83">
        <f>'28'!P108</f>
        <v>0.64229166666666682</v>
      </c>
      <c r="Q36" s="83">
        <f>'28'!Q108</f>
        <v>9.325937500000018</v>
      </c>
      <c r="R36" s="76"/>
      <c r="S36" s="76"/>
      <c r="T36" s="76"/>
      <c r="U36" s="76"/>
    </row>
    <row r="37" spans="1:21" s="2" customFormat="1">
      <c r="A37" s="139" t="str">
        <f>'29'!$B$2</f>
        <v>29/11/2025 00:15</v>
      </c>
      <c r="B37" s="83">
        <f>'29'!B108</f>
        <v>11.682395833333333</v>
      </c>
      <c r="C37" s="83">
        <f>'29'!C108</f>
        <v>16.526979166666663</v>
      </c>
      <c r="D37" s="83">
        <f>'29'!D108</f>
        <v>18.002291666666668</v>
      </c>
      <c r="E37" s="83">
        <f>'29'!E108</f>
        <v>5.7532291666666673</v>
      </c>
      <c r="F37" s="83">
        <f>'29'!F108</f>
        <v>0.72312500000000046</v>
      </c>
      <c r="G37" s="83">
        <f>'29'!G108</f>
        <v>87.697187499999984</v>
      </c>
      <c r="H37" s="83">
        <f>'29'!H108</f>
        <v>39.106145833333336</v>
      </c>
      <c r="I37" s="83">
        <f>'29'!I108</f>
        <v>12.914791666666666</v>
      </c>
      <c r="J37" s="83">
        <f>'29'!J108</f>
        <v>0.29708333333333342</v>
      </c>
      <c r="K37" s="83">
        <f>'29'!K108</f>
        <v>123.76218750000004</v>
      </c>
      <c r="L37" s="83">
        <f>'29'!L108</f>
        <v>22.656145833333337</v>
      </c>
      <c r="M37" s="83">
        <f>'29'!M108</f>
        <v>61.650833333333338</v>
      </c>
      <c r="N37" s="83">
        <f>'29'!N108</f>
        <v>112.23854166666661</v>
      </c>
      <c r="O37" s="83">
        <f>'29'!O108</f>
        <v>0</v>
      </c>
      <c r="P37" s="83">
        <f>'29'!P108</f>
        <v>0.72916666666666652</v>
      </c>
      <c r="Q37" s="83">
        <f>'29'!Q108</f>
        <v>9.320000000000018</v>
      </c>
      <c r="R37" s="76"/>
      <c r="S37" s="76"/>
      <c r="T37" s="76"/>
      <c r="U37" s="76"/>
    </row>
    <row r="38" spans="1:21" s="2" customFormat="1">
      <c r="A38" s="139" t="str">
        <f>'30'!$B$2</f>
        <v>30/11/2025 00:15</v>
      </c>
      <c r="B38" s="83">
        <f>'30'!B108</f>
        <v>14.394166666666665</v>
      </c>
      <c r="C38" s="83">
        <f>'30'!C108</f>
        <v>16.982083333333335</v>
      </c>
      <c r="D38" s="83">
        <f>'30'!D108</f>
        <v>20.415520833333336</v>
      </c>
      <c r="E38" s="83">
        <f>'30'!E108</f>
        <v>6.0463541666666645</v>
      </c>
      <c r="F38" s="83">
        <f>'30'!F108</f>
        <v>0.66447916666666684</v>
      </c>
      <c r="G38" s="83">
        <f>'30'!G108</f>
        <v>86.781250000000043</v>
      </c>
      <c r="H38" s="83">
        <f>'30'!H108</f>
        <v>39.788020833333348</v>
      </c>
      <c r="I38" s="83">
        <f>'30'!I108</f>
        <v>12.869895833333333</v>
      </c>
      <c r="J38" s="83">
        <f>'30'!J108</f>
        <v>0.32354166666666667</v>
      </c>
      <c r="K38" s="83">
        <f>'30'!K108</f>
        <v>111.86802083333339</v>
      </c>
      <c r="L38" s="83">
        <f>'30'!L108</f>
        <v>23.201354166666665</v>
      </c>
      <c r="M38" s="83">
        <f>'30'!M108</f>
        <v>60.27375</v>
      </c>
      <c r="N38" s="83">
        <f>'30'!N108</f>
        <v>100.18333333333335</v>
      </c>
      <c r="O38" s="83">
        <f>'30'!O108</f>
        <v>0</v>
      </c>
      <c r="P38" s="83">
        <f>'30'!P108</f>
        <v>0.71781249999999996</v>
      </c>
      <c r="Q38" s="83">
        <f>'30'!Q108</f>
        <v>9.3283333333333527</v>
      </c>
      <c r="R38" s="76"/>
      <c r="S38" s="76"/>
      <c r="T38" s="76"/>
      <c r="U38" s="76"/>
    </row>
    <row r="39" spans="1:21" s="2" customForma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6.3341666666666709</v>
      </c>
      <c r="C41" s="141">
        <f t="shared" si="0"/>
        <v>8.566770833333333</v>
      </c>
      <c r="D41" s="141">
        <f t="shared" si="0"/>
        <v>10.116041666666662</v>
      </c>
      <c r="E41" s="141">
        <f t="shared" si="0"/>
        <v>5.0103124999999986</v>
      </c>
      <c r="F41" s="141">
        <f t="shared" si="0"/>
        <v>0.66447916666666684</v>
      </c>
      <c r="G41" s="141">
        <f t="shared" si="0"/>
        <v>41.791875000000005</v>
      </c>
      <c r="H41" s="141">
        <f t="shared" si="0"/>
        <v>13.618645833333339</v>
      </c>
      <c r="I41" s="141">
        <f t="shared" si="0"/>
        <v>5.2168749999999999</v>
      </c>
      <c r="J41" s="141">
        <f t="shared" si="0"/>
        <v>0.17979166666666666</v>
      </c>
      <c r="K41" s="141">
        <f t="shared" si="0"/>
        <v>75.918541666666684</v>
      </c>
      <c r="L41" s="141">
        <f t="shared" si="0"/>
        <v>12.363437500000003</v>
      </c>
      <c r="M41" s="141">
        <f t="shared" si="0"/>
        <v>10.78385416666667</v>
      </c>
      <c r="N41" s="141">
        <f t="shared" si="0"/>
        <v>55.54479166666664</v>
      </c>
      <c r="O41" s="141">
        <f t="shared" si="0"/>
        <v>0</v>
      </c>
      <c r="P41" s="141">
        <f t="shared" si="0"/>
        <v>0.36729166666666674</v>
      </c>
      <c r="Q41" s="141">
        <f t="shared" si="0"/>
        <v>9.318854166666684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15.307916666666655</v>
      </c>
      <c r="C42" s="141">
        <f t="shared" si="1"/>
        <v>19.838541666666675</v>
      </c>
      <c r="D42" s="141">
        <f t="shared" si="1"/>
        <v>21.398020833333334</v>
      </c>
      <c r="E42" s="141">
        <f t="shared" si="1"/>
        <v>7.8457291666666675</v>
      </c>
      <c r="F42" s="141">
        <f t="shared" si="1"/>
        <v>25.39560975609756</v>
      </c>
      <c r="G42" s="141">
        <f t="shared" si="1"/>
        <v>121.03833333333328</v>
      </c>
      <c r="H42" s="141">
        <f t="shared" si="1"/>
        <v>55.696458333333361</v>
      </c>
      <c r="I42" s="141">
        <f t="shared" si="1"/>
        <v>14.297500000000001</v>
      </c>
      <c r="J42" s="141">
        <f t="shared" si="1"/>
        <v>0.56500000000000006</v>
      </c>
      <c r="K42" s="141">
        <f t="shared" si="1"/>
        <v>206.3253125</v>
      </c>
      <c r="L42" s="141">
        <f t="shared" si="1"/>
        <v>23.201354166666665</v>
      </c>
      <c r="M42" s="141">
        <f t="shared" si="1"/>
        <v>61.650833333333338</v>
      </c>
      <c r="N42" s="141">
        <f t="shared" si="1"/>
        <v>133.93645833333329</v>
      </c>
      <c r="O42" s="141">
        <f t="shared" si="1"/>
        <v>2.0833333333333333E-3</v>
      </c>
      <c r="P42" s="141">
        <f t="shared" si="1"/>
        <v>0.86697916666666675</v>
      </c>
      <c r="Q42" s="141">
        <f t="shared" si="1"/>
        <v>9.7610416666666797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10.476177083333329</v>
      </c>
      <c r="C43" s="141">
        <f t="shared" si="2"/>
        <v>14.439892361111109</v>
      </c>
      <c r="D43" s="141">
        <f t="shared" si="2"/>
        <v>15.953166666666672</v>
      </c>
      <c r="E43" s="141">
        <f t="shared" si="2"/>
        <v>6.4210312500000004</v>
      </c>
      <c r="F43" s="141">
        <f t="shared" si="2"/>
        <v>5.5895857875009023</v>
      </c>
      <c r="G43" s="141">
        <f t="shared" si="2"/>
        <v>72.844645833333331</v>
      </c>
      <c r="H43" s="141">
        <f t="shared" si="2"/>
        <v>29.346069444444439</v>
      </c>
      <c r="I43" s="141">
        <f t="shared" si="2"/>
        <v>10.871656249999999</v>
      </c>
      <c r="J43" s="141">
        <f t="shared" si="2"/>
        <v>0.3036180555555556</v>
      </c>
      <c r="K43" s="141">
        <f t="shared" si="2"/>
        <v>124.35658680555557</v>
      </c>
      <c r="L43" s="141">
        <f t="shared" si="2"/>
        <v>16.122875000000001</v>
      </c>
      <c r="M43" s="141">
        <f t="shared" si="2"/>
        <v>22.136100694444448</v>
      </c>
      <c r="N43" s="141">
        <f t="shared" si="2"/>
        <v>111.6570138888889</v>
      </c>
      <c r="O43" s="141">
        <f t="shared" si="2"/>
        <v>6.9444444444444444E-5</v>
      </c>
      <c r="P43" s="141">
        <f t="shared" si="2"/>
        <v>0.66803124999999997</v>
      </c>
      <c r="Q43" s="141">
        <f t="shared" si="2"/>
        <v>9.3908645833333519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2.3339157218387583</v>
      </c>
      <c r="C44" s="141">
        <f t="shared" si="3"/>
        <v>3.3649005391293287</v>
      </c>
      <c r="D44" s="141">
        <f t="shared" si="3"/>
        <v>2.9573274720698808</v>
      </c>
      <c r="E44" s="141">
        <f t="shared" si="3"/>
        <v>0.62157502617384397</v>
      </c>
      <c r="F44" s="141">
        <f t="shared" si="3"/>
        <v>5.8668385746408616</v>
      </c>
      <c r="G44" s="141">
        <f t="shared" si="3"/>
        <v>23.599597711095431</v>
      </c>
      <c r="H44" s="141">
        <f t="shared" si="3"/>
        <v>13.101190747702049</v>
      </c>
      <c r="I44" s="141">
        <f t="shared" si="3"/>
        <v>2.3393197138914648</v>
      </c>
      <c r="J44" s="141">
        <f t="shared" si="3"/>
        <v>8.4324879276559739E-2</v>
      </c>
      <c r="K44" s="141">
        <f t="shared" si="3"/>
        <v>26.649560804954302</v>
      </c>
      <c r="L44" s="141">
        <f t="shared" si="3"/>
        <v>2.6640984207165794</v>
      </c>
      <c r="M44" s="141">
        <f t="shared" si="3"/>
        <v>12.962454131228352</v>
      </c>
      <c r="N44" s="141">
        <f t="shared" si="3"/>
        <v>17.596249960477916</v>
      </c>
      <c r="O44" s="141">
        <f t="shared" si="3"/>
        <v>3.8036288715636538E-4</v>
      </c>
      <c r="P44" s="141">
        <f t="shared" si="3"/>
        <v>0.10066302569601883</v>
      </c>
      <c r="Q44" s="141">
        <f t="shared" si="3"/>
        <v>0.10395305738201449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30</v>
      </c>
      <c r="C45" s="132">
        <f t="shared" si="4"/>
        <v>30</v>
      </c>
      <c r="D45" s="132">
        <f t="shared" si="4"/>
        <v>30</v>
      </c>
      <c r="E45" s="132">
        <f t="shared" si="4"/>
        <v>30</v>
      </c>
      <c r="F45" s="141">
        <f>COUNT(F9:F39)+7</f>
        <v>29</v>
      </c>
      <c r="G45" s="132">
        <f t="shared" si="4"/>
        <v>30</v>
      </c>
      <c r="H45" s="132">
        <f t="shared" si="4"/>
        <v>30</v>
      </c>
      <c r="I45" s="132">
        <f t="shared" si="4"/>
        <v>30</v>
      </c>
      <c r="J45" s="132">
        <f t="shared" si="4"/>
        <v>30</v>
      </c>
      <c r="K45" s="132">
        <f t="shared" si="4"/>
        <v>30</v>
      </c>
      <c r="L45" s="132">
        <f t="shared" si="4"/>
        <v>30</v>
      </c>
      <c r="M45" s="132">
        <f t="shared" si="4"/>
        <v>30</v>
      </c>
      <c r="N45" s="132">
        <f t="shared" si="4"/>
        <v>30</v>
      </c>
      <c r="O45" s="132">
        <f t="shared" si="4"/>
        <v>30</v>
      </c>
      <c r="P45" s="132">
        <f t="shared" si="4"/>
        <v>30</v>
      </c>
      <c r="Q45" s="132">
        <f t="shared" si="4"/>
        <v>30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3" t="s">
        <v>56</v>
      </c>
      <c r="C50" s="163"/>
      <c r="D50" s="16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zoomScale="85" zoomScaleNormal="85" workbookViewId="0">
      <selection activeCell="L16" sqref="L16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66" t="s">
        <v>61</v>
      </c>
      <c r="E1" s="166"/>
      <c r="F1" s="166"/>
      <c r="G1" s="166"/>
      <c r="H1" s="166"/>
      <c r="I1" s="166"/>
      <c r="J1" s="167"/>
    </row>
    <row r="2" spans="2:24" ht="22.5" customHeight="1">
      <c r="B2" s="2"/>
      <c r="C2" s="79" t="s">
        <v>2</v>
      </c>
      <c r="D2" s="168" t="s">
        <v>243</v>
      </c>
      <c r="E2" s="169"/>
      <c r="F2" s="169"/>
      <c r="G2" s="169"/>
      <c r="H2" s="169"/>
      <c r="I2" s="169"/>
      <c r="J2" s="170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1" t="s">
        <v>62</v>
      </c>
      <c r="H5" s="171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 t="s">
        <v>238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>
        <v>199.4</v>
      </c>
      <c r="I8" s="6">
        <v>0</v>
      </c>
      <c r="J8" s="83">
        <f>F8/H8</f>
        <v>1.0030090270812437</v>
      </c>
      <c r="K8" s="83">
        <f>(H8-F8)*100/F8</f>
        <v>-0.29999999999999716</v>
      </c>
      <c r="L8" s="6" t="s">
        <v>80</v>
      </c>
      <c r="M8" s="103" t="s">
        <v>56</v>
      </c>
      <c r="O8" s="72" t="s">
        <v>238</v>
      </c>
      <c r="P8" s="100" t="s">
        <v>63</v>
      </c>
      <c r="Q8" s="100">
        <v>4588.1099999999997</v>
      </c>
      <c r="R8" s="100">
        <v>3522.6</v>
      </c>
      <c r="S8" s="100" t="s">
        <v>81</v>
      </c>
      <c r="T8" s="100">
        <v>857.03</v>
      </c>
      <c r="U8" s="117">
        <v>0.95369999999999999</v>
      </c>
      <c r="V8" s="117">
        <v>0.96150000000000002</v>
      </c>
      <c r="W8" s="6" t="s">
        <v>80</v>
      </c>
      <c r="X8" s="103" t="s">
        <v>56</v>
      </c>
    </row>
    <row r="9" spans="2:24" ht="15.75">
      <c r="B9" s="72" t="s">
        <v>239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>
        <v>199.2</v>
      </c>
      <c r="I9" s="6">
        <v>0</v>
      </c>
      <c r="J9" s="83">
        <f t="shared" ref="J9:J14" si="0">F9/H9</f>
        <v>1.0040160642570282</v>
      </c>
      <c r="K9" s="83">
        <f t="shared" ref="K9:K14" si="1">(H9-F9)*100/F9</f>
        <v>-0.40000000000000568</v>
      </c>
      <c r="L9" s="6" t="s">
        <v>80</v>
      </c>
      <c r="M9" s="103" t="s">
        <v>56</v>
      </c>
      <c r="O9" s="72" t="s">
        <v>239</v>
      </c>
      <c r="P9" s="100" t="s">
        <v>63</v>
      </c>
      <c r="Q9" s="100">
        <v>4736.18</v>
      </c>
      <c r="R9" s="100">
        <v>3639.63</v>
      </c>
      <c r="S9" s="100" t="s">
        <v>81</v>
      </c>
      <c r="T9" s="100">
        <v>862.4</v>
      </c>
      <c r="U9" s="117">
        <v>0.96150000000000002</v>
      </c>
      <c r="V9" s="117">
        <v>0.96330000000000005</v>
      </c>
      <c r="W9" s="6" t="s">
        <v>80</v>
      </c>
      <c r="X9" s="103" t="s">
        <v>56</v>
      </c>
    </row>
    <row r="10" spans="2:24" ht="15.75">
      <c r="B10" s="72" t="s">
        <v>241</v>
      </c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>
        <v>200.1</v>
      </c>
      <c r="I10" s="6">
        <v>0</v>
      </c>
      <c r="J10" s="83">
        <f t="shared" si="0"/>
        <v>0.99950024987506247</v>
      </c>
      <c r="K10" s="83">
        <f t="shared" si="1"/>
        <v>4.9999999999997158E-2</v>
      </c>
      <c r="L10" s="6" t="s">
        <v>80</v>
      </c>
      <c r="M10" s="103" t="s">
        <v>56</v>
      </c>
      <c r="O10" s="72" t="s">
        <v>241</v>
      </c>
      <c r="P10" s="100" t="s">
        <v>63</v>
      </c>
      <c r="Q10" s="100">
        <v>4378.83</v>
      </c>
      <c r="R10" s="100">
        <v>3360.27</v>
      </c>
      <c r="S10" s="100" t="s">
        <v>81</v>
      </c>
      <c r="T10" s="100">
        <v>860.34</v>
      </c>
      <c r="U10" s="117">
        <v>0.95650000000000002</v>
      </c>
      <c r="V10" s="117">
        <v>0.96050000000000002</v>
      </c>
      <c r="W10" s="6" t="s">
        <v>80</v>
      </c>
      <c r="X10" s="103" t="s">
        <v>56</v>
      </c>
    </row>
    <row r="11" spans="2:24" ht="15.75">
      <c r="B11" s="7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 t="s">
        <v>56</v>
      </c>
      <c r="O11" s="72"/>
      <c r="P11" s="100" t="s">
        <v>63</v>
      </c>
      <c r="Q11" s="100"/>
      <c r="R11" s="100"/>
      <c r="S11" s="100" t="s">
        <v>81</v>
      </c>
      <c r="T11" s="100"/>
      <c r="U11" s="117"/>
      <c r="V11" s="117"/>
      <c r="W11" s="6" t="s">
        <v>80</v>
      </c>
      <c r="X11" s="103" t="s">
        <v>56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 t="s">
        <v>56</v>
      </c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 t="s">
        <v>56</v>
      </c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 t="s">
        <v>56</v>
      </c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 t="s">
        <v>56</v>
      </c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 t="s">
        <v>56</v>
      </c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2" t="s">
        <v>82</v>
      </c>
      <c r="D21" s="172"/>
      <c r="E21" s="172"/>
      <c r="F21" s="172"/>
      <c r="G21" s="172"/>
      <c r="H21" s="172"/>
      <c r="I21" s="106">
        <f>COUNT(B8:B20)</f>
        <v>0</v>
      </c>
      <c r="J21" s="107"/>
      <c r="K21" s="107"/>
      <c r="L21" s="94"/>
      <c r="M21" s="108"/>
      <c r="O21" s="109"/>
      <c r="P21" s="173" t="s">
        <v>83</v>
      </c>
      <c r="Q21" s="173"/>
      <c r="R21" s="173"/>
      <c r="S21" s="173"/>
      <c r="T21" s="121">
        <f>COUNT(O8:O20)</f>
        <v>0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4" t="s">
        <v>84</v>
      </c>
      <c r="H24" s="174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 t="s">
        <v>238</v>
      </c>
      <c r="C27" s="6" t="s">
        <v>85</v>
      </c>
      <c r="D27" s="6" t="s">
        <v>39</v>
      </c>
      <c r="E27" s="6">
        <v>0</v>
      </c>
      <c r="F27" s="6">
        <v>200</v>
      </c>
      <c r="G27" s="6"/>
      <c r="H27" s="83">
        <v>199.5</v>
      </c>
      <c r="I27" s="6">
        <v>0</v>
      </c>
      <c r="J27" s="83">
        <f>F27/H27</f>
        <v>1.0025062656641603</v>
      </c>
      <c r="K27" s="83">
        <f>(H27-F27)*100/F27</f>
        <v>-0.25</v>
      </c>
      <c r="L27" s="6" t="s">
        <v>80</v>
      </c>
      <c r="M27" s="103" t="s">
        <v>56</v>
      </c>
      <c r="O27" s="72" t="s">
        <v>238</v>
      </c>
      <c r="P27" s="100" t="s">
        <v>29</v>
      </c>
      <c r="Q27" s="100">
        <v>4694.84</v>
      </c>
      <c r="R27" s="100">
        <v>3635.1</v>
      </c>
      <c r="S27" s="100" t="s">
        <v>86</v>
      </c>
      <c r="T27" s="100">
        <v>800.41</v>
      </c>
      <c r="U27" s="117">
        <v>0.92459999999999998</v>
      </c>
      <c r="V27" s="117">
        <v>0.91139999999999999</v>
      </c>
      <c r="W27" s="6" t="s">
        <v>80</v>
      </c>
      <c r="X27" s="103" t="s">
        <v>56</v>
      </c>
    </row>
    <row r="28" spans="2:24" ht="15.75">
      <c r="B28" s="72" t="s">
        <v>239</v>
      </c>
      <c r="C28" s="6" t="s">
        <v>85</v>
      </c>
      <c r="D28" s="6" t="s">
        <v>39</v>
      </c>
      <c r="E28" s="6">
        <v>0</v>
      </c>
      <c r="F28" s="6">
        <v>200</v>
      </c>
      <c r="G28" s="6"/>
      <c r="H28" s="83">
        <v>200.1</v>
      </c>
      <c r="I28" s="6">
        <v>0</v>
      </c>
      <c r="J28" s="83">
        <f t="shared" ref="J28:J33" si="2">F28/H28</f>
        <v>0.99950024987506247</v>
      </c>
      <c r="K28" s="83">
        <f t="shared" ref="K28:K33" si="3">(H28-F28)*100/F28</f>
        <v>4.9999999999997158E-2</v>
      </c>
      <c r="L28" s="6" t="s">
        <v>80</v>
      </c>
      <c r="M28" s="103" t="s">
        <v>56</v>
      </c>
      <c r="O28" s="72" t="s">
        <v>240</v>
      </c>
      <c r="P28" s="100" t="s">
        <v>29</v>
      </c>
      <c r="Q28" s="100">
        <v>6132.61</v>
      </c>
      <c r="R28" s="100">
        <v>4775.6400000000003</v>
      </c>
      <c r="S28" s="100" t="s">
        <v>86</v>
      </c>
      <c r="T28" s="100">
        <v>801.96</v>
      </c>
      <c r="U28" s="117">
        <v>0.94350000000000001</v>
      </c>
      <c r="V28" s="117">
        <v>0.92820000000000003</v>
      </c>
      <c r="W28" s="6" t="s">
        <v>80</v>
      </c>
      <c r="X28" s="103" t="s">
        <v>56</v>
      </c>
    </row>
    <row r="29" spans="2:24" ht="15.75">
      <c r="B29" s="72" t="s">
        <v>241</v>
      </c>
      <c r="C29" s="6" t="s">
        <v>85</v>
      </c>
      <c r="D29" s="6" t="s">
        <v>39</v>
      </c>
      <c r="E29" s="6">
        <v>0</v>
      </c>
      <c r="F29" s="6">
        <v>200</v>
      </c>
      <c r="G29" s="6"/>
      <c r="H29" s="83">
        <v>198.6</v>
      </c>
      <c r="I29" s="6">
        <v>0</v>
      </c>
      <c r="J29" s="83">
        <f t="shared" si="2"/>
        <v>1.0070493454179255</v>
      </c>
      <c r="K29" s="83">
        <f t="shared" si="3"/>
        <v>-0.70000000000000284</v>
      </c>
      <c r="L29" s="6" t="s">
        <v>80</v>
      </c>
      <c r="M29" s="103" t="s">
        <v>56</v>
      </c>
      <c r="O29" s="72" t="s">
        <v>242</v>
      </c>
      <c r="P29" s="100" t="s">
        <v>29</v>
      </c>
      <c r="Q29" s="100">
        <v>5721.5</v>
      </c>
      <c r="R29" s="100">
        <v>4470.95</v>
      </c>
      <c r="S29" s="100" t="s">
        <v>86</v>
      </c>
      <c r="T29" s="100">
        <v>786.39</v>
      </c>
      <c r="U29" s="117">
        <v>0.93569999999999998</v>
      </c>
      <c r="V29" s="117">
        <v>0.93879999999999997</v>
      </c>
      <c r="W29" s="6" t="s">
        <v>80</v>
      </c>
      <c r="X29" s="103" t="s">
        <v>56</v>
      </c>
    </row>
    <row r="30" spans="2:24" ht="15.75">
      <c r="B30" s="72"/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 t="s">
        <v>56</v>
      </c>
      <c r="O30" s="72"/>
      <c r="P30" s="100" t="s">
        <v>29</v>
      </c>
      <c r="Q30" s="100"/>
      <c r="R30" s="100"/>
      <c r="S30" s="100" t="s">
        <v>86</v>
      </c>
      <c r="T30" s="100"/>
      <c r="U30" s="117"/>
      <c r="V30" s="117"/>
      <c r="W30" s="6" t="s">
        <v>80</v>
      </c>
      <c r="X30" s="103" t="s">
        <v>56</v>
      </c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 t="s">
        <v>56</v>
      </c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 t="s">
        <v>56</v>
      </c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 t="s">
        <v>56</v>
      </c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 t="s">
        <v>56</v>
      </c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 t="s">
        <v>56</v>
      </c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3" t="s">
        <v>87</v>
      </c>
      <c r="Q40" s="173"/>
      <c r="R40" s="173"/>
      <c r="S40" s="173"/>
      <c r="T40" s="121">
        <f>COUNT(O27:O39)</f>
        <v>0</v>
      </c>
      <c r="U40" s="122"/>
      <c r="V40" s="122"/>
      <c r="W40" s="123"/>
      <c r="X40" s="124"/>
    </row>
    <row r="41" spans="2:24">
      <c r="B41" s="87"/>
      <c r="C41" s="94"/>
      <c r="D41" s="172" t="s">
        <v>88</v>
      </c>
      <c r="E41" s="172"/>
      <c r="F41" s="172"/>
      <c r="G41" s="172"/>
      <c r="H41" s="172"/>
      <c r="I41" s="172"/>
      <c r="J41" s="113">
        <f>COUNT(B27:B39)</f>
        <v>0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4" t="s">
        <v>38</v>
      </c>
      <c r="H44" s="174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2" t="s">
        <v>89</v>
      </c>
      <c r="E61" s="172"/>
      <c r="F61" s="172"/>
      <c r="G61" s="172"/>
      <c r="H61" s="172"/>
      <c r="I61" s="172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4" t="s">
        <v>37</v>
      </c>
      <c r="H64" s="174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 t="s">
        <v>238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4.9800000000000004</v>
      </c>
      <c r="I67" s="6">
        <v>0</v>
      </c>
      <c r="J67" s="83">
        <f>F67/H67</f>
        <v>1.0040160642570279</v>
      </c>
      <c r="K67" s="83">
        <f>(H67-F67)*100/F67</f>
        <v>-0.39999999999999147</v>
      </c>
      <c r="L67" s="6" t="s">
        <v>80</v>
      </c>
      <c r="M67" s="103" t="s">
        <v>56</v>
      </c>
    </row>
    <row r="68" spans="2:13" ht="15.75">
      <c r="B68" s="72" t="s">
        <v>239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4.95</v>
      </c>
      <c r="I68" s="6">
        <v>0</v>
      </c>
      <c r="J68" s="83">
        <f t="shared" ref="J68:J73" si="4">F68/H68</f>
        <v>1.0101010101010102</v>
      </c>
      <c r="K68" s="83">
        <f t="shared" ref="K68:K73" si="5">(H68-F68)*100/F68</f>
        <v>-0.99999999999999645</v>
      </c>
      <c r="L68" s="6" t="s">
        <v>80</v>
      </c>
      <c r="M68" s="103" t="s">
        <v>56</v>
      </c>
    </row>
    <row r="69" spans="2:13" ht="15.75">
      <c r="B69" s="72" t="s">
        <v>241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>
        <v>4.92</v>
      </c>
      <c r="I69" s="6">
        <v>0</v>
      </c>
      <c r="J69" s="83">
        <f t="shared" si="4"/>
        <v>1.0162601626016261</v>
      </c>
      <c r="K69" s="83">
        <f t="shared" si="5"/>
        <v>-1.6000000000000014</v>
      </c>
      <c r="L69" s="6" t="s">
        <v>80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2" t="s">
        <v>90</v>
      </c>
      <c r="E81" s="172"/>
      <c r="F81" s="172"/>
      <c r="G81" s="172"/>
      <c r="H81" s="172"/>
      <c r="I81" s="172"/>
      <c r="J81" s="113">
        <f>COUNT(B67:B79)</f>
        <v>0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4" t="s">
        <v>91</v>
      </c>
      <c r="H84" s="174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 t="s">
        <v>56</v>
      </c>
    </row>
    <row r="88" spans="2:13" ht="15.75">
      <c r="B88" s="7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 t="s">
        <v>56</v>
      </c>
    </row>
    <row r="89" spans="2:13" ht="15.75">
      <c r="B89" s="7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 t="s">
        <v>56</v>
      </c>
    </row>
    <row r="90" spans="2:13" ht="15.75">
      <c r="B90" s="7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 t="s">
        <v>56</v>
      </c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 t="s">
        <v>56</v>
      </c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2" t="s">
        <v>92</v>
      </c>
      <c r="E101" s="172"/>
      <c r="F101" s="172"/>
      <c r="G101" s="172"/>
      <c r="H101" s="172"/>
      <c r="I101" s="172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1" t="s">
        <v>93</v>
      </c>
      <c r="H104" s="171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 t="s">
        <v>238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83">
        <v>325.14</v>
      </c>
      <c r="I107" s="6">
        <f>G107-E107</f>
        <v>0</v>
      </c>
      <c r="J107" s="83">
        <f>F107/H107</f>
        <v>0.98419142523220771</v>
      </c>
      <c r="K107" s="83">
        <f>(H107-F107)*100/F107</f>
        <v>1.6062499999999957</v>
      </c>
      <c r="L107" s="6" t="s">
        <v>80</v>
      </c>
      <c r="M107" s="103" t="s">
        <v>56</v>
      </c>
    </row>
    <row r="108" spans="2:13" ht="15.75">
      <c r="B108" s="72" t="s">
        <v>239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83">
        <v>329.5</v>
      </c>
      <c r="I108" s="6">
        <f>G108-E108</f>
        <v>0</v>
      </c>
      <c r="J108" s="83">
        <f>F108/H108</f>
        <v>0.97116843702579669</v>
      </c>
      <c r="K108" s="83">
        <f>(H108-F108)*100/F108</f>
        <v>2.96875</v>
      </c>
      <c r="L108" s="6" t="s">
        <v>80</v>
      </c>
      <c r="M108" s="103" t="s">
        <v>56</v>
      </c>
    </row>
    <row r="109" spans="2:13" ht="15.75">
      <c r="B109" s="72" t="s">
        <v>241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>
        <v>330.1</v>
      </c>
      <c r="I109" s="6">
        <f t="shared" ref="I109:I115" si="8">G109-E109</f>
        <v>0</v>
      </c>
      <c r="J109" s="83">
        <f t="shared" ref="J109:J115" si="9">F109/H109</f>
        <v>0.96940321114813688</v>
      </c>
      <c r="K109" s="83">
        <f t="shared" ref="K109:K115" si="10">(H109-F109)*100/F109</f>
        <v>3.1562500000000071</v>
      </c>
      <c r="L109" s="6" t="s">
        <v>80</v>
      </c>
      <c r="M109" s="103" t="s">
        <v>56</v>
      </c>
    </row>
    <row r="110" spans="2:13" ht="15.75">
      <c r="B110" s="7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 t="s">
        <v>56</v>
      </c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 t="s">
        <v>56</v>
      </c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 t="s">
        <v>56</v>
      </c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 t="s">
        <v>56</v>
      </c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2" t="s">
        <v>94</v>
      </c>
      <c r="D119" s="172"/>
      <c r="E119" s="172"/>
      <c r="F119" s="172"/>
      <c r="G119" s="172"/>
      <c r="H119" s="172"/>
      <c r="I119" s="113">
        <f>COUNT(B107:B118)</f>
        <v>0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honeticPr fontId="43" type="noConversion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5" t="s">
        <v>95</v>
      </c>
      <c r="C2" s="175"/>
      <c r="D2" s="177" t="str">
        <f>'MONTHLY 31'!$B$2</f>
        <v>01/11/2025 00:15</v>
      </c>
      <c r="E2" s="177"/>
    </row>
    <row r="3" spans="2:5">
      <c r="B3" s="175" t="s">
        <v>96</v>
      </c>
      <c r="C3" s="175"/>
      <c r="D3" s="177"/>
      <c r="E3" s="177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6" t="s">
        <v>100</v>
      </c>
      <c r="C44" s="176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8" t="s">
        <v>101</v>
      </c>
      <c r="C2" s="178"/>
      <c r="D2" s="178"/>
      <c r="E2" s="178"/>
      <c r="F2" s="179">
        <v>1</v>
      </c>
      <c r="G2" s="180"/>
      <c r="H2" s="180"/>
    </row>
    <row r="3" spans="2:24" customFormat="1" ht="15" customHeight="1">
      <c r="B3" s="178"/>
      <c r="C3" s="178"/>
      <c r="D3" s="178"/>
      <c r="E3" s="178"/>
      <c r="F3" s="180"/>
      <c r="G3" s="180"/>
      <c r="H3" s="180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3" t="s">
        <v>93</v>
      </c>
      <c r="C12" s="194" t="s">
        <v>102</v>
      </c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40"/>
      <c r="U12" s="39"/>
    </row>
    <row r="13" spans="2:24" ht="15" customHeight="1">
      <c r="B13" s="184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4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4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4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4"/>
      <c r="C17" s="10"/>
      <c r="P17" s="1"/>
      <c r="Q17" s="1"/>
      <c r="R17" s="45"/>
      <c r="X17" s="42"/>
    </row>
    <row r="18" spans="2:28" ht="15.75" customHeight="1">
      <c r="B18" s="184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5" t="s">
        <v>84</v>
      </c>
      <c r="C25" s="196" t="s">
        <v>102</v>
      </c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81"/>
      <c r="S25" s="49"/>
      <c r="T25" s="50"/>
    </row>
    <row r="26" spans="2:28" ht="15" customHeight="1">
      <c r="B26" s="185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5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6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7" t="s">
        <v>37</v>
      </c>
      <c r="C36" s="198" t="s">
        <v>102</v>
      </c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9"/>
    </row>
    <row r="37" spans="2:25" ht="15.75" customHeight="1">
      <c r="B37" s="188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88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8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8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89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0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90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0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9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5" t="s">
        <v>196</v>
      </c>
      <c r="C61" s="196" t="s">
        <v>102</v>
      </c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81"/>
      <c r="S61" s="57"/>
      <c r="T61" s="58"/>
    </row>
    <row r="62" spans="2:20" ht="15.75">
      <c r="B62" s="185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1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1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6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5" t="s">
        <v>213</v>
      </c>
      <c r="C69" s="196" t="s">
        <v>102</v>
      </c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81"/>
      <c r="S69" s="57"/>
      <c r="T69" s="58"/>
    </row>
    <row r="70" spans="2:20" ht="15.75">
      <c r="B70" s="185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1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6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2" t="s">
        <v>91</v>
      </c>
      <c r="C77" s="181" t="s">
        <v>102</v>
      </c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61"/>
      <c r="S77" s="61"/>
      <c r="T77" s="13"/>
    </row>
    <row r="78" spans="2:20">
      <c r="B78" s="193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3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3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3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3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2026-01-09T15:24:05Z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