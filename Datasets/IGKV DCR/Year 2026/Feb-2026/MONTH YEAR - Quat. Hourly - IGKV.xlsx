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6\Feb-2026\"/>
    </mc:Choice>
  </mc:AlternateContent>
  <xr:revisionPtr revIDLastSave="0" documentId="13_ncr:1_{3AF76F08-0341-47E3-A602-AD67D917DC36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N32" i="39"/>
  <c r="O31" i="39"/>
  <c r="P30" i="39"/>
  <c r="M17" i="39"/>
  <c r="N16" i="39"/>
  <c r="O15" i="39"/>
  <c r="G112" i="41"/>
  <c r="G111" i="41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I112" i="44"/>
  <c r="I111" i="44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J111" i="33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K111" i="32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N111" i="29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O112" i="28"/>
  <c r="O111" i="28"/>
  <c r="Q110" i="28"/>
  <c r="Q112" i="28" s="1"/>
  <c r="P110" i="28"/>
  <c r="P112" i="28" s="1"/>
  <c r="O110" i="28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2" i="26"/>
  <c r="Q110" i="26"/>
  <c r="Q111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D112" i="23"/>
  <c r="D111" i="23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G112" i="20"/>
  <c r="G111" i="20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I112" i="18"/>
  <c r="I111" i="18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J111" i="17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K111" i="16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1" i="15"/>
  <c r="L111" i="15"/>
  <c r="Q110" i="15"/>
  <c r="P110" i="15"/>
  <c r="P112" i="15" s="1"/>
  <c r="O110" i="15"/>
  <c r="N110" i="15"/>
  <c r="N112" i="15" s="1"/>
  <c r="M110" i="15"/>
  <c r="L110" i="15"/>
  <c r="L112" i="15" s="1"/>
  <c r="K110" i="15"/>
  <c r="J110" i="15"/>
  <c r="I110" i="15"/>
  <c r="H110" i="15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1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1" i="12" s="1"/>
  <c r="P110" i="12"/>
  <c r="P111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1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1" i="10" s="1"/>
  <c r="C110" i="10"/>
  <c r="C112" i="10" s="1"/>
  <c r="B110" i="10"/>
  <c r="B111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1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1" i="8" s="1"/>
  <c r="E110" i="8"/>
  <c r="E111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1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1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1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1" i="2" s="1"/>
  <c r="G110" i="2"/>
  <c r="G111" i="2" s="1"/>
  <c r="F110" i="2"/>
  <c r="F111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G41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E45" i="39" l="1"/>
  <c r="E44" i="39"/>
  <c r="E43" i="39"/>
  <c r="E42" i="39"/>
  <c r="E41" i="39"/>
  <c r="D111" i="8"/>
  <c r="P112" i="12"/>
  <c r="G112" i="2"/>
  <c r="P111" i="14"/>
  <c r="O112" i="15"/>
  <c r="O111" i="15"/>
  <c r="E111" i="3"/>
  <c r="C111" i="10"/>
  <c r="B112" i="12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C111" i="24"/>
  <c r="D44" i="5"/>
  <c r="C112" i="9"/>
  <c r="O111" i="13"/>
  <c r="G111" i="3"/>
  <c r="J111" i="2"/>
  <c r="I111" i="3"/>
  <c r="H111" i="8"/>
  <c r="G111" i="9"/>
  <c r="F111" i="10"/>
  <c r="E111" i="11"/>
  <c r="D111" i="12"/>
  <c r="C111" i="13"/>
  <c r="B111" i="14"/>
  <c r="Q112" i="15"/>
  <c r="Q111" i="15"/>
  <c r="H111" i="19"/>
  <c r="H111" i="40"/>
  <c r="E112" i="8"/>
  <c r="D111" i="9"/>
  <c r="J45" i="39"/>
  <c r="J44" i="39"/>
  <c r="J43" i="39"/>
  <c r="J42" i="39"/>
  <c r="J41" i="39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1" i="15"/>
  <c r="M111" i="30"/>
  <c r="K111" i="3"/>
  <c r="J111" i="8"/>
  <c r="I111" i="9"/>
  <c r="H111" i="10"/>
  <c r="G111" i="11"/>
  <c r="F111" i="12"/>
  <c r="E111" i="13"/>
  <c r="D111" i="14"/>
  <c r="B111" i="25"/>
  <c r="Q112" i="12"/>
  <c r="L111" i="2"/>
  <c r="M45" i="39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N111" i="15"/>
  <c r="P111" i="13"/>
  <c r="E111" i="9"/>
  <c r="L111" i="8"/>
  <c r="K111" i="9"/>
  <c r="J111" i="10"/>
  <c r="I111" i="11"/>
  <c r="H111" i="12"/>
  <c r="G111" i="13"/>
  <c r="F111" i="14"/>
  <c r="L111" i="31"/>
  <c r="F112" i="2"/>
  <c r="N111" i="14"/>
  <c r="F112" i="3"/>
  <c r="B111" i="11"/>
  <c r="H112" i="2"/>
  <c r="F112" i="8"/>
  <c r="C111" i="11"/>
  <c r="Q112" i="13"/>
  <c r="O45" i="39"/>
  <c r="O44" i="39"/>
  <c r="O43" i="39"/>
  <c r="O42" i="39"/>
  <c r="O41" i="39"/>
  <c r="O111" i="2"/>
  <c r="N111" i="3"/>
  <c r="M111" i="8"/>
  <c r="L111" i="9"/>
  <c r="K111" i="10"/>
  <c r="J111" i="11"/>
  <c r="I111" i="12"/>
  <c r="H111" i="13"/>
  <c r="G111" i="14"/>
  <c r="O111" i="14"/>
  <c r="N111" i="2"/>
  <c r="M112" i="3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F111" i="21"/>
  <c r="B112" i="10"/>
  <c r="Q111" i="11"/>
  <c r="G45" i="39"/>
  <c r="G44" i="39"/>
  <c r="D112" i="10"/>
  <c r="Q45" i="39"/>
  <c r="Q44" i="39"/>
  <c r="Q43" i="39"/>
  <c r="Q42" i="39"/>
  <c r="Q41" i="39"/>
  <c r="P111" i="3"/>
  <c r="O111" i="8"/>
  <c r="N111" i="9"/>
  <c r="M111" i="10"/>
  <c r="L111" i="11"/>
  <c r="K111" i="12"/>
  <c r="J111" i="13"/>
  <c r="I111" i="14"/>
  <c r="H112" i="15"/>
  <c r="H111" i="15"/>
  <c r="G42" i="39"/>
  <c r="H45" i="39"/>
  <c r="H44" i="39"/>
  <c r="H43" i="39"/>
  <c r="H42" i="39"/>
  <c r="H41" i="39"/>
  <c r="N45" i="39"/>
  <c r="N44" i="39"/>
  <c r="N43" i="39"/>
  <c r="N42" i="39"/>
  <c r="N41" i="39"/>
  <c r="Q112" i="2"/>
  <c r="B45" i="39"/>
  <c r="B44" i="39"/>
  <c r="B43" i="39"/>
  <c r="B42" i="39"/>
  <c r="B41" i="39"/>
  <c r="B111" i="2"/>
  <c r="Q111" i="3"/>
  <c r="P111" i="8"/>
  <c r="O111" i="9"/>
  <c r="N111" i="10"/>
  <c r="M111" i="11"/>
  <c r="L111" i="12"/>
  <c r="K111" i="13"/>
  <c r="J111" i="14"/>
  <c r="I112" i="15"/>
  <c r="I111" i="15"/>
  <c r="P111" i="27"/>
  <c r="G43" i="39"/>
  <c r="F45" i="39"/>
  <c r="F44" i="39"/>
  <c r="F43" i="39"/>
  <c r="F42" i="39"/>
  <c r="F41" i="39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J112" i="15"/>
  <c r="J111" i="15"/>
  <c r="E111" i="22"/>
  <c r="L45" i="39"/>
  <c r="L44" i="39"/>
  <c r="L43" i="39"/>
  <c r="L42" i="39"/>
  <c r="L41" i="39"/>
  <c r="C111" i="3"/>
  <c r="B111" i="8"/>
  <c r="Q111" i="9"/>
  <c r="P111" i="10"/>
  <c r="O111" i="11"/>
  <c r="N111" i="12"/>
  <c r="M111" i="13"/>
  <c r="L111" i="14"/>
  <c r="K112" i="15"/>
  <c r="K111" i="15"/>
  <c r="M112" i="15"/>
  <c r="M111" i="15"/>
  <c r="D45" i="39"/>
  <c r="D44" i="39"/>
  <c r="D43" i="39"/>
  <c r="D42" i="39"/>
  <c r="D41" i="39"/>
  <c r="D111" i="2"/>
  <c r="E111" i="2"/>
  <c r="D111" i="3"/>
  <c r="C111" i="8"/>
  <c r="B111" i="9"/>
  <c r="Q111" i="10"/>
  <c r="P111" i="11"/>
  <c r="O111" i="12"/>
  <c r="N111" i="13"/>
  <c r="M111" i="14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J111" i="41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F111" i="15"/>
  <c r="E111" i="16"/>
  <c r="D111" i="17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Q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N47" i="39" l="1"/>
  <c r="N46" i="39"/>
  <c r="I47" i="39"/>
  <c r="I46" i="39"/>
  <c r="D47" i="39"/>
  <c r="D46" i="39"/>
  <c r="L47" i="39"/>
  <c r="L46" i="39"/>
  <c r="C47" i="39"/>
  <c r="C46" i="39"/>
  <c r="H47" i="39"/>
  <c r="H46" i="39"/>
  <c r="Q47" i="39"/>
  <c r="Q46" i="39"/>
  <c r="K47" i="39"/>
  <c r="K46" i="39"/>
  <c r="F47" i="39"/>
  <c r="F46" i="39"/>
  <c r="G47" i="39"/>
  <c r="G46" i="39"/>
  <c r="P47" i="39"/>
  <c r="P46" i="39"/>
  <c r="B47" i="39"/>
  <c r="B46" i="39"/>
  <c r="O47" i="39"/>
  <c r="O46" i="39"/>
  <c r="M47" i="39"/>
  <c r="M46" i="39"/>
  <c r="J47" i="39"/>
  <c r="J46" i="39"/>
  <c r="E47" i="39"/>
  <c r="E46" i="39"/>
</calcChain>
</file>

<file path=xl/sharedStrings.xml><?xml version="1.0" encoding="utf-8"?>
<sst xmlns="http://schemas.openxmlformats.org/spreadsheetml/2006/main" count="2796" uniqueCount="244">
  <si>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</si>
  <si>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</si>
  <si>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</si>
  <si>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</si>
  <si>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</si>
  <si>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</si>
  <si>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</si>
  <si>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</si>
  <si>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</si>
  <si>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</si>
  <si>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</si>
  <si>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</si>
  <si>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</si>
  <si>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</si>
  <si>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</si>
  <si>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</si>
  <si>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</si>
  <si>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</si>
  <si>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</si>
  <si>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</si>
  <si>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</si>
  <si>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</si>
  <si>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</si>
  <si>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</si>
  <si>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</si>
  <si>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</si>
  <si>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</si>
  <si>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</si>
  <si>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</si>
  <si>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</si>
  <si>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</si>
  <si>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</si>
  <si>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</si>
  <si>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</si>
  <si>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</si>
  <si>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</si>
  <si>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</si>
  <si>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</si>
  <si>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</si>
  <si>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</si>
  <si>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</si>
  <si>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</si>
  <si>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</si>
  <si>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</si>
  <si>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</si>
  <si>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</si>
  <si>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</si>
  <si>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</si>
  <si>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</si>
  <si>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</si>
  <si>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</si>
  <si>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</si>
  <si>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</si>
  <si>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</si>
  <si>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</si>
  <si>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</si>
  <si>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</si>
  <si>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</si>
  <si>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</si>
  <si>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</si>
  <si>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</si>
  <si>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</si>
  <si>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</si>
  <si>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</si>
  <si>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</si>
  <si>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</si>
  <si>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</si>
  <si>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</si>
  <si>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</si>
  <si>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</si>
  <si>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</si>
  <si>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</si>
  <si>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</si>
  <si>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</si>
  <si>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</si>
  <si>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</si>
  <si>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</si>
  <si>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</si>
  <si>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</si>
  <si>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</si>
  <si>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</si>
  <si>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</si>
  <si>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</si>
  <si>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</si>
  <si>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</si>
  <si>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</si>
  <si>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</si>
  <si>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</si>
  <si>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</si>
  <si>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</si>
  <si>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</si>
  <si>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</si>
  <si>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</si>
  <si>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</si>
  <si>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</si>
  <si>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</si>
  <si>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</si>
  <si>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</si>
  <si>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</si>
  <si>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</si>
  <si>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</si>
  <si>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</si>
  <si>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</si>
  <si>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</si>
  <si>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</si>
  <si>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</si>
  <si>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</si>
  <si>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</si>
  <si>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</si>
  <si>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</si>
  <si>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</si>
  <si>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</si>
  <si>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</si>
  <si>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</si>
  <si>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</si>
  <si>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</si>
  <si>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</si>
  <si>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</si>
  <si>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</si>
  <si>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</si>
  <si>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</si>
  <si>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</si>
  <si>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</si>
  <si>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</si>
  <si>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</si>
  <si>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</si>
  <si>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</si>
  <si>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</si>
  <si>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</si>
  <si>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</si>
  <si>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</si>
  <si>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</si>
  <si>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</si>
  <si>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</si>
  <si>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</si>
  <si>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</si>
  <si>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</si>
  <si>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</si>
  <si>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</si>
  <si>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</si>
  <si>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</si>
  <si>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</si>
  <si>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</si>
  <si>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</si>
  <si>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</si>
  <si>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</si>
  <si>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</si>
  <si>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</si>
  <si>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</si>
  <si>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</si>
  <si>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</si>
  <si>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</si>
  <si>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</si>
  <si>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</si>
  <si>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</si>
  <si>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</si>
  <si>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</si>
  <si>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</si>
  <si>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</si>
  <si>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</si>
  <si>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</si>
  <si>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</si>
  <si>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</si>
  <si>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</si>
  <si>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</si>
  <si>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</si>
  <si>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</si>
  <si>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</si>
  <si>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</si>
  <si>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</si>
  <si>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</si>
  <si>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</si>
  <si>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</si>
  <si>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</si>
  <si>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</si>
  <si>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</si>
  <si>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</si>
  <si>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</si>
  <si>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</si>
  <si>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</si>
  <si>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</si>
  <si>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</si>
  <si>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</si>
  <si>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</si>
  <si>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</si>
  <si>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</si>
  <si>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</si>
  <si>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</si>
  <si>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</si>
  <si>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</si>
  <si>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</si>
  <si>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</si>
  <si>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</si>
  <si>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</si>
  <si>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</si>
  <si>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</si>
  <si>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</si>
  <si>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</si>
  <si>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</si>
  <si>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</si>
  <si>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</si>
  <si>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</si>
  <si>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</si>
  <si>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</si>
  <si>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</si>
  <si>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</si>
  <si>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</si>
  <si>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</si>
  <si>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</si>
  <si>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</si>
  <si>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</si>
  <si>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</si>
  <si>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</si>
  <si>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</si>
  <si>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</si>
  <si>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</si>
  <si>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</si>
  <si>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</si>
  <si>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</si>
  <si>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</si>
  <si>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</si>
  <si>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</si>
  <si>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</si>
  <si>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</si>
  <si>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</si>
  <si>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</si>
  <si>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</si>
  <si>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</si>
  <si>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</si>
  <si>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</si>
  <si>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</si>
  <si>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</si>
  <si>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</si>
  <si>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</si>
  <si>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</si>
  <si>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</si>
  <si>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</si>
  <si>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</si>
  <si>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SUROJIT</t>
  </si>
  <si>
    <t>AN</t>
  </si>
  <si>
    <t>an</t>
  </si>
  <si>
    <t>01/02/2026 00:15 - 28/02/2026 00:00</t>
  </si>
  <si>
    <t>12.02.2026 12:10</t>
  </si>
  <si>
    <t>12.02.2026 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</si>
</sst>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6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  <font>
      <sz val="8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49" fontId="0" fillId="14" borderId="7" xfId="0" applyNumberForma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41" fillId="14" borderId="7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2" fillId="14" borderId="7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J9" activePane="bottomRight" state="frozen"/>
      <selection pane="topRight"/>
      <selection pane="bottomLeft"/>
      <selection pane="bottomRight" activeCell="L22" sqref="L2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103" activePane="bottomRight" state="frozen"/>
      <selection pane="topRight"/>
      <selection pane="bottomLeft"/>
      <selection pane="bottomRight" activeCell="B117" sqref="B117:U1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238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114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3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workbookViewId="0">
      <selection activeCell="D13" sqref="D13:D16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7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</row>
    <row r="101" spans="1:2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1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1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1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1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</row>
    <row r="111" spans="1:21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4"/>
      <c r="O113" s="164"/>
      <c r="P113" s="164"/>
      <c r="Q113" s="164"/>
      <c r="R113" s="164"/>
      <c r="S113" s="164"/>
      <c r="T113" s="164"/>
      <c r="U113" s="164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7" t="s">
        <v>56</v>
      </c>
      <c r="C115" s="167"/>
      <c r="D115" s="16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104" activePane="bottomLeft" state="frozen"/>
      <selection pane="bottomLef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93" activePane="bottomLeft" state="frozen"/>
      <selection pane="bottomLeft" activeCell="B116" sqref="B1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238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>
        <f>$A$9</f>
        <v>0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>
        <f>'01'!$B$2</f>
        <v>0</v>
      </c>
      <c r="B9" s="83" t="e">
        <f>'01'!B108</f>
        <v>#DIV/0!</v>
      </c>
      <c r="C9" s="83" t="e">
        <f>'01'!C108</f>
        <v>#DIV/0!</v>
      </c>
      <c r="D9" s="83" t="e">
        <f>'01'!D108</f>
        <v>#DIV/0!</v>
      </c>
      <c r="E9" s="83" t="e">
        <f>'01'!E108</f>
        <v>#DIV/0!</v>
      </c>
      <c r="F9" s="83" t="e">
        <f>'01'!F108</f>
        <v>#DIV/0!</v>
      </c>
      <c r="G9" s="83" t="e">
        <f>'01'!G108</f>
        <v>#DIV/0!</v>
      </c>
      <c r="H9" s="83" t="e">
        <f>'01'!H108</f>
        <v>#DIV/0!</v>
      </c>
      <c r="I9" s="83" t="e">
        <f>'01'!I108</f>
        <v>#DIV/0!</v>
      </c>
      <c r="J9" s="83" t="e">
        <f>'01'!J108</f>
        <v>#DIV/0!</v>
      </c>
      <c r="K9" s="83" t="e">
        <f>'01'!K108</f>
        <v>#DIV/0!</v>
      </c>
      <c r="L9" s="83" t="e">
        <f>'01'!L108</f>
        <v>#DIV/0!</v>
      </c>
      <c r="M9" s="83" t="e">
        <f>'01'!M108</f>
        <v>#DIV/0!</v>
      </c>
      <c r="N9" s="83" t="e">
        <f>'01'!N108</f>
        <v>#DIV/0!</v>
      </c>
      <c r="O9" s="83" t="e">
        <f>'01'!O108</f>
        <v>#DIV/0!</v>
      </c>
      <c r="P9" s="83" t="e">
        <f>'01'!P108</f>
        <v>#DIV/0!</v>
      </c>
      <c r="Q9" s="83" t="e">
        <f>'01'!Q108</f>
        <v>#DIV/0!</v>
      </c>
      <c r="R9" s="76"/>
      <c r="S9" s="76"/>
      <c r="T9" s="76"/>
      <c r="U9" s="76"/>
    </row>
    <row r="10" spans="1:21">
      <c r="A10" s="139">
        <f>'02'!$B$2</f>
        <v>0</v>
      </c>
      <c r="B10" s="83" t="e">
        <f>'02'!B108</f>
        <v>#DIV/0!</v>
      </c>
      <c r="C10" s="83" t="e">
        <f>'02'!C108</f>
        <v>#DIV/0!</v>
      </c>
      <c r="D10" s="83" t="e">
        <f>'02'!D108</f>
        <v>#DIV/0!</v>
      </c>
      <c r="E10" s="83" t="e">
        <f>'02'!E108</f>
        <v>#DIV/0!</v>
      </c>
      <c r="F10" s="83" t="e">
        <f>'02'!F108</f>
        <v>#DIV/0!</v>
      </c>
      <c r="G10" s="83" t="e">
        <f>'02'!G108</f>
        <v>#DIV/0!</v>
      </c>
      <c r="H10" s="83" t="e">
        <f>'02'!H108</f>
        <v>#DIV/0!</v>
      </c>
      <c r="I10" s="83" t="e">
        <f>'02'!I108</f>
        <v>#DIV/0!</v>
      </c>
      <c r="J10" s="83" t="e">
        <f>'02'!J108</f>
        <v>#DIV/0!</v>
      </c>
      <c r="K10" s="83" t="e">
        <f>'02'!K108</f>
        <v>#DIV/0!</v>
      </c>
      <c r="L10" s="83" t="e">
        <f>'02'!L108</f>
        <v>#DIV/0!</v>
      </c>
      <c r="M10" s="83" t="e">
        <f>'02'!M108</f>
        <v>#DIV/0!</v>
      </c>
      <c r="N10" s="83" t="e">
        <f>'02'!N108</f>
        <v>#DIV/0!</v>
      </c>
      <c r="O10" s="83" t="e">
        <f>'02'!O108</f>
        <v>#DIV/0!</v>
      </c>
      <c r="P10" s="83" t="e">
        <f>'02'!P108</f>
        <v>#DIV/0!</v>
      </c>
      <c r="Q10" s="83" t="e">
        <f>'02'!Q108</f>
        <v>#DIV/0!</v>
      </c>
      <c r="R10" s="76"/>
      <c r="S10" s="76"/>
      <c r="T10" s="76"/>
      <c r="U10" s="76"/>
    </row>
    <row r="11" spans="1:21">
      <c r="A11" s="139">
        <f>'03'!$B$2</f>
        <v>0</v>
      </c>
      <c r="B11" s="83" t="e">
        <f>'03'!B108</f>
        <v>#DIV/0!</v>
      </c>
      <c r="C11" s="83" t="e">
        <f>'03'!C108</f>
        <v>#DIV/0!</v>
      </c>
      <c r="D11" s="83" t="e">
        <f>'03'!D108</f>
        <v>#DIV/0!</v>
      </c>
      <c r="E11" s="83" t="e">
        <f>'03'!E108</f>
        <v>#DIV/0!</v>
      </c>
      <c r="F11" s="83" t="e">
        <f>'03'!F108</f>
        <v>#DIV/0!</v>
      </c>
      <c r="G11" s="83" t="e">
        <f>'03'!G108</f>
        <v>#DIV/0!</v>
      </c>
      <c r="H11" s="83" t="e">
        <f>'03'!H108</f>
        <v>#DIV/0!</v>
      </c>
      <c r="I11" s="83" t="e">
        <f>'03'!I108</f>
        <v>#DIV/0!</v>
      </c>
      <c r="J11" s="83" t="e">
        <f>'03'!J108</f>
        <v>#DIV/0!</v>
      </c>
      <c r="K11" s="83" t="e">
        <f>'03'!K108</f>
        <v>#DIV/0!</v>
      </c>
      <c r="L11" s="83" t="e">
        <f>'03'!L108</f>
        <v>#DIV/0!</v>
      </c>
      <c r="M11" s="83" t="e">
        <f>'03'!M108</f>
        <v>#DIV/0!</v>
      </c>
      <c r="N11" s="83" t="e">
        <f>'03'!N108</f>
        <v>#DIV/0!</v>
      </c>
      <c r="O11" s="83" t="e">
        <f>'03'!O108</f>
        <v>#DIV/0!</v>
      </c>
      <c r="P11" s="83" t="e">
        <f>'03'!P108</f>
        <v>#DIV/0!</v>
      </c>
      <c r="Q11" s="83" t="e">
        <f>'03'!Q108</f>
        <v>#DIV/0!</v>
      </c>
      <c r="R11" s="76"/>
      <c r="S11" s="76"/>
      <c r="T11" s="76"/>
      <c r="U11" s="76"/>
    </row>
    <row r="12" spans="1:21">
      <c r="A12" s="139">
        <f>'04'!$B$2</f>
        <v>0</v>
      </c>
      <c r="B12" s="83" t="e">
        <f>'04'!B108</f>
        <v>#DIV/0!</v>
      </c>
      <c r="C12" s="83" t="e">
        <f>'04'!C108</f>
        <v>#DIV/0!</v>
      </c>
      <c r="D12" s="83" t="e">
        <f>'04'!D108</f>
        <v>#DIV/0!</v>
      </c>
      <c r="E12" s="83" t="e">
        <f>'04'!E108</f>
        <v>#DIV/0!</v>
      </c>
      <c r="F12" s="83" t="e">
        <f>'04'!F108</f>
        <v>#DIV/0!</v>
      </c>
      <c r="G12" s="83" t="e">
        <f>'04'!G108</f>
        <v>#DIV/0!</v>
      </c>
      <c r="H12" s="83" t="e">
        <f>'04'!H108</f>
        <v>#DIV/0!</v>
      </c>
      <c r="I12" s="83" t="e">
        <f>'04'!I108</f>
        <v>#DIV/0!</v>
      </c>
      <c r="J12" s="83" t="e">
        <f>'04'!J108</f>
        <v>#DIV/0!</v>
      </c>
      <c r="K12" s="83" t="e">
        <f>'04'!K108</f>
        <v>#DIV/0!</v>
      </c>
      <c r="L12" s="83" t="e">
        <f>'04'!L108</f>
        <v>#DIV/0!</v>
      </c>
      <c r="M12" s="83" t="e">
        <f>'04'!M108</f>
        <v>#DIV/0!</v>
      </c>
      <c r="N12" s="83" t="e">
        <f>'04'!N108</f>
        <v>#DIV/0!</v>
      </c>
      <c r="O12" s="83" t="e">
        <f>'04'!O108</f>
        <v>#DIV/0!</v>
      </c>
      <c r="P12" s="83" t="e">
        <f>'04'!P108</f>
        <v>#DIV/0!</v>
      </c>
      <c r="Q12" s="83" t="e">
        <f>'04'!Q108</f>
        <v>#DIV/0!</v>
      </c>
      <c r="R12" s="76"/>
      <c r="S12" s="76"/>
      <c r="T12" s="76"/>
      <c r="U12" s="76"/>
    </row>
    <row r="13" spans="1:21">
      <c r="A13" s="139">
        <f>'05'!$B$2</f>
        <v>0</v>
      </c>
      <c r="B13" s="83" t="e">
        <f>'05'!B108</f>
        <v>#DIV/0!</v>
      </c>
      <c r="C13" s="83" t="e">
        <f>'05'!C108</f>
        <v>#DIV/0!</v>
      </c>
      <c r="D13" s="83" t="e">
        <f>'05'!D108</f>
        <v>#DIV/0!</v>
      </c>
      <c r="E13" s="83" t="e">
        <f>'05'!E108</f>
        <v>#DIV/0!</v>
      </c>
      <c r="F13" s="83" t="e">
        <f>'05'!F108</f>
        <v>#DIV/0!</v>
      </c>
      <c r="G13" s="83" t="e">
        <f>'05'!G108</f>
        <v>#DIV/0!</v>
      </c>
      <c r="H13" s="83" t="e">
        <f>'05'!H108</f>
        <v>#DIV/0!</v>
      </c>
      <c r="I13" s="83" t="e">
        <f>'05'!I108</f>
        <v>#DIV/0!</v>
      </c>
      <c r="J13" s="83" t="e">
        <f>'05'!J108</f>
        <v>#DIV/0!</v>
      </c>
      <c r="K13" s="83" t="e">
        <f>'05'!K108</f>
        <v>#DIV/0!</v>
      </c>
      <c r="L13" s="83" t="e">
        <f>'05'!L108</f>
        <v>#DIV/0!</v>
      </c>
      <c r="M13" s="83" t="e">
        <f>'05'!M108</f>
        <v>#DIV/0!</v>
      </c>
      <c r="N13" s="83" t="e">
        <f>'05'!N108</f>
        <v>#DIV/0!</v>
      </c>
      <c r="O13" s="83" t="e">
        <f>'05'!O108</f>
        <v>#DIV/0!</v>
      </c>
      <c r="P13" s="83" t="e">
        <f>'05'!P108</f>
        <v>#DIV/0!</v>
      </c>
      <c r="Q13" s="83" t="e">
        <f>'05'!Q108</f>
        <v>#DIV/0!</v>
      </c>
      <c r="R13" s="76"/>
      <c r="S13" s="76"/>
      <c r="T13" s="76"/>
      <c r="U13" s="76"/>
    </row>
    <row r="14" spans="1:21">
      <c r="A14" s="139">
        <f>'06'!$B$2</f>
        <v>0</v>
      </c>
      <c r="B14" s="83" t="e">
        <f>'06'!B108</f>
        <v>#DIV/0!</v>
      </c>
      <c r="C14" s="83" t="e">
        <f>'06'!C108</f>
        <v>#DIV/0!</v>
      </c>
      <c r="D14" s="83" t="e">
        <f>'06'!D108</f>
        <v>#DIV/0!</v>
      </c>
      <c r="E14" s="83" t="e">
        <f>'06'!E108</f>
        <v>#DIV/0!</v>
      </c>
      <c r="F14" s="83" t="e">
        <f>'06'!F108</f>
        <v>#DIV/0!</v>
      </c>
      <c r="G14" s="83" t="e">
        <f>'06'!G108</f>
        <v>#DIV/0!</v>
      </c>
      <c r="H14" s="83" t="e">
        <f>'06'!H108</f>
        <v>#DIV/0!</v>
      </c>
      <c r="I14" s="83" t="e">
        <f>'06'!I108</f>
        <v>#DIV/0!</v>
      </c>
      <c r="J14" s="83" t="e">
        <f>'06'!J108</f>
        <v>#DIV/0!</v>
      </c>
      <c r="K14" s="83" t="e">
        <f>'06'!K108</f>
        <v>#DIV/0!</v>
      </c>
      <c r="L14" s="83" t="e">
        <f>'06'!L108</f>
        <v>#DIV/0!</v>
      </c>
      <c r="M14" s="83" t="e">
        <f>'06'!M108</f>
        <v>#DIV/0!</v>
      </c>
      <c r="N14" s="83" t="e">
        <f>'06'!N108</f>
        <v>#DIV/0!</v>
      </c>
      <c r="O14" s="83" t="e">
        <f>'06'!O108</f>
        <v>#DIV/0!</v>
      </c>
      <c r="P14" s="83" t="e">
        <f>'06'!P108</f>
        <v>#DIV/0!</v>
      </c>
      <c r="Q14" s="83" t="e">
        <f>'06'!Q108</f>
        <v>#DIV/0!</v>
      </c>
      <c r="R14" s="76"/>
      <c r="S14" s="76"/>
      <c r="T14" s="76"/>
      <c r="U14" s="76"/>
    </row>
    <row r="15" spans="1:21">
      <c r="A15" s="139">
        <f>'07'!$B$2</f>
        <v>0</v>
      </c>
      <c r="B15" s="83" t="e">
        <f>'07'!B108</f>
        <v>#DIV/0!</v>
      </c>
      <c r="C15" s="83" t="e">
        <f>'07'!C108</f>
        <v>#DIV/0!</v>
      </c>
      <c r="D15" s="83" t="e">
        <f>'07'!D108</f>
        <v>#DIV/0!</v>
      </c>
      <c r="E15" s="83" t="e">
        <f>'07'!E108</f>
        <v>#DIV/0!</v>
      </c>
      <c r="F15" s="83" t="e">
        <f>'07'!F108</f>
        <v>#DIV/0!</v>
      </c>
      <c r="G15" s="83" t="e">
        <f>'07'!G108</f>
        <v>#DIV/0!</v>
      </c>
      <c r="H15" s="83" t="e">
        <f>'07'!H108</f>
        <v>#DIV/0!</v>
      </c>
      <c r="I15" s="83" t="e">
        <f>'07'!I108</f>
        <v>#DIV/0!</v>
      </c>
      <c r="J15" s="83" t="e">
        <f>'07'!J108</f>
        <v>#DIV/0!</v>
      </c>
      <c r="K15" s="83" t="e">
        <f>'07'!K108</f>
        <v>#DIV/0!</v>
      </c>
      <c r="L15" s="83" t="e">
        <f>'07'!L108</f>
        <v>#DIV/0!</v>
      </c>
      <c r="M15" s="83" t="e">
        <f>'07'!M108</f>
        <v>#DIV/0!</v>
      </c>
      <c r="N15" s="83" t="e">
        <f>'07'!N108</f>
        <v>#DIV/0!</v>
      </c>
      <c r="O15" s="83" t="e">
        <f>'07'!O108</f>
        <v>#DIV/0!</v>
      </c>
      <c r="P15" s="83" t="e">
        <f>'07'!P108</f>
        <v>#DIV/0!</v>
      </c>
      <c r="Q15" s="83" t="e">
        <f>'07'!Q108</f>
        <v>#DIV/0!</v>
      </c>
      <c r="R15" s="76"/>
      <c r="S15" s="76"/>
      <c r="T15" s="76"/>
      <c r="U15" s="76"/>
    </row>
    <row r="16" spans="1:21">
      <c r="A16" s="139">
        <f>'08'!$B$2</f>
        <v>0</v>
      </c>
      <c r="B16" s="83" t="e">
        <f>'08'!B108</f>
        <v>#DIV/0!</v>
      </c>
      <c r="C16" s="83" t="e">
        <f>'08'!C108</f>
        <v>#DIV/0!</v>
      </c>
      <c r="D16" s="83" t="e">
        <f>'08'!D108</f>
        <v>#DIV/0!</v>
      </c>
      <c r="E16" s="83" t="e">
        <f>'08'!E108</f>
        <v>#DIV/0!</v>
      </c>
      <c r="F16" s="83" t="e">
        <f>'08'!F108</f>
        <v>#DIV/0!</v>
      </c>
      <c r="G16" s="83" t="e">
        <f>'08'!G108</f>
        <v>#DIV/0!</v>
      </c>
      <c r="H16" s="83" t="e">
        <f>'08'!H108</f>
        <v>#DIV/0!</v>
      </c>
      <c r="I16" s="83" t="e">
        <f>'08'!I108</f>
        <v>#DIV/0!</v>
      </c>
      <c r="J16" s="83" t="e">
        <f>'08'!J108</f>
        <v>#DIV/0!</v>
      </c>
      <c r="K16" s="83" t="e">
        <f>'08'!K108</f>
        <v>#DIV/0!</v>
      </c>
      <c r="L16" s="83" t="e">
        <f>'08'!L108</f>
        <v>#DIV/0!</v>
      </c>
      <c r="M16" s="83" t="e">
        <f>'08'!M108</f>
        <v>#DIV/0!</v>
      </c>
      <c r="N16" s="83" t="e">
        <f>'08'!N108</f>
        <v>#DIV/0!</v>
      </c>
      <c r="O16" s="83" t="e">
        <f>'08'!O108</f>
        <v>#DIV/0!</v>
      </c>
      <c r="P16" s="83" t="e">
        <f>'08'!P108</f>
        <v>#DIV/0!</v>
      </c>
      <c r="Q16" s="83" t="e">
        <f>'08'!Q108</f>
        <v>#DIV/0!</v>
      </c>
      <c r="R16" s="76"/>
      <c r="S16" s="76"/>
      <c r="T16" s="76"/>
      <c r="U16" s="76"/>
    </row>
    <row r="17" spans="1:21">
      <c r="A17" s="139">
        <f>'09'!$B$2</f>
        <v>0</v>
      </c>
      <c r="B17" s="83" t="e">
        <f>'09'!B108</f>
        <v>#DIV/0!</v>
      </c>
      <c r="C17" s="83" t="e">
        <f>'09'!C108</f>
        <v>#DIV/0!</v>
      </c>
      <c r="D17" s="83" t="e">
        <f>'09'!D108</f>
        <v>#DIV/0!</v>
      </c>
      <c r="E17" s="83" t="e">
        <f>'09'!E108</f>
        <v>#DIV/0!</v>
      </c>
      <c r="F17" s="83" t="e">
        <f>'09'!F108</f>
        <v>#DIV/0!</v>
      </c>
      <c r="G17" s="83" t="e">
        <f>'09'!G108</f>
        <v>#DIV/0!</v>
      </c>
      <c r="H17" s="83" t="e">
        <f>'09'!H108</f>
        <v>#DIV/0!</v>
      </c>
      <c r="I17" s="83" t="e">
        <f>'09'!I108</f>
        <v>#DIV/0!</v>
      </c>
      <c r="J17" s="83" t="e">
        <f>'09'!J108</f>
        <v>#DIV/0!</v>
      </c>
      <c r="K17" s="83" t="e">
        <f>'09'!K108</f>
        <v>#DIV/0!</v>
      </c>
      <c r="L17" s="83" t="e">
        <f>'09'!L108</f>
        <v>#DIV/0!</v>
      </c>
      <c r="M17" s="83" t="e">
        <f>'09'!M108</f>
        <v>#DIV/0!</v>
      </c>
      <c r="N17" s="83" t="e">
        <f>'09'!N108</f>
        <v>#DIV/0!</v>
      </c>
      <c r="O17" s="83" t="e">
        <f>'09'!O108</f>
        <v>#DIV/0!</v>
      </c>
      <c r="P17" s="83" t="e">
        <f>'09'!P108</f>
        <v>#DIV/0!</v>
      </c>
      <c r="Q17" s="83" t="e">
        <f>'09'!Q108</f>
        <v>#DIV/0!</v>
      </c>
      <c r="R17" s="76"/>
      <c r="S17" s="76"/>
      <c r="T17" s="76"/>
      <c r="U17" s="76"/>
    </row>
    <row r="18" spans="1:21">
      <c r="A18" s="139">
        <f>'10'!$B$2</f>
        <v>0</v>
      </c>
      <c r="B18" s="83" t="e">
        <f>'10'!B108</f>
        <v>#DIV/0!</v>
      </c>
      <c r="C18" s="83" t="e">
        <f>'10'!C108</f>
        <v>#DIV/0!</v>
      </c>
      <c r="D18" s="83" t="e">
        <f>'10'!D108</f>
        <v>#DIV/0!</v>
      </c>
      <c r="E18" s="83" t="e">
        <f>'10'!E108</f>
        <v>#DIV/0!</v>
      </c>
      <c r="F18" s="83" t="e">
        <f>'10'!F108</f>
        <v>#DIV/0!</v>
      </c>
      <c r="G18" s="83" t="e">
        <f>'10'!G108</f>
        <v>#DIV/0!</v>
      </c>
      <c r="H18" s="83" t="e">
        <f>'10'!H108</f>
        <v>#DIV/0!</v>
      </c>
      <c r="I18" s="83" t="e">
        <f>'10'!I108</f>
        <v>#DIV/0!</v>
      </c>
      <c r="J18" s="83" t="e">
        <f>'10'!J108</f>
        <v>#DIV/0!</v>
      </c>
      <c r="K18" s="83" t="e">
        <f>'10'!K108</f>
        <v>#DIV/0!</v>
      </c>
      <c r="L18" s="83" t="e">
        <f>'10'!L108</f>
        <v>#DIV/0!</v>
      </c>
      <c r="M18" s="83" t="e">
        <f>'10'!M108</f>
        <v>#DIV/0!</v>
      </c>
      <c r="N18" s="83" t="e">
        <f>'10'!N108</f>
        <v>#DIV/0!</v>
      </c>
      <c r="O18" s="83" t="e">
        <f>'10'!O108</f>
        <v>#DIV/0!</v>
      </c>
      <c r="P18" s="83" t="e">
        <f>'10'!P108</f>
        <v>#DIV/0!</v>
      </c>
      <c r="Q18" s="83" t="e">
        <f>'10'!Q108</f>
        <v>#DIV/0!</v>
      </c>
      <c r="R18" s="76"/>
      <c r="S18" s="76"/>
      <c r="T18" s="76"/>
      <c r="U18" s="76"/>
    </row>
    <row r="19" spans="1:21">
      <c r="A19" s="139">
        <f>'11'!$B$2</f>
        <v>0</v>
      </c>
      <c r="B19" s="83" t="e">
        <f>'11'!B108</f>
        <v>#DIV/0!</v>
      </c>
      <c r="C19" s="83" t="e">
        <f>'11'!C108</f>
        <v>#DIV/0!</v>
      </c>
      <c r="D19" s="83" t="e">
        <f>'11'!D108</f>
        <v>#DIV/0!</v>
      </c>
      <c r="E19" s="83" t="e">
        <f>'11'!E108</f>
        <v>#DIV/0!</v>
      </c>
      <c r="F19" s="83" t="e">
        <f>'11'!F108</f>
        <v>#DIV/0!</v>
      </c>
      <c r="G19" s="83" t="e">
        <f>'11'!G108</f>
        <v>#DIV/0!</v>
      </c>
      <c r="H19" s="83" t="e">
        <f>'11'!H108</f>
        <v>#DIV/0!</v>
      </c>
      <c r="I19" s="83" t="e">
        <f>'11'!I108</f>
        <v>#DIV/0!</v>
      </c>
      <c r="J19" s="83" t="e">
        <f>'11'!J108</f>
        <v>#DIV/0!</v>
      </c>
      <c r="K19" s="83" t="e">
        <f>'11'!K108</f>
        <v>#DIV/0!</v>
      </c>
      <c r="L19" s="83" t="e">
        <f>'11'!L108</f>
        <v>#DIV/0!</v>
      </c>
      <c r="M19" s="83" t="e">
        <f>'11'!M108</f>
        <v>#DIV/0!</v>
      </c>
      <c r="N19" s="83" t="e">
        <f>'11'!N108</f>
        <v>#DIV/0!</v>
      </c>
      <c r="O19" s="83" t="e">
        <f>'11'!O108</f>
        <v>#DIV/0!</v>
      </c>
      <c r="P19" s="83" t="e">
        <f>'11'!P108</f>
        <v>#DIV/0!</v>
      </c>
      <c r="Q19" s="83" t="e">
        <f>'11'!Q108</f>
        <v>#DIV/0!</v>
      </c>
      <c r="R19" s="76"/>
      <c r="S19" s="76"/>
      <c r="T19" s="76"/>
      <c r="U19" s="76"/>
    </row>
    <row r="20" spans="1:21">
      <c r="A20" s="139">
        <f>'12'!$B$2</f>
        <v>0</v>
      </c>
      <c r="B20" s="83" t="e">
        <f>'12'!B108</f>
        <v>#DIV/0!</v>
      </c>
      <c r="C20" s="83" t="e">
        <f>'12'!C108</f>
        <v>#DIV/0!</v>
      </c>
      <c r="D20" s="83" t="e">
        <f>'12'!D108</f>
        <v>#DIV/0!</v>
      </c>
      <c r="E20" s="83" t="e">
        <f>'12'!E108</f>
        <v>#DIV/0!</v>
      </c>
      <c r="F20" s="83" t="e">
        <f>'12'!F108</f>
        <v>#DIV/0!</v>
      </c>
      <c r="G20" s="83" t="e">
        <f>'12'!G108</f>
        <v>#DIV/0!</v>
      </c>
      <c r="H20" s="83" t="e">
        <f>'12'!H108</f>
        <v>#DIV/0!</v>
      </c>
      <c r="I20" s="83" t="e">
        <f>'12'!I108</f>
        <v>#DIV/0!</v>
      </c>
      <c r="J20" s="83" t="e">
        <f>'12'!J108</f>
        <v>#DIV/0!</v>
      </c>
      <c r="K20" s="83" t="e">
        <f>'12'!K108</f>
        <v>#DIV/0!</v>
      </c>
      <c r="L20" s="83" t="e">
        <f>'12'!L108</f>
        <v>#DIV/0!</v>
      </c>
      <c r="M20" s="83" t="e">
        <f>'12'!M108</f>
        <v>#DIV/0!</v>
      </c>
      <c r="N20" s="83" t="e">
        <f>'12'!N108</f>
        <v>#DIV/0!</v>
      </c>
      <c r="O20" s="83" t="e">
        <f>'12'!O108</f>
        <v>#DIV/0!</v>
      </c>
      <c r="P20" s="83" t="e">
        <f>'12'!P108</f>
        <v>#DIV/0!</v>
      </c>
      <c r="Q20" s="83" t="e">
        <f>'12'!Q108</f>
        <v>#DIV/0!</v>
      </c>
      <c r="R20" s="76"/>
      <c r="S20" s="76"/>
      <c r="T20" s="76"/>
      <c r="U20" s="76"/>
    </row>
    <row r="21" spans="1:21">
      <c r="A21" s="139">
        <f>'13'!$B$2</f>
        <v>0</v>
      </c>
      <c r="B21" s="83" t="e">
        <f>'13'!B108</f>
        <v>#DIV/0!</v>
      </c>
      <c r="C21" s="83" t="e">
        <f>'13'!C108</f>
        <v>#DIV/0!</v>
      </c>
      <c r="D21" s="83" t="e">
        <f>'13'!D108</f>
        <v>#DIV/0!</v>
      </c>
      <c r="E21" s="83" t="e">
        <f>'13'!E108</f>
        <v>#DIV/0!</v>
      </c>
      <c r="F21" s="83" t="e">
        <f>'13'!F108</f>
        <v>#DIV/0!</v>
      </c>
      <c r="G21" s="83" t="e">
        <f>'13'!G108</f>
        <v>#DIV/0!</v>
      </c>
      <c r="H21" s="83" t="e">
        <f>'13'!H108</f>
        <v>#DIV/0!</v>
      </c>
      <c r="I21" s="83" t="e">
        <f>'13'!I108</f>
        <v>#DIV/0!</v>
      </c>
      <c r="J21" s="83" t="e">
        <f>'13'!J108</f>
        <v>#DIV/0!</v>
      </c>
      <c r="K21" s="83" t="e">
        <f>'13'!K108</f>
        <v>#DIV/0!</v>
      </c>
      <c r="L21" s="83" t="e">
        <f>'13'!L108</f>
        <v>#DIV/0!</v>
      </c>
      <c r="M21" s="83" t="e">
        <f>'13'!M108</f>
        <v>#DIV/0!</v>
      </c>
      <c r="N21" s="83" t="e">
        <f>'13'!N108</f>
        <v>#DIV/0!</v>
      </c>
      <c r="O21" s="83" t="e">
        <f>'13'!O108</f>
        <v>#DIV/0!</v>
      </c>
      <c r="P21" s="83" t="e">
        <f>'13'!P108</f>
        <v>#DIV/0!</v>
      </c>
      <c r="Q21" s="83" t="e">
        <f>'13'!Q108</f>
        <v>#DIV/0!</v>
      </c>
      <c r="R21" s="76"/>
      <c r="S21" s="76"/>
      <c r="T21" s="76"/>
      <c r="U21" s="76"/>
    </row>
    <row r="22" spans="1:21">
      <c r="A22" s="139">
        <f>'14'!$B$2</f>
        <v>0</v>
      </c>
      <c r="B22" s="140" t="e">
        <f>'14'!B108</f>
        <v>#DIV/0!</v>
      </c>
      <c r="C22" s="140" t="e">
        <f>'14'!C108</f>
        <v>#DIV/0!</v>
      </c>
      <c r="D22" s="140" t="e">
        <f>'14'!D108</f>
        <v>#DIV/0!</v>
      </c>
      <c r="E22" s="140" t="e">
        <f>'14'!E108</f>
        <v>#DIV/0!</v>
      </c>
      <c r="F22" s="140" t="e">
        <f>'14'!F108</f>
        <v>#DIV/0!</v>
      </c>
      <c r="G22" s="140" t="e">
        <f>'14'!G108</f>
        <v>#DIV/0!</v>
      </c>
      <c r="H22" s="140" t="e">
        <f>'14'!H108</f>
        <v>#DIV/0!</v>
      </c>
      <c r="I22" s="140" t="e">
        <f>'14'!I108</f>
        <v>#DIV/0!</v>
      </c>
      <c r="J22" s="140" t="e">
        <f>'14'!J108</f>
        <v>#DIV/0!</v>
      </c>
      <c r="K22" s="140" t="e">
        <f>'14'!K108</f>
        <v>#DIV/0!</v>
      </c>
      <c r="L22" s="140" t="e">
        <f>'14'!L108</f>
        <v>#DIV/0!</v>
      </c>
      <c r="M22" s="140" t="e">
        <f>'14'!M108</f>
        <v>#DIV/0!</v>
      </c>
      <c r="N22" s="140" t="e">
        <f>'14'!N108</f>
        <v>#DIV/0!</v>
      </c>
      <c r="O22" s="140" t="e">
        <f>'14'!O108</f>
        <v>#DIV/0!</v>
      </c>
      <c r="P22" s="140" t="e">
        <f>'14'!P108</f>
        <v>#DIV/0!</v>
      </c>
      <c r="Q22" s="140" t="e">
        <f>'14'!Q108</f>
        <v>#DIV/0!</v>
      </c>
      <c r="R22" s="153"/>
      <c r="S22" s="153"/>
      <c r="T22" s="153"/>
      <c r="U22" s="153"/>
    </row>
    <row r="23" spans="1:21">
      <c r="A23" s="139">
        <f>'15'!$B$2</f>
        <v>0</v>
      </c>
      <c r="B23" s="83" t="e">
        <f>'15'!B108</f>
        <v>#DIV/0!</v>
      </c>
      <c r="C23" s="83" t="e">
        <f>'15'!C108</f>
        <v>#DIV/0!</v>
      </c>
      <c r="D23" s="83" t="e">
        <f>'15'!D108</f>
        <v>#DIV/0!</v>
      </c>
      <c r="E23" s="83" t="e">
        <f>'15'!E108</f>
        <v>#DIV/0!</v>
      </c>
      <c r="F23" s="83" t="e">
        <f>'15'!F108</f>
        <v>#DIV/0!</v>
      </c>
      <c r="G23" s="83" t="e">
        <f>'15'!G108</f>
        <v>#DIV/0!</v>
      </c>
      <c r="H23" s="83" t="e">
        <f>'15'!H108</f>
        <v>#DIV/0!</v>
      </c>
      <c r="I23" s="83" t="e">
        <f>'15'!I108</f>
        <v>#DIV/0!</v>
      </c>
      <c r="J23" s="83" t="e">
        <f>'15'!J108</f>
        <v>#DIV/0!</v>
      </c>
      <c r="K23" s="83" t="e">
        <f>'15'!K108</f>
        <v>#DIV/0!</v>
      </c>
      <c r="L23" s="83" t="e">
        <f>'15'!L108</f>
        <v>#DIV/0!</v>
      </c>
      <c r="M23" s="83" t="e">
        <f>'15'!M108</f>
        <v>#DIV/0!</v>
      </c>
      <c r="N23" s="83" t="e">
        <f>'15'!N108</f>
        <v>#DIV/0!</v>
      </c>
      <c r="O23" s="83" t="e">
        <f>'15'!O108</f>
        <v>#DIV/0!</v>
      </c>
      <c r="P23" s="83" t="e">
        <f>'15'!P108</f>
        <v>#DIV/0!</v>
      </c>
      <c r="Q23" s="83" t="e">
        <f>'15'!Q108</f>
        <v>#DIV/0!</v>
      </c>
      <c r="R23" s="76"/>
      <c r="S23" s="76"/>
      <c r="T23" s="76"/>
      <c r="U23" s="76"/>
    </row>
    <row r="24" spans="1:21">
      <c r="A24" s="139">
        <f>'16'!$B$2</f>
        <v>0</v>
      </c>
      <c r="B24" s="83" t="e">
        <f>'16'!B108</f>
        <v>#DIV/0!</v>
      </c>
      <c r="C24" s="83" t="e">
        <f>'16'!C108</f>
        <v>#DIV/0!</v>
      </c>
      <c r="D24" s="83" t="e">
        <f>'16'!D108</f>
        <v>#DIV/0!</v>
      </c>
      <c r="E24" s="83" t="e">
        <f>'16'!E108</f>
        <v>#DIV/0!</v>
      </c>
      <c r="F24" s="83" t="e">
        <f>'16'!F108</f>
        <v>#DIV/0!</v>
      </c>
      <c r="G24" s="83" t="e">
        <f>'16'!G108</f>
        <v>#DIV/0!</v>
      </c>
      <c r="H24" s="83" t="e">
        <f>'16'!H108</f>
        <v>#DIV/0!</v>
      </c>
      <c r="I24" s="83" t="e">
        <f>'16'!I108</f>
        <v>#DIV/0!</v>
      </c>
      <c r="J24" s="83" t="e">
        <f>'16'!J108</f>
        <v>#DIV/0!</v>
      </c>
      <c r="K24" s="83" t="e">
        <f>'16'!K108</f>
        <v>#DIV/0!</v>
      </c>
      <c r="L24" s="83" t="e">
        <f>'16'!L108</f>
        <v>#DIV/0!</v>
      </c>
      <c r="M24" s="83" t="e">
        <f>'16'!M108</f>
        <v>#DIV/0!</v>
      </c>
      <c r="N24" s="83" t="e">
        <f>'16'!N108</f>
        <v>#DIV/0!</v>
      </c>
      <c r="O24" s="83" t="e">
        <f>'16'!O108</f>
        <v>#DIV/0!</v>
      </c>
      <c r="P24" s="83" t="e">
        <f>'16'!P108</f>
        <v>#DIV/0!</v>
      </c>
      <c r="Q24" s="83" t="e">
        <f>'16'!Q108</f>
        <v>#DIV/0!</v>
      </c>
      <c r="R24" s="76"/>
      <c r="S24" s="76"/>
      <c r="T24" s="76"/>
      <c r="U24" s="76"/>
    </row>
    <row r="25" spans="1:21">
      <c r="A25" s="139">
        <f>'17'!$B$2</f>
        <v>0</v>
      </c>
      <c r="B25" s="83" t="e">
        <f>'17'!B108</f>
        <v>#DIV/0!</v>
      </c>
      <c r="C25" s="83" t="e">
        <f>'17'!C108</f>
        <v>#DIV/0!</v>
      </c>
      <c r="D25" s="83" t="e">
        <f>'17'!D108</f>
        <v>#DIV/0!</v>
      </c>
      <c r="E25" s="83" t="e">
        <f>'17'!E108</f>
        <v>#DIV/0!</v>
      </c>
      <c r="F25" s="83" t="e">
        <f>'17'!F108</f>
        <v>#DIV/0!</v>
      </c>
      <c r="G25" s="83" t="e">
        <f>'17'!G108</f>
        <v>#DIV/0!</v>
      </c>
      <c r="H25" s="83" t="e">
        <f>'17'!H108</f>
        <v>#DIV/0!</v>
      </c>
      <c r="I25" s="83" t="e">
        <f>'17'!I108</f>
        <v>#DIV/0!</v>
      </c>
      <c r="J25" s="83" t="e">
        <f>'17'!J108</f>
        <v>#DIV/0!</v>
      </c>
      <c r="K25" s="83" t="e">
        <f>'17'!K108</f>
        <v>#DIV/0!</v>
      </c>
      <c r="L25" s="83" t="e">
        <f>'17'!L108</f>
        <v>#DIV/0!</v>
      </c>
      <c r="M25" s="83" t="e">
        <f>'17'!M108</f>
        <v>#DIV/0!</v>
      </c>
      <c r="N25" s="83" t="e">
        <f>'17'!N108</f>
        <v>#DIV/0!</v>
      </c>
      <c r="O25" s="83" t="e">
        <f>'17'!O108</f>
        <v>#DIV/0!</v>
      </c>
      <c r="P25" s="83" t="e">
        <f>'17'!P108</f>
        <v>#DIV/0!</v>
      </c>
      <c r="Q25" s="83" t="e">
        <f>'17'!Q108</f>
        <v>#DIV/0!</v>
      </c>
      <c r="R25" s="76"/>
      <c r="S25" s="76"/>
      <c r="T25" s="76"/>
      <c r="U25" s="76"/>
    </row>
    <row r="26" spans="1:21">
      <c r="A26" s="139">
        <f>'18'!$B$2</f>
        <v>0</v>
      </c>
      <c r="B26" s="83" t="e">
        <f>'18'!B108</f>
        <v>#DIV/0!</v>
      </c>
      <c r="C26" s="83" t="e">
        <f>'18'!C108</f>
        <v>#DIV/0!</v>
      </c>
      <c r="D26" s="83" t="e">
        <f>'18'!D108</f>
        <v>#DIV/0!</v>
      </c>
      <c r="E26" s="83" t="e">
        <f>'18'!E108</f>
        <v>#DIV/0!</v>
      </c>
      <c r="F26" s="83" t="e">
        <f>'18'!F108</f>
        <v>#DIV/0!</v>
      </c>
      <c r="G26" s="83" t="e">
        <f>'18'!G108</f>
        <v>#DIV/0!</v>
      </c>
      <c r="H26" s="83" t="e">
        <f>'18'!H108</f>
        <v>#DIV/0!</v>
      </c>
      <c r="I26" s="83" t="e">
        <f>'18'!I108</f>
        <v>#DIV/0!</v>
      </c>
      <c r="J26" s="83" t="e">
        <f>'18'!J108</f>
        <v>#DIV/0!</v>
      </c>
      <c r="K26" s="83" t="e">
        <f>'18'!K108</f>
        <v>#DIV/0!</v>
      </c>
      <c r="L26" s="83" t="e">
        <f>'18'!L108</f>
        <v>#DIV/0!</v>
      </c>
      <c r="M26" s="83" t="e">
        <f>'18'!M108</f>
        <v>#DIV/0!</v>
      </c>
      <c r="N26" s="83" t="e">
        <f>'18'!N108</f>
        <v>#DIV/0!</v>
      </c>
      <c r="O26" s="83" t="e">
        <f>'18'!O108</f>
        <v>#DIV/0!</v>
      </c>
      <c r="P26" s="83" t="e">
        <f>'18'!P108</f>
        <v>#DIV/0!</v>
      </c>
      <c r="Q26" s="83" t="e">
        <f>'18'!Q108</f>
        <v>#DIV/0!</v>
      </c>
      <c r="R26" s="76"/>
      <c r="S26" s="76"/>
      <c r="T26" s="76"/>
      <c r="U26" s="76"/>
    </row>
    <row r="27" spans="1:21">
      <c r="A27" s="139">
        <f>'19'!$B$2</f>
        <v>0</v>
      </c>
      <c r="B27" s="83" t="e">
        <f>'19'!B108</f>
        <v>#DIV/0!</v>
      </c>
      <c r="C27" s="83" t="e">
        <f>'19'!C108</f>
        <v>#DIV/0!</v>
      </c>
      <c r="D27" s="83" t="e">
        <f>'19'!D108</f>
        <v>#DIV/0!</v>
      </c>
      <c r="E27" s="83" t="e">
        <f>'19'!E108</f>
        <v>#DIV/0!</v>
      </c>
      <c r="F27" s="83" t="e">
        <f>'19'!F108</f>
        <v>#DIV/0!</v>
      </c>
      <c r="G27" s="83" t="e">
        <f>'19'!G108</f>
        <v>#DIV/0!</v>
      </c>
      <c r="H27" s="83" t="e">
        <f>'19'!H108</f>
        <v>#DIV/0!</v>
      </c>
      <c r="I27" s="83" t="e">
        <f>'19'!I108</f>
        <v>#DIV/0!</v>
      </c>
      <c r="J27" s="83" t="e">
        <f>'19'!J108</f>
        <v>#DIV/0!</v>
      </c>
      <c r="K27" s="83" t="e">
        <f>'19'!K108</f>
        <v>#DIV/0!</v>
      </c>
      <c r="L27" s="83" t="e">
        <f>'19'!L108</f>
        <v>#DIV/0!</v>
      </c>
      <c r="M27" s="83" t="e">
        <f>'19'!M108</f>
        <v>#DIV/0!</v>
      </c>
      <c r="N27" s="83" t="e">
        <f>'19'!N108</f>
        <v>#DIV/0!</v>
      </c>
      <c r="O27" s="83" t="e">
        <f>'19'!O108</f>
        <v>#DIV/0!</v>
      </c>
      <c r="P27" s="83" t="e">
        <f>'19'!P108</f>
        <v>#DIV/0!</v>
      </c>
      <c r="Q27" s="83" t="e">
        <f>'19'!Q108</f>
        <v>#DIV/0!</v>
      </c>
      <c r="R27" s="76"/>
      <c r="S27" s="76"/>
      <c r="T27" s="76"/>
      <c r="U27" s="76"/>
    </row>
    <row r="28" spans="1:21">
      <c r="A28" s="139">
        <f>'20'!$B$2</f>
        <v>0</v>
      </c>
      <c r="B28" s="83" t="e">
        <f>'20'!B108</f>
        <v>#DIV/0!</v>
      </c>
      <c r="C28" s="83" t="e">
        <f>'20'!C108</f>
        <v>#DIV/0!</v>
      </c>
      <c r="D28" s="83" t="e">
        <f>'20'!D108</f>
        <v>#DIV/0!</v>
      </c>
      <c r="E28" s="83" t="e">
        <f>'20'!E108</f>
        <v>#DIV/0!</v>
      </c>
      <c r="F28" s="83" t="e">
        <f>'20'!F108</f>
        <v>#DIV/0!</v>
      </c>
      <c r="G28" s="83" t="e">
        <f>'20'!G108</f>
        <v>#DIV/0!</v>
      </c>
      <c r="H28" s="83" t="e">
        <f>'20'!H108</f>
        <v>#DIV/0!</v>
      </c>
      <c r="I28" s="83" t="e">
        <f>'20'!I108</f>
        <v>#DIV/0!</v>
      </c>
      <c r="J28" s="83" t="e">
        <f>'20'!J108</f>
        <v>#DIV/0!</v>
      </c>
      <c r="K28" s="83" t="e">
        <f>'20'!K108</f>
        <v>#DIV/0!</v>
      </c>
      <c r="L28" s="83" t="e">
        <f>'20'!L108</f>
        <v>#DIV/0!</v>
      </c>
      <c r="M28" s="83" t="e">
        <f>'20'!M108</f>
        <v>#DIV/0!</v>
      </c>
      <c r="N28" s="83" t="e">
        <f>'20'!N108</f>
        <v>#DIV/0!</v>
      </c>
      <c r="O28" s="83" t="e">
        <f>'20'!O108</f>
        <v>#DIV/0!</v>
      </c>
      <c r="P28" s="83" t="e">
        <f>'20'!P108</f>
        <v>#DIV/0!</v>
      </c>
      <c r="Q28" s="83" t="e">
        <f>'20'!Q108</f>
        <v>#DIV/0!</v>
      </c>
      <c r="R28" s="76"/>
      <c r="S28" s="76"/>
      <c r="T28" s="76"/>
      <c r="U28" s="76"/>
    </row>
    <row r="29" spans="1:21">
      <c r="A29" s="139">
        <f>'21'!$B$2</f>
        <v>0</v>
      </c>
      <c r="B29" s="83" t="e">
        <f>'21'!B108</f>
        <v>#DIV/0!</v>
      </c>
      <c r="C29" s="83" t="e">
        <f>'21'!C108</f>
        <v>#DIV/0!</v>
      </c>
      <c r="D29" s="83" t="e">
        <f>'21'!D108</f>
        <v>#DIV/0!</v>
      </c>
      <c r="E29" s="83" t="e">
        <f>'21'!E108</f>
        <v>#DIV/0!</v>
      </c>
      <c r="F29" s="83" t="e">
        <f>'21'!F108</f>
        <v>#DIV/0!</v>
      </c>
      <c r="G29" s="83" t="e">
        <f>'21'!G108</f>
        <v>#DIV/0!</v>
      </c>
      <c r="H29" s="83" t="e">
        <f>'21'!H108</f>
        <v>#DIV/0!</v>
      </c>
      <c r="I29" s="83" t="e">
        <f>'21'!I108</f>
        <v>#DIV/0!</v>
      </c>
      <c r="J29" s="83" t="e">
        <f>'21'!J108</f>
        <v>#DIV/0!</v>
      </c>
      <c r="K29" s="83" t="e">
        <f>'21'!K108</f>
        <v>#DIV/0!</v>
      </c>
      <c r="L29" s="83" t="e">
        <f>'21'!L108</f>
        <v>#DIV/0!</v>
      </c>
      <c r="M29" s="83" t="e">
        <f>'21'!M108</f>
        <v>#DIV/0!</v>
      </c>
      <c r="N29" s="83" t="e">
        <f>'21'!N108</f>
        <v>#DIV/0!</v>
      </c>
      <c r="O29" s="83" t="e">
        <f>'21'!O108</f>
        <v>#DIV/0!</v>
      </c>
      <c r="P29" s="83" t="e">
        <f>'21'!P108</f>
        <v>#DIV/0!</v>
      </c>
      <c r="Q29" s="83" t="e">
        <f>'21'!Q108</f>
        <v>#DIV/0!</v>
      </c>
      <c r="R29" s="76"/>
      <c r="S29" s="76"/>
      <c r="T29" s="76"/>
      <c r="U29" s="76"/>
    </row>
    <row r="30" spans="1:21">
      <c r="A30" s="139">
        <f>'22'!$B$2</f>
        <v>0</v>
      </c>
      <c r="B30" s="83" t="e">
        <f>'22'!B108</f>
        <v>#DIV/0!</v>
      </c>
      <c r="C30" s="83" t="e">
        <f>'22'!C108</f>
        <v>#DIV/0!</v>
      </c>
      <c r="D30" s="83" t="e">
        <f>'22'!D108</f>
        <v>#DIV/0!</v>
      </c>
      <c r="E30" s="83" t="e">
        <f>'22'!E108</f>
        <v>#DIV/0!</v>
      </c>
      <c r="F30" s="83" t="e">
        <f>'22'!F108</f>
        <v>#DIV/0!</v>
      </c>
      <c r="G30" s="83" t="e">
        <f>'22'!G108</f>
        <v>#DIV/0!</v>
      </c>
      <c r="H30" s="83" t="e">
        <f>'22'!H108</f>
        <v>#DIV/0!</v>
      </c>
      <c r="I30" s="83" t="e">
        <f>'22'!I108</f>
        <v>#DIV/0!</v>
      </c>
      <c r="J30" s="83" t="e">
        <f>'22'!J108</f>
        <v>#DIV/0!</v>
      </c>
      <c r="K30" s="83" t="e">
        <f>'22'!K108</f>
        <v>#DIV/0!</v>
      </c>
      <c r="L30" s="83" t="e">
        <f>'22'!L108</f>
        <v>#DIV/0!</v>
      </c>
      <c r="M30" s="83" t="e">
        <f>'22'!M108</f>
        <v>#DIV/0!</v>
      </c>
      <c r="N30" s="83" t="e">
        <f>'22'!N108</f>
        <v>#DIV/0!</v>
      </c>
      <c r="O30" s="83" t="e">
        <f>'22'!O108</f>
        <v>#DIV/0!</v>
      </c>
      <c r="P30" s="83" t="e">
        <f>'22'!P108</f>
        <v>#DIV/0!</v>
      </c>
      <c r="Q30" s="83" t="e">
        <f>'22'!Q108</f>
        <v>#DIV/0!</v>
      </c>
      <c r="R30" s="76"/>
      <c r="S30" s="76"/>
      <c r="T30" s="76"/>
      <c r="U30" s="76"/>
    </row>
    <row r="31" spans="1:21">
      <c r="A31" s="139">
        <f>'23'!$B$2</f>
        <v>0</v>
      </c>
      <c r="B31" s="83" t="e">
        <f>'23'!B108</f>
        <v>#DIV/0!</v>
      </c>
      <c r="C31" s="83" t="e">
        <f>'23'!C108</f>
        <v>#DIV/0!</v>
      </c>
      <c r="D31" s="83" t="e">
        <f>'23'!D108</f>
        <v>#DIV/0!</v>
      </c>
      <c r="E31" s="83" t="e">
        <f>'23'!E108</f>
        <v>#DIV/0!</v>
      </c>
      <c r="F31" s="83" t="e">
        <f>'23'!F108</f>
        <v>#DIV/0!</v>
      </c>
      <c r="G31" s="83" t="e">
        <f>'23'!G108</f>
        <v>#DIV/0!</v>
      </c>
      <c r="H31" s="83" t="e">
        <f>'23'!H108</f>
        <v>#DIV/0!</v>
      </c>
      <c r="I31" s="83" t="e">
        <f>'23'!I108</f>
        <v>#DIV/0!</v>
      </c>
      <c r="J31" s="83" t="e">
        <f>'23'!J108</f>
        <v>#DIV/0!</v>
      </c>
      <c r="K31" s="83" t="e">
        <f>'23'!K108</f>
        <v>#DIV/0!</v>
      </c>
      <c r="L31" s="83" t="e">
        <f>'23'!L108</f>
        <v>#DIV/0!</v>
      </c>
      <c r="M31" s="83" t="e">
        <f>'23'!M108</f>
        <v>#DIV/0!</v>
      </c>
      <c r="N31" s="83" t="e">
        <f>'23'!N108</f>
        <v>#DIV/0!</v>
      </c>
      <c r="O31" s="83" t="e">
        <f>'23'!O108</f>
        <v>#DIV/0!</v>
      </c>
      <c r="P31" s="83" t="e">
        <f>'23'!P108</f>
        <v>#DIV/0!</v>
      </c>
      <c r="Q31" s="83" t="e">
        <f>'23'!Q108</f>
        <v>#DIV/0!</v>
      </c>
      <c r="R31" s="76"/>
      <c r="S31" s="154"/>
      <c r="T31" s="76"/>
      <c r="U31" s="76"/>
    </row>
    <row r="32" spans="1:21">
      <c r="A32" s="139">
        <f>'24'!$B$2</f>
        <v>0</v>
      </c>
      <c r="B32" s="83" t="e">
        <f>'24'!B108</f>
        <v>#DIV/0!</v>
      </c>
      <c r="C32" s="83" t="e">
        <f>'24'!C108</f>
        <v>#DIV/0!</v>
      </c>
      <c r="D32" s="83" t="e">
        <f>'24'!D108</f>
        <v>#DIV/0!</v>
      </c>
      <c r="E32" s="83" t="e">
        <f>'24'!E108</f>
        <v>#DIV/0!</v>
      </c>
      <c r="F32" s="83" t="e">
        <f>'24'!F108</f>
        <v>#DIV/0!</v>
      </c>
      <c r="G32" s="83" t="e">
        <f>'24'!G108</f>
        <v>#DIV/0!</v>
      </c>
      <c r="H32" s="83" t="e">
        <f>'24'!H108</f>
        <v>#DIV/0!</v>
      </c>
      <c r="I32" s="83" t="e">
        <f>'24'!I108</f>
        <v>#DIV/0!</v>
      </c>
      <c r="J32" s="83" t="e">
        <f>'24'!J108</f>
        <v>#DIV/0!</v>
      </c>
      <c r="K32" s="83" t="e">
        <f>'24'!K108</f>
        <v>#DIV/0!</v>
      </c>
      <c r="L32" s="83" t="e">
        <f>'24'!L108</f>
        <v>#DIV/0!</v>
      </c>
      <c r="M32" s="83" t="e">
        <f>'24'!M108</f>
        <v>#DIV/0!</v>
      </c>
      <c r="N32" s="83" t="e">
        <f>'24'!N108</f>
        <v>#DIV/0!</v>
      </c>
      <c r="O32" s="83" t="e">
        <f>'24'!O108</f>
        <v>#DIV/0!</v>
      </c>
      <c r="P32" s="83" t="e">
        <f>'24'!P108</f>
        <v>#DIV/0!</v>
      </c>
      <c r="Q32" s="83" t="e">
        <f>'24'!Q108</f>
        <v>#DIV/0!</v>
      </c>
      <c r="R32" s="76"/>
      <c r="S32" s="76"/>
      <c r="T32" s="76"/>
      <c r="U32" s="76"/>
    </row>
    <row r="33" spans="1:21">
      <c r="A33" s="139">
        <f>'25'!$B$2</f>
        <v>0</v>
      </c>
      <c r="B33" s="83" t="e">
        <f>'25'!B108</f>
        <v>#DIV/0!</v>
      </c>
      <c r="C33" s="83" t="e">
        <f>'25'!C108</f>
        <v>#DIV/0!</v>
      </c>
      <c r="D33" s="83" t="e">
        <f>'25'!D108</f>
        <v>#DIV/0!</v>
      </c>
      <c r="E33" s="83" t="e">
        <f>'25'!E108</f>
        <v>#DIV/0!</v>
      </c>
      <c r="F33" s="83" t="e">
        <f>'25'!F108</f>
        <v>#DIV/0!</v>
      </c>
      <c r="G33" s="83" t="e">
        <f>'25'!G108</f>
        <v>#DIV/0!</v>
      </c>
      <c r="H33" s="83" t="e">
        <f>'25'!H108</f>
        <v>#DIV/0!</v>
      </c>
      <c r="I33" s="83" t="e">
        <f>'25'!I108</f>
        <v>#DIV/0!</v>
      </c>
      <c r="J33" s="83" t="e">
        <f>'25'!J108</f>
        <v>#DIV/0!</v>
      </c>
      <c r="K33" s="83" t="e">
        <f>'25'!K108</f>
        <v>#DIV/0!</v>
      </c>
      <c r="L33" s="83" t="e">
        <f>'25'!L108</f>
        <v>#DIV/0!</v>
      </c>
      <c r="M33" s="83" t="e">
        <f>'25'!M108</f>
        <v>#DIV/0!</v>
      </c>
      <c r="N33" s="83" t="e">
        <f>'25'!N108</f>
        <v>#DIV/0!</v>
      </c>
      <c r="O33" s="83" t="e">
        <f>'25'!O108</f>
        <v>#DIV/0!</v>
      </c>
      <c r="P33" s="83" t="e">
        <f>'25'!P108</f>
        <v>#DIV/0!</v>
      </c>
      <c r="Q33" s="83" t="e">
        <f>'25'!Q108</f>
        <v>#DIV/0!</v>
      </c>
      <c r="R33" s="76"/>
      <c r="S33" s="154"/>
      <c r="T33" s="76"/>
      <c r="U33" s="76"/>
    </row>
    <row r="34" spans="1:21">
      <c r="A34" s="139">
        <f>'26'!$B$2</f>
        <v>0</v>
      </c>
      <c r="B34" s="83" t="e">
        <f>'26'!B108</f>
        <v>#DIV/0!</v>
      </c>
      <c r="C34" s="83" t="e">
        <f>'26'!C108</f>
        <v>#DIV/0!</v>
      </c>
      <c r="D34" s="83" t="e">
        <f>'26'!D108</f>
        <v>#DIV/0!</v>
      </c>
      <c r="E34" s="83" t="e">
        <f>'26'!E108</f>
        <v>#DIV/0!</v>
      </c>
      <c r="F34" s="83" t="e">
        <f>'26'!F108</f>
        <v>#DIV/0!</v>
      </c>
      <c r="G34" s="83" t="e">
        <f>'26'!G108</f>
        <v>#DIV/0!</v>
      </c>
      <c r="H34" s="83" t="e">
        <f>'26'!H108</f>
        <v>#DIV/0!</v>
      </c>
      <c r="I34" s="83" t="e">
        <f>'26'!I108</f>
        <v>#DIV/0!</v>
      </c>
      <c r="J34" s="83" t="e">
        <f>'26'!J108</f>
        <v>#DIV/0!</v>
      </c>
      <c r="K34" s="83" t="e">
        <f>'26'!K108</f>
        <v>#DIV/0!</v>
      </c>
      <c r="L34" s="83" t="e">
        <f>'26'!L108</f>
        <v>#DIV/0!</v>
      </c>
      <c r="M34" s="83" t="e">
        <f>'26'!M108</f>
        <v>#DIV/0!</v>
      </c>
      <c r="N34" s="83" t="e">
        <f>'26'!N108</f>
        <v>#DIV/0!</v>
      </c>
      <c r="O34" s="83" t="e">
        <f>'26'!O108</f>
        <v>#DIV/0!</v>
      </c>
      <c r="P34" s="83" t="e">
        <f>'26'!P108</f>
        <v>#DIV/0!</v>
      </c>
      <c r="Q34" s="83" t="e">
        <f>'26'!Q108</f>
        <v>#DIV/0!</v>
      </c>
      <c r="R34" s="76"/>
      <c r="S34" s="76"/>
      <c r="T34" s="76"/>
      <c r="U34" s="76"/>
    </row>
    <row r="35" spans="1:21">
      <c r="A35" s="139">
        <f>'27'!$B$2</f>
        <v>0</v>
      </c>
      <c r="B35" s="83" t="e">
        <f>'27'!B108</f>
        <v>#DIV/0!</v>
      </c>
      <c r="C35" s="83" t="e">
        <f>'27'!C108</f>
        <v>#DIV/0!</v>
      </c>
      <c r="D35" s="83" t="e">
        <f>'27'!D108</f>
        <v>#DIV/0!</v>
      </c>
      <c r="E35" s="83" t="e">
        <f>'27'!E108</f>
        <v>#DIV/0!</v>
      </c>
      <c r="F35" s="83" t="e">
        <f>'27'!F108</f>
        <v>#DIV/0!</v>
      </c>
      <c r="G35" s="83" t="e">
        <f>'27'!G108</f>
        <v>#DIV/0!</v>
      </c>
      <c r="H35" s="83" t="e">
        <f>'27'!H108</f>
        <v>#DIV/0!</v>
      </c>
      <c r="I35" s="83" t="e">
        <f>'27'!I108</f>
        <v>#DIV/0!</v>
      </c>
      <c r="J35" s="83" t="e">
        <f>'27'!J108</f>
        <v>#DIV/0!</v>
      </c>
      <c r="K35" s="83" t="e">
        <f>'27'!K108</f>
        <v>#DIV/0!</v>
      </c>
      <c r="L35" s="83" t="e">
        <f>'27'!L108</f>
        <v>#DIV/0!</v>
      </c>
      <c r="M35" s="83" t="e">
        <f>'27'!M108</f>
        <v>#DIV/0!</v>
      </c>
      <c r="N35" s="83" t="e">
        <f>'27'!N108</f>
        <v>#DIV/0!</v>
      </c>
      <c r="O35" s="83" t="e">
        <f>'27'!O108</f>
        <v>#DIV/0!</v>
      </c>
      <c r="P35" s="83" t="e">
        <f>'27'!P108</f>
        <v>#DIV/0!</v>
      </c>
      <c r="Q35" s="83" t="e">
        <f>'27'!Q108</f>
        <v>#DIV/0!</v>
      </c>
      <c r="R35" s="76"/>
      <c r="S35" s="76"/>
      <c r="T35" s="76"/>
      <c r="U35" s="76"/>
    </row>
    <row r="36" spans="1:21">
      <c r="A36" s="139">
        <f>'28'!$B$2</f>
        <v>0</v>
      </c>
      <c r="B36" s="83" t="e">
        <f>'28'!B108</f>
        <v>#DIV/0!</v>
      </c>
      <c r="C36" s="83" t="e">
        <f>'28'!C108</f>
        <v>#DIV/0!</v>
      </c>
      <c r="D36" s="83" t="e">
        <f>'28'!D108</f>
        <v>#DIV/0!</v>
      </c>
      <c r="E36" s="83" t="e">
        <f>'28'!E108</f>
        <v>#DIV/0!</v>
      </c>
      <c r="F36" s="83" t="e">
        <f>'28'!F108</f>
        <v>#DIV/0!</v>
      </c>
      <c r="G36" s="83" t="e">
        <f>'28'!G108</f>
        <v>#DIV/0!</v>
      </c>
      <c r="H36" s="83" t="e">
        <f>'28'!H108</f>
        <v>#DIV/0!</v>
      </c>
      <c r="I36" s="83" t="e">
        <f>'28'!I108</f>
        <v>#DIV/0!</v>
      </c>
      <c r="J36" s="83" t="e">
        <f>'28'!J108</f>
        <v>#DIV/0!</v>
      </c>
      <c r="K36" s="83" t="e">
        <f>'28'!K108</f>
        <v>#DIV/0!</v>
      </c>
      <c r="L36" s="83" t="e">
        <f>'28'!L108</f>
        <v>#DIV/0!</v>
      </c>
      <c r="M36" s="83" t="e">
        <f>'28'!M108</f>
        <v>#DIV/0!</v>
      </c>
      <c r="N36" s="83" t="e">
        <f>'28'!N108</f>
        <v>#DIV/0!</v>
      </c>
      <c r="O36" s="83" t="e">
        <f>'28'!O108</f>
        <v>#DIV/0!</v>
      </c>
      <c r="P36" s="83" t="e">
        <f>'28'!P108</f>
        <v>#DIV/0!</v>
      </c>
      <c r="Q36" s="83" t="e">
        <f>'28'!Q108</f>
        <v>#DIV/0!</v>
      </c>
      <c r="R36" s="76"/>
      <c r="S36" s="76"/>
      <c r="T36" s="76"/>
      <c r="U36" s="76"/>
    </row>
    <row r="37" spans="1:21" s="2" customFormat="1">
      <c r="A37" s="139">
        <f>'29'!$B$2</f>
        <v>0</v>
      </c>
      <c r="B37" s="83" t="e">
        <f>'29'!B108</f>
        <v>#DIV/0!</v>
      </c>
      <c r="C37" s="83" t="e">
        <f>'29'!C108</f>
        <v>#DIV/0!</v>
      </c>
      <c r="D37" s="83" t="e">
        <f>'29'!D108</f>
        <v>#DIV/0!</v>
      </c>
      <c r="E37" s="83" t="e">
        <f>'29'!E108</f>
        <v>#DIV/0!</v>
      </c>
      <c r="F37" s="83" t="e">
        <f>'29'!F108</f>
        <v>#DIV/0!</v>
      </c>
      <c r="G37" s="83" t="e">
        <f>'29'!G108</f>
        <v>#DIV/0!</v>
      </c>
      <c r="H37" s="83" t="e">
        <f>'29'!H108</f>
        <v>#DIV/0!</v>
      </c>
      <c r="I37" s="83" t="e">
        <f>'29'!I108</f>
        <v>#DIV/0!</v>
      </c>
      <c r="J37" s="83" t="e">
        <f>'29'!J108</f>
        <v>#DIV/0!</v>
      </c>
      <c r="K37" s="83" t="e">
        <f>'29'!K108</f>
        <v>#DIV/0!</v>
      </c>
      <c r="L37" s="83" t="e">
        <f>'29'!L108</f>
        <v>#DIV/0!</v>
      </c>
      <c r="M37" s="83" t="e">
        <f>'29'!M108</f>
        <v>#DIV/0!</v>
      </c>
      <c r="N37" s="83" t="e">
        <f>'29'!N108</f>
        <v>#DIV/0!</v>
      </c>
      <c r="O37" s="83" t="e">
        <f>'29'!O108</f>
        <v>#DIV/0!</v>
      </c>
      <c r="P37" s="83" t="e">
        <f>'29'!P108</f>
        <v>#DIV/0!</v>
      </c>
      <c r="Q37" s="83" t="e">
        <f>'29'!Q108</f>
        <v>#DIV/0!</v>
      </c>
      <c r="R37" s="76"/>
      <c r="S37" s="76"/>
      <c r="T37" s="76"/>
      <c r="U37" s="76"/>
    </row>
    <row r="38" spans="1:21" s="2" customFormat="1">
      <c r="A38" s="139">
        <f>'30'!$B$2</f>
        <v>0</v>
      </c>
      <c r="B38" s="83" t="e">
        <f>'30'!B108</f>
        <v>#DIV/0!</v>
      </c>
      <c r="C38" s="83" t="e">
        <f>'30'!C108</f>
        <v>#DIV/0!</v>
      </c>
      <c r="D38" s="83" t="e">
        <f>'30'!D108</f>
        <v>#DIV/0!</v>
      </c>
      <c r="E38" s="83" t="e">
        <f>'30'!E108</f>
        <v>#DIV/0!</v>
      </c>
      <c r="F38" s="83" t="e">
        <f>'30'!F108</f>
        <v>#DIV/0!</v>
      </c>
      <c r="G38" s="83" t="e">
        <f>'30'!G108</f>
        <v>#DIV/0!</v>
      </c>
      <c r="H38" s="83" t="e">
        <f>'30'!H108</f>
        <v>#DIV/0!</v>
      </c>
      <c r="I38" s="83" t="e">
        <f>'30'!I108</f>
        <v>#DIV/0!</v>
      </c>
      <c r="J38" s="83" t="e">
        <f>'30'!J108</f>
        <v>#DIV/0!</v>
      </c>
      <c r="K38" s="83" t="e">
        <f>'30'!K108</f>
        <v>#DIV/0!</v>
      </c>
      <c r="L38" s="83" t="e">
        <f>'30'!L108</f>
        <v>#DIV/0!</v>
      </c>
      <c r="M38" s="83" t="e">
        <f>'30'!M108</f>
        <v>#DIV/0!</v>
      </c>
      <c r="N38" s="83" t="e">
        <f>'30'!N108</f>
        <v>#DIV/0!</v>
      </c>
      <c r="O38" s="83" t="e">
        <f>'30'!O108</f>
        <v>#DIV/0!</v>
      </c>
      <c r="P38" s="83" t="e">
        <f>'30'!P108</f>
        <v>#DIV/0!</v>
      </c>
      <c r="Q38" s="83" t="e">
        <f>'30'!Q108</f>
        <v>#DIV/0!</v>
      </c>
      <c r="R38" s="76"/>
      <c r="S38" s="76"/>
      <c r="T38" s="76"/>
      <c r="U38" s="76"/>
    </row>
    <row r="39" spans="1:21" s="2" customFormat="1">
      <c r="A39" s="139">
        <f>'31'!$B$2</f>
        <v>0</v>
      </c>
      <c r="B39" s="83" t="e">
        <f>'31'!B108</f>
        <v>#DIV/0!</v>
      </c>
      <c r="C39" s="83" t="e">
        <f>'31'!C108</f>
        <v>#DIV/0!</v>
      </c>
      <c r="D39" s="83" t="e">
        <f>'31'!D108</f>
        <v>#DIV/0!</v>
      </c>
      <c r="E39" s="83" t="e">
        <f>'31'!E108</f>
        <v>#DIV/0!</v>
      </c>
      <c r="F39" s="83" t="e">
        <f>'31'!F108</f>
        <v>#DIV/0!</v>
      </c>
      <c r="G39" s="83" t="e">
        <f>'31'!G108</f>
        <v>#DIV/0!</v>
      </c>
      <c r="H39" s="83" t="e">
        <f>'31'!H108</f>
        <v>#DIV/0!</v>
      </c>
      <c r="I39" s="83" t="e">
        <f>'31'!I108</f>
        <v>#DIV/0!</v>
      </c>
      <c r="J39" s="83" t="e">
        <f>'31'!J108</f>
        <v>#DIV/0!</v>
      </c>
      <c r="K39" s="83" t="e">
        <f>'31'!K108</f>
        <v>#DIV/0!</v>
      </c>
      <c r="L39" s="83" t="e">
        <f>'31'!L108</f>
        <v>#DIV/0!</v>
      </c>
      <c r="M39" s="83" t="e">
        <f>'31'!M108</f>
        <v>#DIV/0!</v>
      </c>
      <c r="N39" s="83" t="e">
        <f>'31'!N108</f>
        <v>#DIV/0!</v>
      </c>
      <c r="O39" s="83" t="e">
        <f>'31'!O108</f>
        <v>#DIV/0!</v>
      </c>
      <c r="P39" s="83" t="e">
        <f>'31'!P108</f>
        <v>#DIV/0!</v>
      </c>
      <c r="Q39" s="83" t="e">
        <f>'31'!Q108</f>
        <v>#DIV/0!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 t="e">
        <f t="shared" ref="B41:Q41" si="0">MIN(B9:B39)</f>
        <v>#DIV/0!</v>
      </c>
      <c r="C41" s="141" t="e">
        <f t="shared" si="0"/>
        <v>#DIV/0!</v>
      </c>
      <c r="D41" s="141" t="e">
        <f t="shared" si="0"/>
        <v>#DIV/0!</v>
      </c>
      <c r="E41" s="141" t="e">
        <f t="shared" si="0"/>
        <v>#DIV/0!</v>
      </c>
      <c r="F41" s="141" t="e">
        <f t="shared" si="0"/>
        <v>#DIV/0!</v>
      </c>
      <c r="G41" s="141" t="e">
        <f t="shared" si="0"/>
        <v>#DIV/0!</v>
      </c>
      <c r="H41" s="141" t="e">
        <f t="shared" si="0"/>
        <v>#DIV/0!</v>
      </c>
      <c r="I41" s="141" t="e">
        <f t="shared" si="0"/>
        <v>#DIV/0!</v>
      </c>
      <c r="J41" s="141" t="e">
        <f t="shared" si="0"/>
        <v>#DIV/0!</v>
      </c>
      <c r="K41" s="141" t="e">
        <f t="shared" si="0"/>
        <v>#DIV/0!</v>
      </c>
      <c r="L41" s="141" t="e">
        <f t="shared" si="0"/>
        <v>#DIV/0!</v>
      </c>
      <c r="M41" s="141" t="e">
        <f t="shared" si="0"/>
        <v>#DIV/0!</v>
      </c>
      <c r="N41" s="141" t="e">
        <f t="shared" si="0"/>
        <v>#DIV/0!</v>
      </c>
      <c r="O41" s="141" t="e">
        <f t="shared" si="0"/>
        <v>#DIV/0!</v>
      </c>
      <c r="P41" s="141" t="e">
        <f t="shared" si="0"/>
        <v>#DIV/0!</v>
      </c>
      <c r="Q41" s="141" t="e">
        <f t="shared" si="0"/>
        <v>#DIV/0!</v>
      </c>
      <c r="R41" s="141"/>
      <c r="S41" s="141"/>
      <c r="T41" s="141"/>
      <c r="U41" s="141"/>
    </row>
    <row r="42" spans="1:21" s="2" customFormat="1">
      <c r="A42" s="129" t="s">
        <v>49</v>
      </c>
      <c r="B42" s="141" t="e">
        <f t="shared" ref="B42:Q42" si="1">MAX(B9:B39)</f>
        <v>#DIV/0!</v>
      </c>
      <c r="C42" s="141" t="e">
        <f t="shared" si="1"/>
        <v>#DIV/0!</v>
      </c>
      <c r="D42" s="141" t="e">
        <f t="shared" si="1"/>
        <v>#DIV/0!</v>
      </c>
      <c r="E42" s="141" t="e">
        <f t="shared" si="1"/>
        <v>#DIV/0!</v>
      </c>
      <c r="F42" s="141" t="e">
        <f t="shared" si="1"/>
        <v>#DIV/0!</v>
      </c>
      <c r="G42" s="141" t="e">
        <f t="shared" si="1"/>
        <v>#DIV/0!</v>
      </c>
      <c r="H42" s="141" t="e">
        <f t="shared" si="1"/>
        <v>#DIV/0!</v>
      </c>
      <c r="I42" s="141" t="e">
        <f t="shared" si="1"/>
        <v>#DIV/0!</v>
      </c>
      <c r="J42" s="141" t="e">
        <f t="shared" si="1"/>
        <v>#DIV/0!</v>
      </c>
      <c r="K42" s="141" t="e">
        <f t="shared" si="1"/>
        <v>#DIV/0!</v>
      </c>
      <c r="L42" s="141" t="e">
        <f t="shared" si="1"/>
        <v>#DIV/0!</v>
      </c>
      <c r="M42" s="141" t="e">
        <f t="shared" si="1"/>
        <v>#DIV/0!</v>
      </c>
      <c r="N42" s="141" t="e">
        <f t="shared" si="1"/>
        <v>#DIV/0!</v>
      </c>
      <c r="O42" s="141" t="e">
        <f t="shared" si="1"/>
        <v>#DIV/0!</v>
      </c>
      <c r="P42" s="141" t="e">
        <f t="shared" si="1"/>
        <v>#DIV/0!</v>
      </c>
      <c r="Q42" s="141" t="e">
        <f t="shared" si="1"/>
        <v>#DIV/0!</v>
      </c>
      <c r="R42" s="141"/>
      <c r="S42" s="141"/>
      <c r="T42" s="141"/>
      <c r="U42" s="141"/>
    </row>
    <row r="43" spans="1:21" s="2" customFormat="1">
      <c r="A43" s="129" t="s">
        <v>50</v>
      </c>
      <c r="B43" s="141" t="e">
        <f t="shared" ref="B43:Q43" si="2">AVERAGE(B9:B39)</f>
        <v>#DIV/0!</v>
      </c>
      <c r="C43" s="141" t="e">
        <f t="shared" si="2"/>
        <v>#DIV/0!</v>
      </c>
      <c r="D43" s="141" t="e">
        <f t="shared" si="2"/>
        <v>#DIV/0!</v>
      </c>
      <c r="E43" s="141" t="e">
        <f t="shared" si="2"/>
        <v>#DIV/0!</v>
      </c>
      <c r="F43" s="141" t="e">
        <f t="shared" si="2"/>
        <v>#DIV/0!</v>
      </c>
      <c r="G43" s="141" t="e">
        <f t="shared" si="2"/>
        <v>#DIV/0!</v>
      </c>
      <c r="H43" s="141" t="e">
        <f t="shared" si="2"/>
        <v>#DIV/0!</v>
      </c>
      <c r="I43" s="141" t="e">
        <f t="shared" si="2"/>
        <v>#DIV/0!</v>
      </c>
      <c r="J43" s="141" t="e">
        <f t="shared" si="2"/>
        <v>#DIV/0!</v>
      </c>
      <c r="K43" s="141" t="e">
        <f t="shared" si="2"/>
        <v>#DIV/0!</v>
      </c>
      <c r="L43" s="141" t="e">
        <f t="shared" si="2"/>
        <v>#DIV/0!</v>
      </c>
      <c r="M43" s="141" t="e">
        <f t="shared" si="2"/>
        <v>#DIV/0!</v>
      </c>
      <c r="N43" s="141" t="e">
        <f t="shared" si="2"/>
        <v>#DIV/0!</v>
      </c>
      <c r="O43" s="141" t="e">
        <f t="shared" si="2"/>
        <v>#DIV/0!</v>
      </c>
      <c r="P43" s="141" t="e">
        <f t="shared" si="2"/>
        <v>#DIV/0!</v>
      </c>
      <c r="Q43" s="141" t="e">
        <f t="shared" si="2"/>
        <v>#DIV/0!</v>
      </c>
      <c r="R43" s="141"/>
      <c r="S43" s="141"/>
      <c r="T43" s="141"/>
      <c r="U43" s="141"/>
    </row>
    <row r="44" spans="1:21" s="2" customFormat="1">
      <c r="A44" s="129" t="s">
        <v>51</v>
      </c>
      <c r="B44" s="141" t="e">
        <f t="shared" ref="B44:Q44" si="3">STDEV(B9:B39)</f>
        <v>#DIV/0!</v>
      </c>
      <c r="C44" s="141" t="e">
        <f t="shared" si="3"/>
        <v>#DIV/0!</v>
      </c>
      <c r="D44" s="141" t="e">
        <f t="shared" si="3"/>
        <v>#DIV/0!</v>
      </c>
      <c r="E44" s="141" t="e">
        <f t="shared" si="3"/>
        <v>#DIV/0!</v>
      </c>
      <c r="F44" s="141" t="e">
        <f t="shared" si="3"/>
        <v>#DIV/0!</v>
      </c>
      <c r="G44" s="141" t="e">
        <f t="shared" si="3"/>
        <v>#DIV/0!</v>
      </c>
      <c r="H44" s="141" t="e">
        <f t="shared" si="3"/>
        <v>#DIV/0!</v>
      </c>
      <c r="I44" s="141" t="e">
        <f t="shared" si="3"/>
        <v>#DIV/0!</v>
      </c>
      <c r="J44" s="141" t="e">
        <f t="shared" si="3"/>
        <v>#DIV/0!</v>
      </c>
      <c r="K44" s="141" t="e">
        <f t="shared" si="3"/>
        <v>#DIV/0!</v>
      </c>
      <c r="L44" s="141" t="e">
        <f t="shared" si="3"/>
        <v>#DIV/0!</v>
      </c>
      <c r="M44" s="141" t="e">
        <f t="shared" si="3"/>
        <v>#DIV/0!</v>
      </c>
      <c r="N44" s="141" t="e">
        <f t="shared" si="3"/>
        <v>#DIV/0!</v>
      </c>
      <c r="O44" s="141" t="e">
        <f t="shared" si="3"/>
        <v>#DIV/0!</v>
      </c>
      <c r="P44" s="141" t="e">
        <f t="shared" si="3"/>
        <v>#DIV/0!</v>
      </c>
      <c r="Q44" s="141" t="e">
        <f t="shared" si="3"/>
        <v>#DIV/0!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0</v>
      </c>
      <c r="C45" s="132">
        <f t="shared" si="4"/>
        <v>0</v>
      </c>
      <c r="D45" s="132">
        <f t="shared" si="4"/>
        <v>0</v>
      </c>
      <c r="E45" s="132">
        <f t="shared" si="4"/>
        <v>0</v>
      </c>
      <c r="F45" s="132">
        <f t="shared" si="4"/>
        <v>0</v>
      </c>
      <c r="G45" s="132">
        <f t="shared" si="4"/>
        <v>0</v>
      </c>
      <c r="H45" s="132">
        <f t="shared" si="4"/>
        <v>0</v>
      </c>
      <c r="I45" s="132">
        <f t="shared" si="4"/>
        <v>0</v>
      </c>
      <c r="J45" s="132">
        <f t="shared" si="4"/>
        <v>0</v>
      </c>
      <c r="K45" s="132">
        <f t="shared" si="4"/>
        <v>0</v>
      </c>
      <c r="L45" s="132">
        <f t="shared" si="4"/>
        <v>0</v>
      </c>
      <c r="M45" s="132">
        <f t="shared" si="4"/>
        <v>0</v>
      </c>
      <c r="N45" s="132">
        <f t="shared" si="4"/>
        <v>0</v>
      </c>
      <c r="O45" s="132">
        <f t="shared" si="4"/>
        <v>0</v>
      </c>
      <c r="P45" s="132">
        <f t="shared" si="4"/>
        <v>0</v>
      </c>
      <c r="Q45" s="132">
        <f t="shared" si="4"/>
        <v>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&lt;90%</v>
      </c>
      <c r="C46" s="132" t="str">
        <f t="shared" ref="C46:Q46" si="5">IF(C45&gt;=28,"&gt;90%",IF(C45&lt;=28,"&lt;90%"))</f>
        <v>&lt;90%</v>
      </c>
      <c r="D46" s="132" t="str">
        <f t="shared" si="5"/>
        <v>&lt;90%</v>
      </c>
      <c r="E46" s="132" t="str">
        <f t="shared" si="5"/>
        <v>&lt;90%</v>
      </c>
      <c r="F46" s="132" t="str">
        <f t="shared" si="5"/>
        <v>&lt;90%</v>
      </c>
      <c r="G46" s="132" t="str">
        <f t="shared" si="5"/>
        <v>&lt;90%</v>
      </c>
      <c r="H46" s="132" t="str">
        <f t="shared" si="5"/>
        <v>&lt;90%</v>
      </c>
      <c r="I46" s="132" t="str">
        <f t="shared" si="5"/>
        <v>&lt;90%</v>
      </c>
      <c r="J46" s="132" t="str">
        <f t="shared" si="5"/>
        <v>&lt;90%</v>
      </c>
      <c r="K46" s="132" t="str">
        <f t="shared" si="5"/>
        <v>&lt;90%</v>
      </c>
      <c r="L46" s="132" t="str">
        <f t="shared" si="5"/>
        <v>&lt;90%</v>
      </c>
      <c r="M46" s="132" t="str">
        <f t="shared" si="5"/>
        <v>&lt;90%</v>
      </c>
      <c r="N46" s="132" t="str">
        <f t="shared" si="5"/>
        <v>&lt;90%</v>
      </c>
      <c r="O46" s="132" t="str">
        <f t="shared" si="5"/>
        <v>&lt;90%</v>
      </c>
      <c r="P46" s="132" t="str">
        <f t="shared" si="5"/>
        <v>&lt;90%</v>
      </c>
      <c r="Q46" s="132" t="str">
        <f t="shared" si="5"/>
        <v>&lt;90%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LESS</v>
      </c>
      <c r="C47" s="132" t="str">
        <f t="shared" ref="C47:Q47" si="6">IF(C45&gt;=28,"OK",IF(C45&lt;=28,"LESS"))</f>
        <v>LESS</v>
      </c>
      <c r="D47" s="132" t="str">
        <f t="shared" si="6"/>
        <v>LESS</v>
      </c>
      <c r="E47" s="132" t="str">
        <f t="shared" si="6"/>
        <v>LESS</v>
      </c>
      <c r="F47" s="132" t="str">
        <f t="shared" si="6"/>
        <v>LESS</v>
      </c>
      <c r="G47" s="132" t="str">
        <f t="shared" si="6"/>
        <v>LESS</v>
      </c>
      <c r="H47" s="132" t="str">
        <f t="shared" si="6"/>
        <v>LESS</v>
      </c>
      <c r="I47" s="132" t="str">
        <f t="shared" si="6"/>
        <v>LESS</v>
      </c>
      <c r="J47" s="132" t="str">
        <f t="shared" si="6"/>
        <v>LESS</v>
      </c>
      <c r="K47" s="132" t="str">
        <f t="shared" si="6"/>
        <v>LESS</v>
      </c>
      <c r="L47" s="132" t="str">
        <f t="shared" si="6"/>
        <v>LESS</v>
      </c>
      <c r="M47" s="132" t="str">
        <f t="shared" si="6"/>
        <v>LESS</v>
      </c>
      <c r="N47" s="132" t="str">
        <f t="shared" si="6"/>
        <v>LESS</v>
      </c>
      <c r="O47" s="132" t="str">
        <f t="shared" si="6"/>
        <v>LESS</v>
      </c>
      <c r="P47" s="132" t="str">
        <f t="shared" si="6"/>
        <v>LESS</v>
      </c>
      <c r="Q47" s="132" t="str">
        <f t="shared" si="6"/>
        <v>LESS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7" t="s">
        <v>56</v>
      </c>
      <c r="C50" s="167"/>
      <c r="D50" s="16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A94" zoomScale="85" zoomScaleNormal="85" workbookViewId="0">
      <selection activeCell="B108" sqref="B108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241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5" t="s">
        <v>62</v>
      </c>
      <c r="H5" s="175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>
        <v>199.5</v>
      </c>
      <c r="I8" s="6">
        <v>0</v>
      </c>
      <c r="J8" s="83">
        <f>F8/H8</f>
        <v>1.0025062656641603</v>
      </c>
      <c r="K8" s="83">
        <f>(H8-F8)*100/F8</f>
        <v>-0.25</v>
      </c>
      <c r="L8" s="6" t="s">
        <v>80</v>
      </c>
      <c r="M8" s="103"/>
      <c r="O8" s="72" t="s">
        <v>242</v>
      </c>
      <c r="P8" s="100" t="s">
        <v>63</v>
      </c>
      <c r="Q8" s="100">
        <v>4249</v>
      </c>
      <c r="R8" s="100">
        <v>3256.35</v>
      </c>
      <c r="S8" s="100" t="s">
        <v>81</v>
      </c>
      <c r="T8" s="100">
        <v>864.29</v>
      </c>
      <c r="U8" s="117">
        <v>0.95350000000000001</v>
      </c>
      <c r="V8" s="117">
        <v>0.95320000000000005</v>
      </c>
      <c r="W8" s="6" t="s">
        <v>80</v>
      </c>
      <c r="X8" s="103" t="s">
        <v>35</v>
      </c>
    </row>
    <row r="9" spans="2:24" ht="15.75">
      <c r="B9" s="7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80</v>
      </c>
      <c r="M9" s="103"/>
      <c r="O9" s="72"/>
      <c r="P9" s="100" t="s">
        <v>63</v>
      </c>
      <c r="Q9" s="100"/>
      <c r="R9" s="100"/>
      <c r="S9" s="100" t="s">
        <v>81</v>
      </c>
      <c r="T9" s="100"/>
      <c r="U9" s="117"/>
      <c r="V9" s="117"/>
      <c r="W9" s="6" t="s">
        <v>80</v>
      </c>
      <c r="X9" s="103" t="s">
        <v>239</v>
      </c>
    </row>
    <row r="10" spans="2:24" ht="15.75">
      <c r="B10" s="7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/>
      <c r="O10" s="72"/>
      <c r="P10" s="100" t="s">
        <v>63</v>
      </c>
      <c r="Q10" s="100"/>
      <c r="R10" s="100"/>
      <c r="S10" s="100" t="s">
        <v>81</v>
      </c>
      <c r="T10" s="100"/>
      <c r="U10" s="117"/>
      <c r="V10" s="117"/>
      <c r="W10" s="6" t="s">
        <v>80</v>
      </c>
      <c r="X10" s="103" t="s">
        <v>239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/>
      <c r="O11" s="72"/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240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/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/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/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/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/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/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6" t="s">
        <v>82</v>
      </c>
      <c r="D21" s="176"/>
      <c r="E21" s="176"/>
      <c r="F21" s="176"/>
      <c r="G21" s="176"/>
      <c r="H21" s="176"/>
      <c r="I21" s="106">
        <f>COUNT(B8:B20)</f>
        <v>0</v>
      </c>
      <c r="J21" s="107"/>
      <c r="K21" s="107"/>
      <c r="L21" s="94"/>
      <c r="M21" s="108"/>
      <c r="O21" s="109"/>
      <c r="P21" s="177" t="s">
        <v>83</v>
      </c>
      <c r="Q21" s="177"/>
      <c r="R21" s="177"/>
      <c r="S21" s="177"/>
      <c r="T21" s="121">
        <f>COUNT(O8:O20)</f>
        <v>0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8" t="s">
        <v>84</v>
      </c>
      <c r="H24" s="178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/>
      <c r="C27" s="6" t="s">
        <v>85</v>
      </c>
      <c r="D27" s="6" t="s">
        <v>39</v>
      </c>
      <c r="E27" s="6">
        <v>0</v>
      </c>
      <c r="F27" s="6">
        <v>200</v>
      </c>
      <c r="G27" s="6"/>
      <c r="H27" s="83">
        <v>200.4</v>
      </c>
      <c r="I27" s="6">
        <v>0</v>
      </c>
      <c r="J27" s="83">
        <f>F27/H27</f>
        <v>0.99800399201596801</v>
      </c>
      <c r="K27" s="83">
        <f>(H27-F27)*100/F27</f>
        <v>0.20000000000000284</v>
      </c>
      <c r="L27" s="6" t="s">
        <v>80</v>
      </c>
      <c r="M27" s="103"/>
      <c r="O27" s="72" t="s">
        <v>242</v>
      </c>
      <c r="P27" s="100" t="s">
        <v>29</v>
      </c>
      <c r="Q27" s="100">
        <v>5729.77</v>
      </c>
      <c r="R27" s="100">
        <v>4483.12</v>
      </c>
      <c r="S27" s="100" t="s">
        <v>86</v>
      </c>
      <c r="T27" s="100">
        <v>794.44</v>
      </c>
      <c r="U27" s="117">
        <v>0.95030000000000003</v>
      </c>
      <c r="V27" s="117">
        <v>0.94379999999999997</v>
      </c>
      <c r="W27" s="6" t="s">
        <v>80</v>
      </c>
      <c r="X27" s="103" t="s">
        <v>35</v>
      </c>
    </row>
    <row r="28" spans="2:24" ht="15.75">
      <c r="B28" s="72"/>
      <c r="C28" s="6" t="s">
        <v>85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80</v>
      </c>
      <c r="M28" s="103"/>
      <c r="O28" s="72"/>
      <c r="P28" s="100" t="s">
        <v>29</v>
      </c>
      <c r="Q28" s="100"/>
      <c r="R28" s="100"/>
      <c r="S28" s="100" t="s">
        <v>86</v>
      </c>
      <c r="T28" s="100"/>
      <c r="U28" s="117"/>
      <c r="V28" s="117"/>
      <c r="W28" s="6" t="s">
        <v>80</v>
      </c>
      <c r="X28" s="103" t="s">
        <v>239</v>
      </c>
    </row>
    <row r="29" spans="2:24" ht="15.75">
      <c r="B29" s="72"/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/>
      <c r="O29" s="72"/>
      <c r="P29" s="100" t="s">
        <v>29</v>
      </c>
      <c r="Q29" s="100"/>
      <c r="R29" s="100"/>
      <c r="S29" s="100" t="s">
        <v>86</v>
      </c>
      <c r="T29" s="100"/>
      <c r="U29" s="117"/>
      <c r="V29" s="117"/>
      <c r="W29" s="6" t="s">
        <v>80</v>
      </c>
      <c r="X29" s="103" t="s">
        <v>239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/>
      <c r="O30" s="72"/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/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/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/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/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/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/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/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7" t="s">
        <v>87</v>
      </c>
      <c r="Q40" s="177"/>
      <c r="R40" s="177"/>
      <c r="S40" s="177"/>
      <c r="T40" s="121">
        <f>COUNT(O27:O39)</f>
        <v>0</v>
      </c>
      <c r="U40" s="122"/>
      <c r="V40" s="122"/>
      <c r="W40" s="123"/>
      <c r="X40" s="124"/>
    </row>
    <row r="41" spans="2:24">
      <c r="B41" s="87"/>
      <c r="C41" s="94"/>
      <c r="D41" s="176" t="s">
        <v>88</v>
      </c>
      <c r="E41" s="176"/>
      <c r="F41" s="176"/>
      <c r="G41" s="176"/>
      <c r="H41" s="176"/>
      <c r="I41" s="176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8" t="s">
        <v>38</v>
      </c>
      <c r="H44" s="178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/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/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/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/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/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/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/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6" t="s">
        <v>89</v>
      </c>
      <c r="E61" s="176"/>
      <c r="F61" s="176"/>
      <c r="G61" s="176"/>
      <c r="H61" s="176"/>
      <c r="I61" s="176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8" t="s">
        <v>37</v>
      </c>
      <c r="H64" s="178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80</v>
      </c>
      <c r="M67" s="103"/>
    </row>
    <row r="68" spans="2:13" ht="15.75">
      <c r="B68" s="7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80</v>
      </c>
      <c r="M68" s="103"/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80</v>
      </c>
      <c r="M69" s="103"/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/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/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/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/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6" t="s">
        <v>90</v>
      </c>
      <c r="E81" s="176"/>
      <c r="F81" s="176"/>
      <c r="G81" s="176"/>
      <c r="H81" s="176"/>
      <c r="I81" s="176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8" t="s">
        <v>91</v>
      </c>
      <c r="H84" s="178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/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/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/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/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/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/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/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6" t="s">
        <v>92</v>
      </c>
      <c r="E101" s="176"/>
      <c r="F101" s="176"/>
      <c r="G101" s="176"/>
      <c r="H101" s="176"/>
      <c r="I101" s="176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5" t="s">
        <v>93</v>
      </c>
      <c r="H104" s="175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 t="s">
        <v>243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0.28000000000000003</v>
      </c>
      <c r="H107" s="83">
        <v>304.10000000000002</v>
      </c>
      <c r="I107" s="6">
        <f>G107-E107</f>
        <v>0.28000000000000003</v>
      </c>
      <c r="J107" s="83">
        <f>F107/H107</f>
        <v>1.0522854324235449</v>
      </c>
      <c r="K107" s="83">
        <f>(H107-F107)*100/F107</f>
        <v>-4.9687499999999929</v>
      </c>
      <c r="L107" s="6" t="s">
        <v>80</v>
      </c>
      <c r="M107" s="103" t="s">
        <v>35</v>
      </c>
    </row>
    <row r="108" spans="2:13" ht="15.75">
      <c r="B108" s="72"/>
      <c r="C108" s="6" t="s">
        <v>93</v>
      </c>
      <c r="D108" s="6" t="s">
        <v>39</v>
      </c>
      <c r="E108" s="6">
        <v>0</v>
      </c>
      <c r="F108" s="6">
        <v>320</v>
      </c>
      <c r="G108" s="6">
        <v>0.8</v>
      </c>
      <c r="H108" s="83">
        <v>315.8</v>
      </c>
      <c r="I108" s="6">
        <f>G108-E108</f>
        <v>0.8</v>
      </c>
      <c r="J108" s="83">
        <f>F108/H108</f>
        <v>1.013299556681444</v>
      </c>
      <c r="K108" s="83">
        <f>(H108-F108)*100/F108</f>
        <v>-1.3124999999999964</v>
      </c>
      <c r="L108" s="6" t="s">
        <v>80</v>
      </c>
      <c r="M108" s="103" t="s">
        <v>35</v>
      </c>
    </row>
    <row r="109" spans="2:13" ht="15.75">
      <c r="B109" s="7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>
        <v>320.5</v>
      </c>
      <c r="I109" s="6">
        <f t="shared" ref="I109:I115" si="8">G109-E109</f>
        <v>0</v>
      </c>
      <c r="J109" s="83">
        <f t="shared" ref="J109:J115" si="9">F109/H109</f>
        <v>0.99843993759750393</v>
      </c>
      <c r="K109" s="83">
        <f t="shared" ref="K109:K115" si="10">(H109-F109)*100/F109</f>
        <v>0.15625</v>
      </c>
      <c r="L109" s="6" t="s">
        <v>80</v>
      </c>
      <c r="M109" s="103"/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/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/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/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/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6" t="s">
        <v>94</v>
      </c>
      <c r="D119" s="176"/>
      <c r="E119" s="176"/>
      <c r="F119" s="176"/>
      <c r="G119" s="176"/>
      <c r="H119" s="176"/>
      <c r="I119" s="113">
        <f>COUNT(B107:B118)</f>
        <v>0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honeticPr fontId="45" type="noConversion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9" t="s">
        <v>95</v>
      </c>
      <c r="C2" s="179"/>
      <c r="D2" s="181">
        <f>'MONTHLY 31'!$B$2</f>
        <v>0</v>
      </c>
      <c r="E2" s="181"/>
    </row>
    <row r="3" spans="2:5">
      <c r="B3" s="179" t="s">
        <v>96</v>
      </c>
      <c r="C3" s="179"/>
      <c r="D3" s="181"/>
      <c r="E3" s="181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80" t="s">
        <v>100</v>
      </c>
      <c r="C44" s="180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2" t="s">
        <v>101</v>
      </c>
      <c r="C2" s="182"/>
      <c r="D2" s="182"/>
      <c r="E2" s="182"/>
      <c r="F2" s="183">
        <v>1</v>
      </c>
      <c r="G2" s="184"/>
      <c r="H2" s="184"/>
    </row>
    <row r="3" spans="2:24" customFormat="1" ht="15" customHeight="1">
      <c r="B3" s="182"/>
      <c r="C3" s="182"/>
      <c r="D3" s="182"/>
      <c r="E3" s="182"/>
      <c r="F3" s="184"/>
      <c r="G3" s="184"/>
      <c r="H3" s="184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7" t="s">
        <v>93</v>
      </c>
      <c r="C12" s="198" t="s">
        <v>102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40"/>
      <c r="U12" s="39"/>
    </row>
    <row r="13" spans="2:24" ht="15" customHeight="1">
      <c r="B13" s="188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8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8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8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8"/>
      <c r="C17" s="10"/>
      <c r="P17" s="1"/>
      <c r="Q17" s="1"/>
      <c r="R17" s="45"/>
      <c r="X17" s="42"/>
    </row>
    <row r="18" spans="2:28" ht="15.75" customHeight="1">
      <c r="B18" s="188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9" t="s">
        <v>84</v>
      </c>
      <c r="C25" s="200" t="s">
        <v>102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185"/>
      <c r="S25" s="49"/>
      <c r="T25" s="50"/>
    </row>
    <row r="26" spans="2:28" ht="15" customHeight="1">
      <c r="B26" s="189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9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9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90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91" t="s">
        <v>37</v>
      </c>
      <c r="C36" s="202" t="s">
        <v>102</v>
      </c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3"/>
    </row>
    <row r="37" spans="2:25" ht="15.75" customHeight="1">
      <c r="B37" s="192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92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2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9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3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4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4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4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9" t="s">
        <v>196</v>
      </c>
      <c r="C61" s="200" t="s">
        <v>102</v>
      </c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185"/>
      <c r="S61" s="57"/>
      <c r="T61" s="58"/>
    </row>
    <row r="62" spans="2:20" ht="15.75">
      <c r="B62" s="189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5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90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9" t="s">
        <v>213</v>
      </c>
      <c r="C69" s="200" t="s">
        <v>102</v>
      </c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185"/>
      <c r="S69" s="57"/>
      <c r="T69" s="58"/>
    </row>
    <row r="70" spans="2:20" ht="15.75">
      <c r="B70" s="189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5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90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6" t="s">
        <v>91</v>
      </c>
      <c r="C77" s="185" t="s">
        <v>102</v>
      </c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61"/>
      <c r="S77" s="61"/>
      <c r="T77" s="13"/>
    </row>
    <row r="78" spans="2:20">
      <c r="B78" s="197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7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7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7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7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2026-02-12T16:41:41Z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